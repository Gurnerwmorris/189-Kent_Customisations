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iservicesptyltd.sharepoint.com/sites/02.Projects/Shared Documents/General/01. Major Projects/189 Kent Street, Sydney/04. Legals/05. Off the Plan Contract of Sale/COS Tracker/"/>
    </mc:Choice>
  </mc:AlternateContent>
  <xr:revisionPtr revIDLastSave="2633" documentId="11_1BA9407CD2390B7D48FF1A6501FCABEB1023A06B" xr6:coauthVersionLast="47" xr6:coauthVersionMax="47" xr10:uidLastSave="{CCB2AFDD-8500-4D1F-AD36-0322A9B74D1B}"/>
  <bookViews>
    <workbookView xWindow="61890" yWindow="9450" windowWidth="15315" windowHeight="9900" tabRatio="866" xr2:uid="{00000000-000D-0000-FFFF-FFFF00000000}"/>
  </bookViews>
  <sheets>
    <sheet name="CoS Tracker" sheetId="1" r:id="rId1"/>
    <sheet name="Design Fees" sheetId="20" r:id="rId2"/>
    <sheet name="0701S" sheetId="4" r:id="rId3"/>
    <sheet name="1001N " sheetId="17" r:id="rId4"/>
    <sheet name="801S&amp;802S" sheetId="5" r:id="rId5"/>
    <sheet name="0901S" sheetId="6" r:id="rId6"/>
    <sheet name="1002S" sheetId="7" r:id="rId7"/>
    <sheet name="1202S" sheetId="8" r:id="rId8"/>
    <sheet name="1402N" sheetId="9" r:id="rId9"/>
    <sheet name="1701S" sheetId="10" r:id="rId10"/>
    <sheet name="1901S&amp;1902S" sheetId="11" r:id="rId11"/>
    <sheet name="1901N" sheetId="12" r:id="rId12"/>
    <sheet name="2001S&amp;2002S" sheetId="13" r:id="rId13"/>
    <sheet name="2101S&amp;2102S" sheetId="14" r:id="rId14"/>
    <sheet name="2101N" sheetId="15" r:id="rId15"/>
    <sheet name="Sheet1" sheetId="16" r:id="rId16"/>
    <sheet name="Sunset Table" sheetId="19" r:id="rId17"/>
  </sheets>
  <definedNames>
    <definedName name="_xlnm._FilterDatabase" localSheetId="0" hidden="1">'CoS Tracker'!$B$7:$BC$180</definedName>
    <definedName name="Project_Start">#REF!</definedName>
    <definedName name="Scrolling_Increm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1" i="1" l="1"/>
  <c r="AH12" i="1"/>
  <c r="AH13" i="1"/>
  <c r="AH14" i="1"/>
  <c r="AH15" i="1"/>
  <c r="AH16" i="1"/>
  <c r="AH17" i="1"/>
  <c r="AH18" i="1"/>
  <c r="AH19" i="1"/>
  <c r="AH20" i="1"/>
  <c r="AH21" i="1"/>
  <c r="AH22" i="1"/>
  <c r="AH23" i="1"/>
  <c r="AH24" i="1"/>
  <c r="AH25" i="1"/>
  <c r="AH26" i="1"/>
  <c r="AH27" i="1"/>
  <c r="AH28" i="1"/>
  <c r="AH29" i="1"/>
  <c r="AH30" i="1"/>
  <c r="AH31" i="1"/>
  <c r="AH10" i="1"/>
  <c r="C8" i="20"/>
  <c r="C7" i="20"/>
  <c r="C6" i="20"/>
  <c r="C4" i="20"/>
  <c r="C5" i="20"/>
  <c r="B30" i="17"/>
  <c r="B32" i="17" s="1"/>
  <c r="B33" i="17" s="1"/>
  <c r="B28" i="17"/>
  <c r="B24" i="17"/>
  <c r="B16" i="17"/>
  <c r="B36" i="17" l="1"/>
  <c r="Z23" i="1"/>
  <c r="AK23" i="1"/>
  <c r="AM23" i="1" s="1"/>
  <c r="AN23" i="1" s="1"/>
  <c r="Z8" i="1"/>
  <c r="AK28" i="1"/>
  <c r="AM28" i="1" s="1"/>
  <c r="AN28" i="1" s="1"/>
  <c r="AP28" i="1" s="1"/>
  <c r="Z28" i="1"/>
  <c r="AK11" i="1" l="1"/>
  <c r="AM11" i="1" s="1"/>
  <c r="AN11" i="1" s="1"/>
  <c r="AP11" i="1" s="1"/>
  <c r="AK12" i="1"/>
  <c r="AM12" i="1" s="1"/>
  <c r="AN12" i="1" s="1"/>
  <c r="AP12" i="1" s="1"/>
  <c r="AK17" i="1"/>
  <c r="AM17" i="1" s="1"/>
  <c r="AN17" i="1" s="1"/>
  <c r="AP17" i="1" s="1"/>
  <c r="AK19" i="1"/>
  <c r="AM19" i="1" s="1"/>
  <c r="AN19" i="1" s="1"/>
  <c r="AP19" i="1" s="1"/>
  <c r="AK20" i="1"/>
  <c r="AM20" i="1" s="1"/>
  <c r="AN20" i="1" s="1"/>
  <c r="AP20" i="1" s="1"/>
  <c r="AK13" i="1"/>
  <c r="AM13" i="1" s="1"/>
  <c r="AN13" i="1" s="1"/>
  <c r="AP13" i="1" s="1"/>
  <c r="AK21" i="1"/>
  <c r="AM21" i="1" s="1"/>
  <c r="AN21" i="1" s="1"/>
  <c r="AP21" i="1" s="1"/>
  <c r="AK10" i="1"/>
  <c r="AM10" i="1" s="1"/>
  <c r="AN10" i="1" s="1"/>
  <c r="Z11" i="1"/>
  <c r="Z12" i="1"/>
  <c r="Z17" i="1"/>
  <c r="Z19" i="1"/>
  <c r="Z20" i="1"/>
  <c r="Z13" i="1"/>
  <c r="Z21" i="1"/>
  <c r="Z22" i="1"/>
  <c r="Z10" i="1"/>
  <c r="AP10" i="1" l="1"/>
  <c r="AK22" i="1"/>
  <c r="AM22" i="1" l="1"/>
  <c r="AN22" i="1" l="1"/>
  <c r="AP22" i="1" s="1"/>
  <c r="T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tc={58EF6FCD-1F1E-4861-BA0D-6B3CDA681369}</author>
    <author>tc={D4FB2309-D8D1-4384-BEA4-0685E27E061A}</author>
    <author>tc={1E28517F-2CCC-4AD3-A033-DE3EECEEA425}</author>
    <author>tc={463613D7-C230-4B46-BA3A-83CE60B06C96}</author>
    <author>tc={7F2C15A3-D686-493F-8C82-5D4B78EAACAA}</author>
    <author>tc={3DEC7407-18D1-48A1-8E76-D769B59F2A72}</author>
    <author>tc={5DF1945B-7E8C-4D11-9B8F-0F2FADBF4F50}</author>
    <author>tc={24B6A20D-ED2E-49F7-A8E1-279EDF900D06}</author>
    <author>tc={4454BE59-C37A-4586-B289-6CD681294B2D}</author>
    <author>tc={814840D1-7165-4FF1-BAEF-2A7AA24F25A7}</author>
    <author>tc={FCBB0E4E-0620-429C-B643-0486F6C53DBA}</author>
    <author>tc={C661D334-B830-48A4-9127-82AD50EB7EE4}</author>
    <author>tc={F588C510-64D4-4BD7-9A7D-4CF8DCDEBB42}</author>
  </authors>
  <commentList>
    <comment ref="AA8" authorId="0" shapeId="0" xr:uid="{58EF6FCD-1F1E-4861-BA0D-6B3CDA681369}">
      <text>
        <t>[Threaded comment]
Your version of Excel allows you to read this threaded comment; however, any edits to it will get removed if the file is opened in a newer version of Excel. Learn more: https://go.microsoft.com/fwlink/?linkid=870924
Comment:
    Why?</t>
      </text>
    </comment>
    <comment ref="S10" authorId="1" shapeId="0" xr:uid="{D4FB2309-D8D1-4384-BEA4-0685E27E061A}">
      <text>
        <t>[Threaded comment]
Your version of Excel allows you to read this threaded comment; however, any edits to it will get removed if the file is opened in a newer version of Excel. Learn more: https://go.microsoft.com/fwlink/?linkid=870924
Comment:
    Has asked to amalgamate for land tax reasons</t>
      </text>
    </comment>
    <comment ref="S11" authorId="2" shapeId="0" xr:uid="{1E28517F-2CCC-4AD3-A033-DE3EECEEA425}">
      <text>
        <t>[Threaded comment]
Your version of Excel allows you to read this threaded comment; however, any edits to it will get removed if the file is opened in a newer version of Excel. Learn more: https://go.microsoft.com/fwlink/?linkid=870924
Comment:
    Has asked to amalgamate for land tax reasons</t>
      </text>
    </comment>
    <comment ref="B13" authorId="3" shapeId="0" xr:uid="{463613D7-C230-4B46-BA3A-83CE60B06C96}">
      <text>
        <t>[Threaded comment]
Your version of Excel allows you to read this threaded comment; however, any edits to it will get removed if the file is opened in a newer version of Excel. Learn more: https://go.microsoft.com/fwlink/?linkid=870924
Comment:
    Contracts Team don’t have the contract for 1901N. Do we need to ask Minters for it?</t>
      </text>
    </comment>
    <comment ref="K13" authorId="4" shapeId="0" xr:uid="{7F2C15A3-D686-493F-8C82-5D4B78EAACAA}">
      <text>
        <t>[Threaded comment]
Your version of Excel allows you to read this threaded comment; however, any edits to it will get removed if the file is opened in a newer version of Excel. Learn more: https://go.microsoft.com/fwlink/?linkid=870924
Comment:
    Extra 1x Carspace</t>
      </text>
    </comment>
    <comment ref="R13" authorId="5" shapeId="0" xr:uid="{3DEC7407-18D1-48A1-8E76-D769B59F2A72}">
      <text>
        <t>[Threaded comment]
Your version of Excel allows you to read this threaded comment; however, any edits to it will get removed if the file is opened in a newer version of Excel. Learn more: https://go.microsoft.com/fwlink/?linkid=870924
Comment:
    Need to check this.</t>
      </text>
    </comment>
    <comment ref="T13" authorId="6" shapeId="0" xr:uid="{5DF1945B-7E8C-4D11-9B8F-0F2FADBF4F50}">
      <text>
        <t>[Threaded comment]
Your version of Excel allows you to read this threaded comment; however, any edits to it will get removed if the file is opened in a newer version of Excel. Learn more: https://go.microsoft.com/fwlink/?linkid=870924
Comment:
    Need to check this - however customisations to the terrace have been agreed</t>
      </text>
    </comment>
    <comment ref="K17" authorId="7" shapeId="0" xr:uid="{24B6A20D-ED2E-49F7-A8E1-279EDF900D06}">
      <text>
        <t>[Threaded comment]
Your version of Excel allows you to read this threaded comment; however, any edits to it will get removed if the file is opened in a newer version of Excel. Learn more: https://go.microsoft.com/fwlink/?linkid=870924
Comment:
    WT estimate 21 Oct 2025</t>
      </text>
    </comment>
    <comment ref="Q20" authorId="8" shapeId="0" xr:uid="{4454BE59-C37A-4586-B289-6CD681294B2D}">
      <text>
        <t>[Threaded comment]
Your version of Excel allows you to read this threaded comment; however, any edits to it will get removed if the file is opened in a newer version of Excel. Learn more: https://go.microsoft.com/fwlink/?linkid=870924
Comment:
    Free upgrade to PH Collection offered by TG</t>
      </text>
    </comment>
    <comment ref="Q21" authorId="9" shapeId="0" xr:uid="{814840D1-7165-4FF1-BAEF-2A7AA24F25A7}">
      <text>
        <t>[Threaded comment]
Your version of Excel allows you to read this threaded comment; however, any edits to it will get removed if the file is opened in a newer version of Excel. Learn more: https://go.microsoft.com/fwlink/?linkid=870924
Comment:
    Free upgrade to PH Collection offered by TG</t>
      </text>
    </comment>
    <comment ref="Q22" authorId="10" shapeId="0" xr:uid="{FCBB0E4E-0620-429C-B643-0486F6C53DBA}">
      <text>
        <t>[Threaded comment]
Your version of Excel allows you to read this threaded comment; however, any edits to it will get removed if the file is opened in a newer version of Excel. Learn more: https://go.microsoft.com/fwlink/?linkid=870924
Comment:
    Free upgrade to PH Collection offered by TG</t>
      </text>
    </comment>
    <comment ref="V22" authorId="11" shapeId="0" xr:uid="{C661D334-B830-48A4-9127-82AD50EB7EE4}">
      <text>
        <t>[Threaded comment]
Your version of Excel allows you to read this threaded comment; however, any edits to it will get removed if the file is opened in a newer version of Excel. Learn more: https://go.microsoft.com/fwlink/?linkid=870924
Comment:
    Email from Sean Carey 04/03 saying this was instructed by Tim</t>
      </text>
    </comment>
    <comment ref="W22" authorId="12" shapeId="0" xr:uid="{F588C510-64D4-4BD7-9A7D-4CF8DCDEBB42}">
      <text>
        <t>[Threaded comment]
Your version of Excel allows you to read this threaded comment; however, any edits to it will get removed if the file is opened in a newer version of Excel. Learn more: https://go.microsoft.com/fwlink/?linkid=870924
Comment:
    Email from Sean Carey 04/03 saying this was instructed by Tim</t>
      </text>
    </comment>
  </commentList>
</comments>
</file>

<file path=xl/sharedStrings.xml><?xml version="1.0" encoding="utf-8"?>
<sst xmlns="http://schemas.openxmlformats.org/spreadsheetml/2006/main" count="820" uniqueCount="372">
  <si>
    <t>189 KENT STREET (SALUS PLACE) CONTRACT OF SALE TRACKER</t>
  </si>
  <si>
    <t>Bespoke Lots</t>
  </si>
  <si>
    <t>COS</t>
  </si>
  <si>
    <t>Gurner Framework</t>
  </si>
  <si>
    <t>Includes: Motirized Window Furnishings
Depreciation Schedule Inc.
Interest on Deposit</t>
  </si>
  <si>
    <t>The purchaser must submit a written brief outlining requested bespoke changes within the contractual timeframe, triggering the bespoke design process.</t>
  </si>
  <si>
    <t>SC 67.2 / SC 68.2</t>
  </si>
  <si>
    <t>Framework</t>
  </si>
  <si>
    <t>Internal programme control</t>
  </si>
  <si>
    <t>20 business days after COS Date</t>
  </si>
  <si>
    <t>Immediately after brief</t>
  </si>
  <si>
    <t>After Sketch Planning complete</t>
  </si>
  <si>
    <t>After Sketch Plannign Complete</t>
  </si>
  <si>
    <t>Immediately after Consultant review</t>
  </si>
  <si>
    <t>During design period</t>
  </si>
  <si>
    <t>After QS estimate</t>
  </si>
  <si>
    <t>Post design agreement</t>
  </si>
  <si>
    <t>Prior to QS certification</t>
  </si>
  <si>
    <t>After design agreement
(~3 month non-contractural)</t>
  </si>
  <si>
    <t>After QS certification</t>
  </si>
  <si>
    <t>Issued after QS certification</t>
  </si>
  <si>
    <t>14 calendar days after DoV issued</t>
  </si>
  <si>
    <t>DOV Execution Date</t>
  </si>
  <si>
    <t>To be submitted upon DOV execution + 60 Days</t>
  </si>
  <si>
    <t>Fixed sunset date</t>
  </si>
  <si>
    <t>UNIT NUMBER</t>
  </si>
  <si>
    <t>LOT NO.</t>
  </si>
  <si>
    <t>NAME</t>
  </si>
  <si>
    <t>Personal Address</t>
  </si>
  <si>
    <t>AGENT</t>
  </si>
  <si>
    <t>STATUS</t>
  </si>
  <si>
    <t>0. DATE ISSUED</t>
  </si>
  <si>
    <t>0. DATE EXCHANGED
(Contract Date)</t>
  </si>
  <si>
    <t>BASE PRICE</t>
  </si>
  <si>
    <t>ALLOCATED UPGRADE BUDGET</t>
  </si>
  <si>
    <t>PLAN OF SUB VERSION</t>
  </si>
  <si>
    <t>CAR SPACE</t>
  </si>
  <si>
    <t>ADDITIONAL CAR SPACE</t>
  </si>
  <si>
    <t>MOTORBIKE</t>
  </si>
  <si>
    <t>LEASE</t>
  </si>
  <si>
    <t>SPEC SHEET</t>
  </si>
  <si>
    <t>COLOUR SELECTION</t>
  </si>
  <si>
    <t>AMALGAMATION</t>
  </si>
  <si>
    <t>BESPOKE LOT</t>
  </si>
  <si>
    <t>FRIENDS AND FAMILY</t>
  </si>
  <si>
    <r>
      <t xml:space="preserve">LIMITLESS
</t>
    </r>
    <r>
      <rPr>
        <b/>
        <sz val="10"/>
        <color rgb="FFFF0000"/>
        <rFont val="Arial"/>
        <family val="2"/>
      </rPr>
      <t>DROP and TRACK IN PRICELIST</t>
    </r>
  </si>
  <si>
    <t>SAINT HAVEN</t>
  </si>
  <si>
    <t>MEMBERSHIP TIER</t>
  </si>
  <si>
    <t>CURRENT STATUS</t>
  </si>
  <si>
    <t>1.0 Written Brief Due / Design Briefing Session</t>
  </si>
  <si>
    <t xml:space="preserve">1.1 Sketch Plan Issued </t>
  </si>
  <si>
    <t>1.2 Letter countersigned confirming Layout Approved</t>
  </si>
  <si>
    <t xml:space="preserve">1.3 Cost ranges of design are issued to the purchaser for sign off. </t>
  </si>
  <si>
    <t>1.4 Sketch Plan Issued to FJC/Consultants for  Feasibility Review</t>
  </si>
  <si>
    <t>1.5 FJC CAD Plans issued for pricing</t>
  </si>
  <si>
    <t>1.6 QS Estimate Issued</t>
  </si>
  <si>
    <t>2. Design Period End</t>
  </si>
  <si>
    <t>2.1 Builder Budget Pricing Issued</t>
  </si>
  <si>
    <t>2.2 Internal Commercial Review</t>
  </si>
  <si>
    <t>3. QS Cost Certification</t>
  </si>
  <si>
    <t>3.1 Internal Approval to Issue DoV</t>
  </si>
  <si>
    <t>4. DoV Issue Date (Vendor)</t>
  </si>
  <si>
    <t>5. Purchaser DoV Execution Deadline</t>
  </si>
  <si>
    <t>6. Instructed to Hickory</t>
  </si>
  <si>
    <t>7. Recommended Planning Submission Date</t>
  </si>
  <si>
    <t>8. Modification Approval Deadline</t>
  </si>
  <si>
    <t>Project Completion Deadline / Registratuion of Strata Plan with LRS
(calculated)</t>
  </si>
  <si>
    <t>SPECIAL CONDITIONS</t>
  </si>
  <si>
    <t>BYLAWS VERSION</t>
  </si>
  <si>
    <t>BESPOKE PLAN</t>
  </si>
  <si>
    <t>CORRESPONDENCE</t>
  </si>
  <si>
    <t>COST BORNE BY WHO</t>
  </si>
  <si>
    <r>
      <t>PRUCHASER COSTS
(</t>
    </r>
    <r>
      <rPr>
        <b/>
        <sz val="10"/>
        <color rgb="FFC00000"/>
        <rFont val="Arial"/>
        <family val="2"/>
      </rPr>
      <t>GURNER ESTIMATE</t>
    </r>
    <r>
      <rPr>
        <b/>
        <sz val="10"/>
        <color theme="0"/>
        <rFont val="Arial"/>
        <family val="2"/>
      </rPr>
      <t>/</t>
    </r>
    <r>
      <rPr>
        <b/>
        <sz val="10"/>
        <color theme="9" tint="0.39997558519241921"/>
        <rFont val="Arial"/>
        <family val="2"/>
      </rPr>
      <t>WT</t>
    </r>
    <r>
      <rPr>
        <b/>
        <sz val="10"/>
        <color theme="0"/>
        <rFont val="Arial"/>
        <family val="2"/>
      </rPr>
      <t>)</t>
    </r>
  </si>
  <si>
    <t>PURCHASER COSTS
(HICKORY PRICE)</t>
  </si>
  <si>
    <r>
      <t>DEVELOPER COST
(</t>
    </r>
    <r>
      <rPr>
        <b/>
        <sz val="10"/>
        <color rgb="FFC00000"/>
        <rFont val="Arial"/>
        <family val="2"/>
      </rPr>
      <t>GURNER ESTIMATE</t>
    </r>
    <r>
      <rPr>
        <b/>
        <sz val="10"/>
        <color theme="0"/>
        <rFont val="Arial"/>
        <family val="2"/>
      </rPr>
      <t>/</t>
    </r>
    <r>
      <rPr>
        <b/>
        <sz val="10"/>
        <color theme="9" tint="0.39997558519241921"/>
        <rFont val="Arial"/>
        <family val="2"/>
      </rPr>
      <t>WT</t>
    </r>
    <r>
      <rPr>
        <b/>
        <sz val="10"/>
        <color theme="0"/>
        <rFont val="Arial"/>
        <family val="2"/>
      </rPr>
      <t>)</t>
    </r>
  </si>
  <si>
    <t>DEVELOPER COSTS
(HICKORY PRICE)</t>
  </si>
  <si>
    <t>OTHER DESIGN CHANGES</t>
  </si>
  <si>
    <t>OTHER NOTES</t>
  </si>
  <si>
    <t>BALL IN COURT</t>
  </si>
  <si>
    <t>NEXT STEPS</t>
  </si>
  <si>
    <t>COMMS LEAD</t>
  </si>
  <si>
    <t>0701S</t>
  </si>
  <si>
    <t>Virginia Nemeth</t>
  </si>
  <si>
    <t>Apex</t>
  </si>
  <si>
    <t>EXCHANGED</t>
  </si>
  <si>
    <t>TBC</t>
  </si>
  <si>
    <t>Diamond Collection</t>
  </si>
  <si>
    <t>NONE</t>
  </si>
  <si>
    <t>NO</t>
  </si>
  <si>
    <t>YES</t>
  </si>
  <si>
    <t>PLATINUM</t>
  </si>
  <si>
    <t>NA - No Bespoke Lot Clause</t>
  </si>
  <si>
    <t>ME_956752920_5</t>
  </si>
  <si>
    <t>701S Plans</t>
  </si>
  <si>
    <t>Not a bespoke lot, however sketch plan has been sent.</t>
  </si>
  <si>
    <t>ED</t>
  </si>
  <si>
    <t>Setup in person design meeting, to finalize finshes and any design issued for signoff. (Elle to cooridnate appointment). Layout issued, awaiting comments</t>
  </si>
  <si>
    <t>0702S</t>
  </si>
  <si>
    <t>Not a bespoke lot, do not offer</t>
  </si>
  <si>
    <t xml:space="preserve">no request issued, letter </t>
  </si>
  <si>
    <t>0801S</t>
  </si>
  <si>
    <t>Socorro Wescott</t>
  </si>
  <si>
    <t>YES.</t>
  </si>
  <si>
    <t xml:space="preserve">Deposit Bond ASC; Deferred Deposit ASC; Bespoke Lot ASC; Mod H not applicable; refer to hand sketches and emails for plan changes proposed </t>
  </si>
  <si>
    <t>801s &amp; 802s Layout</t>
  </si>
  <si>
    <t>Correspondence</t>
  </si>
  <si>
    <t>Purchaser</t>
  </si>
  <si>
    <t>REQUIRED</t>
  </si>
  <si>
    <t>Wine fridge/cellar in storage cage (500-600 wine bottles)</t>
  </si>
  <si>
    <t>Plan and wine cellar needs to be costed by WT</t>
  </si>
  <si>
    <t>24.03.26_WIM issued revised signoff letter with new layout. 
16/03/26 - WM cofnirmed hydraulic riser relcoation acceotable with ADP
11/03/26_DW to email letter, cofirming layout</t>
  </si>
  <si>
    <t>Deborah Wiltshire</t>
  </si>
  <si>
    <t>0802S</t>
  </si>
  <si>
    <t>Deposit bond ASC; Deferred deposit ASC; Bespoke Lot ASC; Mod H not applicable; 
refer to hand sketches and emails for plan changes proposed</t>
  </si>
  <si>
    <t>0901S</t>
  </si>
  <si>
    <t>John Corollo</t>
  </si>
  <si>
    <t>APEX</t>
  </si>
  <si>
    <t>Family &amp; Friends ASC
Bespoke Lot ASC</t>
  </si>
  <si>
    <t>901S Plans</t>
  </si>
  <si>
    <t>Plan needs to be costed by WT
POS should be 9/9/25</t>
  </si>
  <si>
    <t>WM</t>
  </si>
  <si>
    <t xml:space="preserve">27.03.26 WM to Draft Letter
Setup in person design meeting, to finalize finshes and any design issued for signoff. (Elle to cooridnate appointment). Forward correspondence with purchaser, confirm layout </t>
  </si>
  <si>
    <t>Deborah Wiltshire. Elle</t>
  </si>
  <si>
    <t>1901N</t>
  </si>
  <si>
    <t>Peter Ping Xie and Xiao Ling Shen
Wholms Pty Ltd</t>
  </si>
  <si>
    <t>Penthouse Collection</t>
  </si>
  <si>
    <t>ULTIMATE</t>
  </si>
  <si>
    <t>Limitless ASC (Side Letter)
Saint Haven Membership ASC (Side Letter)</t>
  </si>
  <si>
    <t>1901N Plans</t>
  </si>
  <si>
    <t>GURNER</t>
  </si>
  <si>
    <t>Wellness terrace upgrades - refer to plan</t>
  </si>
  <si>
    <t>Additional car space given for a total of 2 car spaces
Cost of upgrades to terrace are included within Contract Price (cost uplift not to be paid for by purchaser)</t>
  </si>
  <si>
    <t>1001N</t>
  </si>
  <si>
    <t>Domenico Cece &amp; Teresa Maria Cece</t>
  </si>
  <si>
    <t>Inspired Wealth</t>
  </si>
  <si>
    <t>ISSUED</t>
  </si>
  <si>
    <t xml:space="preserve">I </t>
  </si>
  <si>
    <r>
      <t xml:space="preserve">Revised layout issued, redsign to be priced and included in Contract. 
</t>
    </r>
    <r>
      <rPr>
        <b/>
        <sz val="10"/>
        <color rgb="FFFF0000"/>
        <rFont val="Arial"/>
        <family val="2"/>
      </rPr>
      <t>ADAPTABLE LOT - needs to be considered in Bespoke lot design</t>
    </r>
  </si>
  <si>
    <t>DW</t>
  </si>
  <si>
    <t xml:space="preserve">25.03- Layout signoff letter issued to DW </t>
  </si>
  <si>
    <t>1001S</t>
  </si>
  <si>
    <t>Pierre Bouantoun</t>
  </si>
  <si>
    <t>1002S</t>
  </si>
  <si>
    <t>Michael Dakhoul &amp; Houda Dakhoul</t>
  </si>
  <si>
    <t xml:space="preserve">The Agency </t>
  </si>
  <si>
    <t>24 Dec 2030</t>
  </si>
  <si>
    <t>Deposit Bond ASC; Deferred Deposit ASC</t>
  </si>
  <si>
    <t>Elle to liase with The Agency to setup design meet. Follow up with Purchaser on any design changes needed. Connect with Deb</t>
  </si>
  <si>
    <t>1202S</t>
  </si>
  <si>
    <t xml:space="preserve">Tom Lin </t>
  </si>
  <si>
    <t>06 Nov 2030</t>
  </si>
  <si>
    <t>Bespoke Lot ASC</t>
  </si>
  <si>
    <t>1202S Plans</t>
  </si>
  <si>
    <t>Customisation Letter</t>
  </si>
  <si>
    <t>Plan has been costed by WT
POS should be 9/9/25
Should include the Mod H back up plan but does not. 
Changes marked up,Gurner Design to update drawing. Include larger sink but maintain island bench size. Refer page 6 of COS. Design session remotely due to overseas buyer. (C) enlarged ensuite to accommodate round bath;
(D) inclusion of project vault off newly formed dressing room;
(E) butlers kitchen being opened to living area to accommodate onyx bar; and
incorporation of onyx bar into study area on entry.</t>
  </si>
  <si>
    <t>09/03/26 WM issued draft letter to Deb. Once signed off WM to get pricing/FJC to document</t>
  </si>
  <si>
    <t xml:space="preserve">Deb </t>
  </si>
  <si>
    <t>1402N</t>
  </si>
  <si>
    <t>Michael Bourke</t>
  </si>
  <si>
    <t>COOL</t>
  </si>
  <si>
    <t>27 Oct 2030</t>
  </si>
  <si>
    <t>NA</t>
  </si>
  <si>
    <t>No incentives
POS should be 9/9/25
Should include the Mod H back up plan but does not</t>
  </si>
  <si>
    <t xml:space="preserve">11/3/26 Deb to follow up with Apex on Status of Internal Design. 
11/03/26 FJC to develop terrace design and coordinate into documentation for Pricing. </t>
  </si>
  <si>
    <t>1701S</t>
  </si>
  <si>
    <t>Hani Sedaris</t>
  </si>
  <si>
    <t>1. Written Brief Due / Design Breifing Session</t>
  </si>
  <si>
    <t>No plan yet</t>
  </si>
  <si>
    <t>Bespoke lot process to be done
Deposit bond noted in Salesforce</t>
  </si>
  <si>
    <t xml:space="preserve">Deb to send  email to agent confiming the current status of the amalgamations. </t>
  </si>
  <si>
    <t>1901/1902S</t>
  </si>
  <si>
    <t>72 &amp; 73</t>
  </si>
  <si>
    <t>Marco Hara</t>
  </si>
  <si>
    <t>10 Oct 2030</t>
  </si>
  <si>
    <t>Family &amp; Friends ASC
Consolidation of Lots (with no plan attached)  ASC</t>
  </si>
  <si>
    <t>1901S &amp; 1902S Plans</t>
  </si>
  <si>
    <t>Finishes - GURNER
Amalgamation - Purchaser</t>
  </si>
  <si>
    <t>Plan needs to be costed by WT
Upgrade from Diamond to PH collection (for free - TG offer)
POS should be 9/9/25</t>
  </si>
  <si>
    <t>2001/2002S</t>
  </si>
  <si>
    <t>74 &amp; 75</t>
  </si>
  <si>
    <t>Property Holdings No 2 Pty Ltd</t>
  </si>
  <si>
    <t>15 Oct 2030</t>
  </si>
  <si>
    <t>2001S &amp; 2002S Plans</t>
  </si>
  <si>
    <t>Upgrade from Diamond to PH collection (for free - TG offer)
Bespoke lot process to be done
POS should be 9/9/25</t>
  </si>
  <si>
    <t>GD</t>
  </si>
  <si>
    <t xml:space="preserve">09/03/26 - Revised layout issued to client, awaiting response. </t>
  </si>
  <si>
    <t>2101/2102S</t>
  </si>
  <si>
    <t>76 &amp; 77</t>
  </si>
  <si>
    <t>Jack Davis Rice</t>
  </si>
  <si>
    <t>11 Oct 2030</t>
  </si>
  <si>
    <t>2101S &amp; 2102S Plans</t>
  </si>
  <si>
    <t xml:space="preserve">13/03/26 DW to review budget estimate with Client, provided by WT. </t>
  </si>
  <si>
    <t>2101N</t>
  </si>
  <si>
    <t>Denise Azzi (Charlie Ayoub)</t>
  </si>
  <si>
    <t>Penthouse
(custom)</t>
  </si>
  <si>
    <t>19 Feb 2031</t>
  </si>
  <si>
    <r>
      <rPr>
        <b/>
        <sz val="10"/>
        <color rgb="FFFF0000"/>
        <rFont val="Arial"/>
        <family val="2"/>
      </rPr>
      <t>Renders ASC</t>
    </r>
    <r>
      <rPr>
        <sz val="10"/>
        <color theme="1"/>
        <rFont val="Arial"/>
        <family val="2"/>
      </rPr>
      <t>, Deferred Deposit ASC, Bespoke Lot ASC, Deposit Bond ASC, Draft Strata Plan ASC</t>
    </r>
  </si>
  <si>
    <t>2101N Plans</t>
  </si>
  <si>
    <t>Explore elevator options, purchaser cost</t>
  </si>
  <si>
    <t>1501S/1502S</t>
  </si>
  <si>
    <t>Harminder Singh</t>
  </si>
  <si>
    <t>No intention- interconnecting door</t>
  </si>
  <si>
    <t>At this stage, keep them as indiviual residences.</t>
  </si>
  <si>
    <t xml:space="preserve">Preparing initial sketch, in response to their CAD file </t>
  </si>
  <si>
    <t>1601S/1602S</t>
  </si>
  <si>
    <t>Sophia Chhe</t>
  </si>
  <si>
    <t>Intention</t>
  </si>
  <si>
    <t>Issued as amalgmation</t>
  </si>
  <si>
    <t>Deb</t>
  </si>
  <si>
    <t xml:space="preserve">902S </t>
  </si>
  <si>
    <t>Edward Dakhoul &amp; Norma Rose Dakhoul</t>
  </si>
  <si>
    <t>02 Mar 2031</t>
  </si>
  <si>
    <t>Deferred Deposit ASC
Deposit Bond ASC</t>
  </si>
  <si>
    <t>Awaiting exchnage prior to design sessions
Damon: not a bespoke lot. Do not offer</t>
  </si>
  <si>
    <t>Deb to find out from Evan latest design status</t>
  </si>
  <si>
    <t xml:space="preserve">Evan </t>
  </si>
  <si>
    <t>1801/1802S</t>
  </si>
  <si>
    <t>70/71</t>
  </si>
  <si>
    <t>Jia Zhou</t>
  </si>
  <si>
    <t>6903/1A Barangaroo Avenue, BARANGAROO, NSW 2000</t>
  </si>
  <si>
    <t>Free V-zug refresh butler, fireplace, PHC walk in robe
Chevron floorboards mentioned but not in contract??</t>
  </si>
  <si>
    <t>2501S</t>
  </si>
  <si>
    <t>Damian Hanna</t>
  </si>
  <si>
    <t xml:space="preserve">
38 Northland Road, Bellevue Hill, NSW, 2023
</t>
  </si>
  <si>
    <t>1. Written Brief Due / Design Briefing Session</t>
  </si>
  <si>
    <t>Bespoke Lot ASC
Deferred Deposit ASC</t>
  </si>
  <si>
    <t>Bespoke Lot ASC makes reference to ‘pool table’ render – purchaser may elect to customise the Property to incl lounge area and wine display with similar look and feel. Render not in contract.</t>
  </si>
  <si>
    <r>
      <t xml:space="preserve">This is an </t>
    </r>
    <r>
      <rPr>
        <b/>
        <sz val="10"/>
        <color rgb="FFFF0000"/>
        <rFont val="Arial"/>
        <family val="2"/>
      </rPr>
      <t>“adaptable” unit</t>
    </r>
    <r>
      <rPr>
        <sz val="10"/>
        <rFont val="Arial"/>
        <family val="2"/>
      </rPr>
      <t xml:space="preserve"> which will limit the bespoke lot customisation process somewhat as it must maintain certain corridor, door widths etc. Billiard table not Pool Table
</t>
    </r>
    <r>
      <rPr>
        <b/>
        <sz val="10"/>
        <color rgb="FFFF0000"/>
        <rFont val="Arial"/>
        <family val="2"/>
      </rPr>
      <t>Ensure the checkerboard pattern in lift lobby is included and not carpet</t>
    </r>
  </si>
  <si>
    <t xml:space="preserve">11/03/26 DW to contact the Agency and cooridnate a Gurner Design Session. </t>
  </si>
  <si>
    <t>1102S</t>
  </si>
  <si>
    <t>Hye Young (Hayley) Han</t>
  </si>
  <si>
    <t>27 Jenkins Street, COLLAROY, NSW 2097</t>
  </si>
  <si>
    <t>602S</t>
  </si>
  <si>
    <t>Shaoping Liang</t>
  </si>
  <si>
    <t xml:space="preserve">17 Seaforth Crescent, SEAFORTH, NSW 2092 </t>
  </si>
  <si>
    <t>WARM</t>
  </si>
  <si>
    <t>502S</t>
  </si>
  <si>
    <t>Nathan Nassim Jammal</t>
  </si>
  <si>
    <t>12 Pile Street, GLADESVILLE, NSW 2111</t>
  </si>
  <si>
    <t>Free upgrade: timber floorboards to all bedrooms</t>
  </si>
  <si>
    <t>Total</t>
  </si>
  <si>
    <t>G1890DH2797</t>
  </si>
  <si>
    <t>G1890DH2891</t>
  </si>
  <si>
    <t>Invoice</t>
  </si>
  <si>
    <t>Date</t>
  </si>
  <si>
    <t>801S</t>
  </si>
  <si>
    <t>802S</t>
  </si>
  <si>
    <t>1801S</t>
  </si>
  <si>
    <t>0701S -Budget</t>
  </si>
  <si>
    <t>DEVELOPER COSTS</t>
  </si>
  <si>
    <t>Customization</t>
  </si>
  <si>
    <t>Upgrades</t>
  </si>
  <si>
    <t>Consultants</t>
  </si>
  <si>
    <t>OWNER COSTS</t>
  </si>
  <si>
    <t>1001N -Budget</t>
  </si>
  <si>
    <t>TOTAL</t>
  </si>
  <si>
    <t>Timber Flooring</t>
  </si>
  <si>
    <t>Tiling &amp; Paving</t>
  </si>
  <si>
    <t>Stone</t>
  </si>
  <si>
    <t>FINISHES</t>
  </si>
  <si>
    <t>Partitions</t>
  </si>
  <si>
    <t>Suspended Ceilings</t>
  </si>
  <si>
    <t>Carpet</t>
  </si>
  <si>
    <t>JOINERY</t>
  </si>
  <si>
    <t>FF&amp;E</t>
  </si>
  <si>
    <t>Sanitary Items</t>
  </si>
  <si>
    <t>White Goods and Appliances</t>
  </si>
  <si>
    <t>FIXTURES &amp; APPLIANCES</t>
  </si>
  <si>
    <t>Hydraulics</t>
  </si>
  <si>
    <t>Mechanical</t>
  </si>
  <si>
    <t>Electrical</t>
  </si>
  <si>
    <t>SERVICES</t>
  </si>
  <si>
    <t>SUBTOTAL</t>
  </si>
  <si>
    <t>QS BUFFER 20%</t>
  </si>
  <si>
    <t>BUILDERS MARGINS AND PRELIMS (10%)</t>
  </si>
  <si>
    <t xml:space="preserve">DEVELOPER MARGIN </t>
  </si>
  <si>
    <t>CONSULTANT DESIGN FEES</t>
  </si>
  <si>
    <t>801S &amp; 802S  -Budget</t>
  </si>
  <si>
    <t>901S  - Budget</t>
  </si>
  <si>
    <t>1002S -Budget</t>
  </si>
  <si>
    <t>1701N</t>
  </si>
  <si>
    <t>1901S&amp;1902S</t>
  </si>
  <si>
    <t>2101S&amp;2102S</t>
  </si>
  <si>
    <t>1. Written Brief Due / Design Briefing Session required</t>
  </si>
  <si>
    <t>1.6 Purchaser Confirmation to Proceed</t>
  </si>
  <si>
    <t>Apartment</t>
  </si>
  <si>
    <t>Contract Date</t>
  </si>
  <si>
    <t>Clause Reference</t>
  </si>
  <si>
    <t>Clause Description</t>
  </si>
  <si>
    <t>Clause Type</t>
  </si>
  <si>
    <t>True Sunset Basis</t>
  </si>
  <si>
    <t>Calculated Sunset</t>
  </si>
  <si>
    <t>702S</t>
  </si>
  <si>
    <t>03 Feb 2026</t>
  </si>
  <si>
    <t>Cl 54 (amended)</t>
  </si>
  <si>
    <t>replace 60 months with 48 months</t>
  </si>
  <si>
    <t>Global amendment</t>
  </si>
  <si>
    <t>48 months</t>
  </si>
  <si>
    <t>03 Feb 2030</t>
  </si>
  <si>
    <t>04 Dec 2025</t>
  </si>
  <si>
    <t>Cl 33.1</t>
  </si>
  <si>
    <t>Completion date amended only</t>
  </si>
  <si>
    <t>Default</t>
  </si>
  <si>
    <t>60 months</t>
  </si>
  <si>
    <t>04 Dec 2030</t>
  </si>
  <si>
    <t>901S</t>
  </si>
  <si>
    <t>28 Oct 2025</t>
  </si>
  <si>
    <t>MC Sunset = 12 months</t>
  </si>
  <si>
    <t>Clause-specific</t>
  </si>
  <si>
    <t>28 Oct 2030</t>
  </si>
  <si>
    <t>902S</t>
  </si>
  <si>
    <t>02 Mar 2026</t>
  </si>
  <si>
    <t>-</t>
  </si>
  <si>
    <t>No variation</t>
  </si>
  <si>
    <t>24 Dec 2025</t>
  </si>
  <si>
    <t>06 Nov 2025</t>
  </si>
  <si>
    <t>MC Sunset = 30 Jun 2027</t>
  </si>
  <si>
    <t>27 Oct 2025</t>
  </si>
  <si>
    <t>MCSD amended to 30 Jun 2027</t>
  </si>
  <si>
    <t>29 Sep 2025</t>
  </si>
  <si>
    <t>29 Sep 2030</t>
  </si>
  <si>
    <t>SC37</t>
  </si>
  <si>
    <t>Sunset = 18 months (SC only)</t>
  </si>
  <si>
    <t>Sunset = 24 months (SC only)</t>
  </si>
  <si>
    <t>1901S &amp; 1902S</t>
  </si>
  <si>
    <t>10 Oct 2025</t>
  </si>
  <si>
    <t>Cl 54</t>
  </si>
  <si>
    <t>Standard sunset clause</t>
  </si>
  <si>
    <t>2001S &amp; 2002S</t>
  </si>
  <si>
    <t>15 Oct 2025</t>
  </si>
  <si>
    <t>2101S &amp; 2102S</t>
  </si>
  <si>
    <t>11 Oct 2025</t>
  </si>
  <si>
    <t>150 Days After COS Date</t>
  </si>
  <si>
    <t>Yes</t>
  </si>
  <si>
    <t>1.2 Sketch Plan Issued</t>
  </si>
  <si>
    <t>1.3 Letter #1 Issued: Cost Range and Layout Confirmed</t>
  </si>
  <si>
    <t>1.5 Sketch Layout Converted to CAD by Architect</t>
  </si>
  <si>
    <t>1.7 Letter #2 Issued: Updated Cost Range and Interiors Confirmed</t>
  </si>
  <si>
    <t>1.9 Move to Phase 2 – COST</t>
  </si>
  <si>
    <t>2.1 Builder Pricing</t>
  </si>
  <si>
    <t>2.3 Internal Commercial Review</t>
  </si>
  <si>
    <t>2.2 QS Cost Certification</t>
  </si>
  <si>
    <t>3.2 DoV and SA Invoice Issued to Client</t>
  </si>
  <si>
    <t>3.3 Client Executes DoV</t>
  </si>
  <si>
    <t>4.1 Instructed to Builder</t>
  </si>
  <si>
    <t>4.2 Planning / DA Modification Submission</t>
  </si>
  <si>
    <t>4.3 Modification Approval</t>
  </si>
  <si>
    <t>Design team prepares sketch plan. Buildability reviewed by GURNER team.
No dimensions on sketch plan. If dimensioned plans are provided, Gurner disclaimer must be added to plans.
Responsible: Design Team + Customisations Manager</t>
  </si>
  <si>
    <t>01. Preliminary cost ranges provided by Quantity Surveyor (QS or GURNER) as per table 6.2 in Customisations Framework
02. Updated $20k consultant &amp; Gurner allowance reported
03. Layout initialled
Produce letter: Customisations Manager
Review of letter: Development Manager
Responsible to issue: Sales Admin Team</t>
  </si>
  <si>
    <t>1.4 KEY MILESTONE: Layout and Cost Range Letter #1 Signed</t>
  </si>
  <si>
    <t>Executed via DocuSign
Responsible: Sales Admin Team</t>
  </si>
  <si>
    <t>1.2 Buildability Review</t>
  </si>
  <si>
    <t>Sketch peer reviewed by architect and converted to CAD with updated marketing plan.
Responsible: Customisations Manager</t>
  </si>
  <si>
    <t>01. Updated cost ranges provided by Quantity Surveyor (by Builder or QS) as per table 6.2 in Customisations Framework
02. Updated $20k consultant &amp; Gurner allowance reported
03. All documentation initialled by client
Produce letter: Customisations Manager
Review of letter: Development Manager
Responsible to issue: Sales Admin Team</t>
  </si>
  <si>
    <t>1.8 KEY MILESTONE: Interiors and Cost Range Letter #2 Signed</t>
  </si>
  <si>
    <t>Design phase completed. Move to Phase 2 – COST.</t>
  </si>
  <si>
    <t>Internal Gurner confirmation of cost build-up, margin alignment and final $20k soft costs allowance as per table 6.2 in Customisations Framework. Round final number to nearest $100.
Responsible: Development Manager + Customisations Manager</t>
  </si>
  <si>
    <t>Development team instructs QS to certify the cost impact of the agreed bespoke design changes.
Responsible: Development Manager</t>
  </si>
  <si>
    <t>3.1 Internal DOV Approval</t>
  </si>
  <si>
    <t>Internal Gurner sign-off prior to issuing Deed of Variation. Gurner initials each page before issue.
Responsible: Customisations Manager</t>
  </si>
  <si>
    <t>Vendor drafts and issues Deed of Variation formally documenting agreed bespoke works, amended plans and specifications, and price adjustment.
At the same time, the SA Invoice is also issued to the client.
Responsible: Sales Admin Team</t>
  </si>
  <si>
    <t>Builder instructed to proceed with variation and customisation.
Responsible: Development Manager</t>
  </si>
  <si>
    <t>Recommended latest date to submit planning modification application.
Responsible: Development Manager</t>
  </si>
  <si>
    <t>Customisations Framework (not specified in CoS)</t>
  </si>
  <si>
    <t>Builder instructed to price the customisation and provide constructability input. This builder-pricing step is an internal workflow requirement and is not specified in clause 40.2 of this CoS.
Responsible: Development Manager</t>
  </si>
  <si>
    <t>SC 68(c)(iii)</t>
  </si>
  <si>
    <t>SC 68(c)(iv) / SC 68(e)(i)–(ii)</t>
  </si>
  <si>
    <t>The purchaser must execute the Deed of Variation within 14 days after it is provided by the vendor. The contract is not varied unless and until the Deed of Variation is executed by both parties. If it is not executed, the property is delivered under the original Contract for Sale without the customisations.
Responsible: Sales Admin Team</t>
  </si>
  <si>
    <t>SC 68(f)</t>
  </si>
  <si>
    <t>If required, the customisation is conditional on the vendor obtaining approval from the relevant Consent Authority under section 4.55 of the Environmental Planning and Assessment Act 1979 (NSW). If approval is not obtained, is unlikely to be obtained, or is subject to conditions unacceptable to the vendor, the vendor may rescind the contract.
Responsible: Development Manager</t>
  </si>
  <si>
    <t>SC 68(c)(i)(B) – 150-day meeting only</t>
  </si>
  <si>
    <t>Customisations Framework; SC 68(c)(v) covers cost components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</si>
</sst>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Red]\-&quot;$&quot;#,##0"/>
    <numFmt numFmtId="43" formatCode="_-* #,##0.00_-;\-* #,##0.00_-;_-* &quot;-&quot;??_-;_-@_-"/>
    <numFmt numFmtId="164" formatCode="_-* #,##0_-;\-* #,##0_-;_-* &quot;-&quot;??_-;_-@_-"/>
  </numFmts>
  <fonts count="32" x14ac:knownFonts="1">
    <font>
      <sz val="11"/>
      <color theme="1"/>
      <name val="Calibri"/>
      <family val="2"/>
      <scheme val="minor"/>
    </font>
    <font>
      <u/>
      <sz val="11"/>
      <color theme="10"/>
      <name val="Calibri"/>
      <family val="2"/>
      <scheme val="minor"/>
    </font>
    <font>
      <b/>
      <sz val="10"/>
      <color theme="0"/>
      <name val="Arial"/>
      <family val="2"/>
    </font>
    <font>
      <sz val="10"/>
      <color theme="1"/>
      <name val="Arial"/>
      <family val="2"/>
    </font>
    <font>
      <u/>
      <sz val="10"/>
      <color theme="10"/>
      <name val="Arial"/>
      <family val="2"/>
    </font>
    <font>
      <b/>
      <sz val="14"/>
      <color theme="1"/>
      <name val="Arial"/>
      <family val="2"/>
    </font>
    <font>
      <sz val="10"/>
      <color rgb="FFFF0000"/>
      <name val="Arial"/>
      <family val="2"/>
    </font>
    <font>
      <b/>
      <sz val="10"/>
      <color rgb="FFC00000"/>
      <name val="Arial"/>
      <family val="2"/>
    </font>
    <font>
      <b/>
      <sz val="10"/>
      <color theme="9" tint="0.39997558519241921"/>
      <name val="Arial"/>
      <family val="2"/>
    </font>
    <font>
      <sz val="11"/>
      <color theme="1"/>
      <name val="Calibri"/>
      <family val="2"/>
      <scheme val="minor"/>
    </font>
    <font>
      <b/>
      <sz val="11"/>
      <color theme="0"/>
      <name val="Calibri"/>
      <family val="2"/>
      <scheme val="minor"/>
    </font>
    <font>
      <sz val="11"/>
      <color theme="0"/>
      <name val="Calibri"/>
      <family val="2"/>
      <scheme val="minor"/>
    </font>
    <font>
      <u/>
      <sz val="11"/>
      <color indexed="12"/>
      <name val="Arial"/>
      <family val="2"/>
    </font>
    <font>
      <sz val="11"/>
      <name val="Calibri"/>
      <family val="2"/>
      <scheme val="minor"/>
    </font>
    <font>
      <b/>
      <sz val="22"/>
      <color theme="1" tint="0.34998626667073579"/>
      <name val="Calibri Light"/>
      <family val="2"/>
      <scheme val="major"/>
    </font>
    <font>
      <sz val="14"/>
      <color theme="1"/>
      <name val="Calibri"/>
      <family val="2"/>
      <scheme val="minor"/>
    </font>
    <font>
      <b/>
      <sz val="10"/>
      <color rgb="FFFF0000"/>
      <name val="Arial"/>
      <family val="2"/>
    </font>
    <font>
      <b/>
      <sz val="11"/>
      <color rgb="FF000000"/>
      <name val="Arial"/>
      <family val="2"/>
    </font>
    <font>
      <b/>
      <sz val="11"/>
      <color theme="0"/>
      <name val="Arial"/>
      <family val="2"/>
    </font>
    <font>
      <sz val="11"/>
      <color rgb="FF000000"/>
      <name val="Arial"/>
      <family val="2"/>
    </font>
    <font>
      <b/>
      <sz val="11"/>
      <color theme="7" tint="0.79998168889431442"/>
      <name val="Arial"/>
      <family val="2"/>
    </font>
    <font>
      <sz val="11"/>
      <name val="Arial"/>
      <family val="2"/>
    </font>
    <font>
      <b/>
      <sz val="10"/>
      <color theme="1"/>
      <name val="Arial"/>
      <family val="2"/>
    </font>
    <font>
      <u/>
      <sz val="11"/>
      <color theme="1"/>
      <name val="Calibri"/>
      <family val="2"/>
      <scheme val="minor"/>
    </font>
    <font>
      <sz val="10"/>
      <color theme="0"/>
      <name val="Arial"/>
      <family val="2"/>
    </font>
    <font>
      <sz val="10"/>
      <name val="Arial"/>
      <family val="2"/>
    </font>
    <font>
      <b/>
      <sz val="11"/>
      <name val="Arial"/>
      <family val="2"/>
    </font>
    <font>
      <sz val="8"/>
      <color theme="1"/>
      <name val="Arial"/>
      <family val="2"/>
    </font>
    <font>
      <sz val="10"/>
      <color theme="1"/>
      <name val="Calibri"/>
      <family val="2"/>
      <scheme val="minor"/>
    </font>
    <font>
      <b/>
      <u/>
      <sz val="10"/>
      <color theme="1"/>
      <name val="Arial"/>
      <family val="2"/>
    </font>
    <font>
      <sz val="10.5"/>
      <color rgb="FF000000"/>
      <name val="Arial"/>
      <family val="2"/>
    </font>
    <font>
      <b/>
      <sz val="11"/>
      <color theme="1"/>
      <name val="Calibri"/>
      <family val="2"/>
      <scheme val="minor"/>
    </font>
  </fonts>
  <fills count="24">
    <fill>
      <patternFill patternType="none"/>
    </fill>
    <fill>
      <patternFill patternType="gray125"/>
    </fill>
    <fill>
      <patternFill patternType="solid">
        <fgColor theme="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0"/>
        <bgColor indexed="64"/>
      </patternFill>
    </fill>
    <fill>
      <patternFill patternType="solid">
        <fgColor rgb="FFFFE699"/>
        <bgColor rgb="FF000000"/>
      </patternFill>
    </fill>
    <fill>
      <patternFill patternType="solid">
        <fgColor theme="9" tint="0.79998168889431442"/>
        <bgColor indexed="64"/>
      </patternFill>
    </fill>
    <fill>
      <patternFill patternType="solid">
        <fgColor theme="1"/>
        <bgColor rgb="FF000000"/>
      </patternFill>
    </fill>
    <fill>
      <patternFill patternType="solid">
        <fgColor theme="2" tint="-0.499984740745262"/>
        <bgColor rgb="FF000000"/>
      </patternFill>
    </fill>
    <fill>
      <patternFill patternType="solid">
        <fgColor theme="7" tint="0.39997558519241921"/>
        <bgColor rgb="FF000000"/>
      </patternFill>
    </fill>
    <fill>
      <patternFill patternType="solid">
        <fgColor theme="4" tint="0.39997558519241921"/>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8"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1">
    <xf numFmtId="0" fontId="0" fillId="0" borderId="0"/>
    <xf numFmtId="0" fontId="1" fillId="0" borderId="0" applyNumberFormat="0" applyFill="0" applyBorder="0" applyAlignment="0" applyProtection="0"/>
    <xf numFmtId="0" fontId="11" fillId="0" borderId="0"/>
    <xf numFmtId="0" fontId="12" fillId="0" borderId="0" applyNumberFormat="0" applyFill="0" applyBorder="0" applyAlignment="0" applyProtection="0">
      <alignment vertical="top"/>
      <protection locked="0"/>
    </xf>
    <xf numFmtId="37" fontId="9" fillId="0" borderId="0" applyFont="0" applyFill="0" applyBorder="0" applyProtection="0">
      <alignment horizontal="center" vertical="center"/>
    </xf>
    <xf numFmtId="14" fontId="9" fillId="0" borderId="0" applyFont="0" applyFill="0" applyBorder="0">
      <alignment horizontal="center" vertical="center"/>
    </xf>
    <xf numFmtId="9" fontId="9" fillId="0" borderId="0" applyFont="0" applyFill="0" applyBorder="0" applyProtection="0">
      <alignment horizontal="center" vertical="center"/>
    </xf>
    <xf numFmtId="0" fontId="9" fillId="0" borderId="0" applyNumberFormat="0" applyFill="0" applyProtection="0">
      <alignment horizontal="right" vertical="center" indent="1"/>
    </xf>
    <xf numFmtId="0" fontId="14" fillId="0" borderId="0" applyNumberFormat="0" applyFill="0" applyBorder="0" applyAlignment="0" applyProtection="0"/>
    <xf numFmtId="0" fontId="15" fillId="0" borderId="0" applyNumberFormat="0" applyFill="0" applyAlignment="0" applyProtection="0"/>
    <xf numFmtId="43" fontId="9" fillId="0" borderId="0" applyFont="0" applyFill="0" applyBorder="0" applyAlignment="0" applyProtection="0"/>
  </cellStyleXfs>
  <cellXfs count="105">
    <xf numFmtId="0" fontId="0" fillId="0" borderId="0" xfId="0"/>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0" borderId="0" xfId="0" applyFont="1" applyAlignment="1">
      <alignment horizontal="center" vertical="top" wrapText="1"/>
    </xf>
    <xf numFmtId="0" fontId="3" fillId="0" borderId="0" xfId="0" applyFont="1" applyAlignment="1">
      <alignment vertical="top" wrapText="1"/>
    </xf>
    <xf numFmtId="6" fontId="3" fillId="0" borderId="1" xfId="0" applyNumberFormat="1" applyFont="1" applyBorder="1" applyAlignment="1">
      <alignment horizontal="center" vertical="top" wrapText="1"/>
    </xf>
    <xf numFmtId="14" fontId="3" fillId="0" borderId="1" xfId="0" applyNumberFormat="1" applyFont="1" applyBorder="1" applyAlignment="1">
      <alignment horizontal="center" vertical="top" wrapText="1"/>
    </xf>
    <xf numFmtId="0" fontId="5" fillId="0" borderId="0" xfId="0" applyFont="1" applyAlignment="1">
      <alignment horizontal="left" vertical="top"/>
    </xf>
    <xf numFmtId="0" fontId="3" fillId="3" borderId="0" xfId="0" applyFont="1" applyFill="1" applyAlignment="1">
      <alignment horizontal="center"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vertical="top" wrapText="1"/>
    </xf>
    <xf numFmtId="0" fontId="0" fillId="0" borderId="0" xfId="0" applyAlignment="1">
      <alignment horizontal="center"/>
    </xf>
    <xf numFmtId="0" fontId="3" fillId="11" borderId="0" xfId="0" applyFont="1" applyFill="1" applyAlignment="1">
      <alignment horizontal="center" vertical="top" wrapText="1"/>
    </xf>
    <xf numFmtId="0" fontId="18" fillId="12" borderId="0" xfId="0" applyFont="1" applyFill="1" applyAlignment="1">
      <alignment horizontal="center" vertical="top" wrapText="1"/>
    </xf>
    <xf numFmtId="0" fontId="18" fillId="13" borderId="0" xfId="0" applyFont="1" applyFill="1" applyAlignment="1">
      <alignment horizontal="center" vertical="center"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4" xfId="0" applyFont="1" applyFill="1" applyBorder="1" applyAlignment="1">
      <alignment vertical="top" wrapText="1"/>
    </xf>
    <xf numFmtId="0" fontId="2" fillId="5" borderId="4" xfId="0" applyFont="1" applyFill="1" applyBorder="1" applyAlignment="1">
      <alignment vertical="top" wrapText="1"/>
    </xf>
    <xf numFmtId="0" fontId="2" fillId="6" borderId="4" xfId="0" applyFont="1" applyFill="1" applyBorder="1" applyAlignment="1">
      <alignment vertical="top" wrapText="1"/>
    </xf>
    <xf numFmtId="0" fontId="2" fillId="2" borderId="5" xfId="0" applyFont="1" applyFill="1" applyBorder="1" applyAlignment="1">
      <alignment vertical="top" wrapText="1"/>
    </xf>
    <xf numFmtId="0" fontId="3" fillId="8" borderId="0" xfId="0" applyFont="1" applyFill="1" applyAlignment="1">
      <alignment horizontal="center" vertical="top" wrapText="1"/>
    </xf>
    <xf numFmtId="0" fontId="18" fillId="13" borderId="0" xfId="0" applyFont="1" applyFill="1" applyAlignment="1">
      <alignment horizontal="center" vertical="top" wrapText="1"/>
    </xf>
    <xf numFmtId="0" fontId="17" fillId="14" borderId="2" xfId="0" applyFont="1" applyFill="1" applyBorder="1" applyAlignment="1">
      <alignment horizontal="center" vertical="center"/>
    </xf>
    <xf numFmtId="0" fontId="19" fillId="10" borderId="2" xfId="0" applyFont="1" applyFill="1" applyBorder="1" applyAlignment="1">
      <alignment horizontal="center" vertical="center"/>
    </xf>
    <xf numFmtId="0" fontId="20" fillId="13" borderId="0" xfId="0" applyFont="1" applyFill="1" applyAlignment="1">
      <alignment horizontal="center" vertical="top" wrapText="1"/>
    </xf>
    <xf numFmtId="0" fontId="20" fillId="13" borderId="0" xfId="0" applyFont="1" applyFill="1" applyAlignment="1">
      <alignment horizontal="center" vertical="center" wrapText="1"/>
    </xf>
    <xf numFmtId="0" fontId="21" fillId="10" borderId="2" xfId="0" applyFont="1" applyFill="1" applyBorder="1" applyAlignment="1">
      <alignment horizontal="center" vertical="center"/>
    </xf>
    <xf numFmtId="0" fontId="20" fillId="12" borderId="0" xfId="0" applyFont="1" applyFill="1" applyAlignment="1">
      <alignment horizontal="center" vertical="top" wrapText="1"/>
    </xf>
    <xf numFmtId="0" fontId="22" fillId="11" borderId="0" xfId="0" applyFont="1" applyFill="1" applyAlignment="1">
      <alignment horizontal="center" vertical="top" wrapText="1"/>
    </xf>
    <xf numFmtId="0" fontId="22" fillId="8" borderId="0" xfId="0" applyFont="1" applyFill="1" applyAlignment="1">
      <alignment horizontal="center" vertical="top" wrapText="1"/>
    </xf>
    <xf numFmtId="0" fontId="22" fillId="0" borderId="1" xfId="0" applyFont="1" applyBorder="1" applyAlignment="1">
      <alignment horizontal="center" vertical="top" wrapText="1"/>
    </xf>
    <xf numFmtId="0" fontId="22" fillId="0" borderId="0" xfId="0" applyFont="1" applyAlignment="1">
      <alignment horizontal="center" vertical="top" wrapText="1"/>
    </xf>
    <xf numFmtId="14" fontId="3" fillId="11" borderId="1" xfId="0" applyNumberFormat="1" applyFont="1" applyFill="1" applyBorder="1" applyAlignment="1">
      <alignment horizontal="center" vertical="top" wrapText="1"/>
    </xf>
    <xf numFmtId="0" fontId="1" fillId="0" borderId="0" xfId="1"/>
    <xf numFmtId="0" fontId="0" fillId="0" borderId="0" xfId="0" applyAlignment="1">
      <alignment horizontal="center" wrapText="1"/>
    </xf>
    <xf numFmtId="0" fontId="0" fillId="0" borderId="0" xfId="0" applyAlignment="1">
      <alignment wrapText="1"/>
    </xf>
    <xf numFmtId="0" fontId="0" fillId="15" borderId="0" xfId="0" applyFill="1"/>
    <xf numFmtId="0" fontId="0" fillId="15" borderId="0" xfId="0" applyFill="1" applyAlignment="1">
      <alignment wrapText="1"/>
    </xf>
    <xf numFmtId="0" fontId="10" fillId="16" borderId="0" xfId="0" applyFont="1" applyFill="1" applyAlignment="1">
      <alignment horizontal="left" vertical="top" wrapText="1"/>
    </xf>
    <xf numFmtId="0" fontId="11" fillId="16" borderId="0" xfId="0" applyFont="1" applyFill="1" applyAlignment="1">
      <alignment horizontal="center" wrapText="1"/>
    </xf>
    <xf numFmtId="0" fontId="10" fillId="16" borderId="0" xfId="0" applyFont="1" applyFill="1"/>
    <xf numFmtId="0" fontId="23" fillId="0" borderId="0" xfId="0" applyFont="1"/>
    <xf numFmtId="14" fontId="3" fillId="7" borderId="1" xfId="0" applyNumberFormat="1" applyFont="1" applyFill="1" applyBorder="1" applyAlignment="1">
      <alignment horizontal="center" vertical="top" wrapText="1"/>
    </xf>
    <xf numFmtId="0" fontId="24" fillId="8" borderId="0" xfId="0" applyFont="1" applyFill="1" applyAlignment="1">
      <alignment horizontal="left" vertical="top" wrapText="1"/>
    </xf>
    <xf numFmtId="0" fontId="6" fillId="0" borderId="1" xfId="0" applyFont="1" applyBorder="1" applyAlignment="1">
      <alignment horizontal="center" vertical="top" wrapText="1"/>
    </xf>
    <xf numFmtId="0" fontId="25" fillId="0" borderId="1" xfId="0" applyFont="1" applyBorder="1" applyAlignment="1">
      <alignment vertical="top" wrapText="1"/>
    </xf>
    <xf numFmtId="0" fontId="25" fillId="9" borderId="1" xfId="0" applyFont="1" applyFill="1" applyBorder="1" applyAlignment="1">
      <alignment vertical="top" wrapText="1"/>
    </xf>
    <xf numFmtId="0" fontId="25" fillId="4" borderId="1" xfId="0" applyFont="1" applyFill="1" applyBorder="1" applyAlignment="1">
      <alignment vertical="top" wrapText="1"/>
    </xf>
    <xf numFmtId="14" fontId="3" fillId="18" borderId="1" xfId="0" applyNumberFormat="1" applyFont="1" applyFill="1" applyBorder="1" applyAlignment="1">
      <alignment horizontal="center" vertical="top" wrapText="1"/>
    </xf>
    <xf numFmtId="0" fontId="3" fillId="19" borderId="1" xfId="0" applyFont="1" applyFill="1" applyBorder="1" applyAlignment="1">
      <alignment vertical="top" wrapText="1"/>
    </xf>
    <xf numFmtId="0" fontId="2" fillId="2" borderId="0" xfId="0" applyFont="1" applyFill="1" applyAlignment="1">
      <alignment horizontal="center" vertical="top" wrapText="1"/>
    </xf>
    <xf numFmtId="0" fontId="26" fillId="0" borderId="0" xfId="0" applyFont="1" applyAlignment="1">
      <alignment horizontal="left" vertical="top" wrapText="1"/>
    </xf>
    <xf numFmtId="0" fontId="13" fillId="0" borderId="0" xfId="0" applyFont="1" applyAlignment="1">
      <alignment horizontal="left"/>
    </xf>
    <xf numFmtId="0" fontId="21" fillId="0" borderId="0" xfId="0" applyFont="1" applyAlignment="1">
      <alignment horizontal="left" vertical="top" wrapText="1"/>
    </xf>
    <xf numFmtId="0" fontId="27" fillId="17" borderId="0" xfId="0" applyFont="1" applyFill="1" applyAlignment="1">
      <alignment vertical="center" wrapText="1"/>
    </xf>
    <xf numFmtId="3" fontId="27" fillId="17" borderId="0" xfId="0" applyNumberFormat="1" applyFont="1" applyFill="1" applyAlignment="1">
      <alignment horizontal="center" vertical="center" wrapText="1"/>
    </xf>
    <xf numFmtId="0" fontId="3" fillId="0" borderId="1" xfId="0" applyFont="1" applyBorder="1" applyAlignment="1">
      <alignment vertical="center" wrapText="1"/>
    </xf>
    <xf numFmtId="3" fontId="28" fillId="0" borderId="1" xfId="0" applyNumberFormat="1" applyFont="1" applyBorder="1" applyAlignment="1">
      <alignment horizontal="center"/>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17" borderId="1" xfId="0" applyFont="1" applyFill="1" applyBorder="1" applyAlignment="1">
      <alignment vertical="center" wrapText="1"/>
    </xf>
    <xf numFmtId="0" fontId="3" fillId="17" borderId="1" xfId="0" applyFont="1" applyFill="1" applyBorder="1" applyAlignment="1">
      <alignment horizontal="center" vertical="center" wrapText="1"/>
    </xf>
    <xf numFmtId="3" fontId="3" fillId="17" borderId="1" xfId="0" applyNumberFormat="1" applyFont="1" applyFill="1" applyBorder="1" applyAlignment="1">
      <alignment horizontal="center" vertical="center" wrapText="1"/>
    </xf>
    <xf numFmtId="0" fontId="22" fillId="0" borderId="1" xfId="0" applyFont="1" applyBorder="1" applyAlignment="1">
      <alignment vertical="center" wrapText="1"/>
    </xf>
    <xf numFmtId="3" fontId="22" fillId="0" borderId="1" xfId="0" applyNumberFormat="1" applyFont="1" applyBorder="1" applyAlignment="1">
      <alignment horizontal="center" vertical="center" wrapText="1"/>
    </xf>
    <xf numFmtId="0" fontId="29" fillId="0" borderId="1" xfId="0" applyFont="1" applyBorder="1" applyAlignment="1">
      <alignment vertical="center" wrapText="1"/>
    </xf>
    <xf numFmtId="3" fontId="29" fillId="0" borderId="1" xfId="0" applyNumberFormat="1" applyFont="1" applyBorder="1" applyAlignment="1">
      <alignment horizontal="center" vertical="center" wrapText="1"/>
    </xf>
    <xf numFmtId="0" fontId="3" fillId="20" borderId="1" xfId="0" applyFont="1" applyFill="1" applyBorder="1" applyAlignment="1">
      <alignment horizontal="center"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4" fillId="0" borderId="7" xfId="1" applyFont="1" applyBorder="1" applyAlignment="1">
      <alignment vertical="top" wrapText="1"/>
    </xf>
    <xf numFmtId="0" fontId="18" fillId="13" borderId="1" xfId="0" applyFont="1" applyFill="1" applyBorder="1" applyAlignment="1">
      <alignment horizontal="center" vertical="top" wrapText="1"/>
    </xf>
    <xf numFmtId="0" fontId="2" fillId="2" borderId="1" xfId="0" applyFont="1" applyFill="1" applyBorder="1" applyAlignment="1">
      <alignment vertical="top" wrapText="1"/>
    </xf>
    <xf numFmtId="0" fontId="1" fillId="0" borderId="1" xfId="1" applyBorder="1" applyAlignment="1">
      <alignment vertical="top" wrapText="1"/>
    </xf>
    <xf numFmtId="0" fontId="1" fillId="0" borderId="1" xfId="1" applyBorder="1"/>
    <xf numFmtId="0" fontId="1" fillId="0" borderId="1" xfId="1" applyBorder="1" applyAlignment="1">
      <alignment wrapText="1"/>
    </xf>
    <xf numFmtId="164" fontId="30" fillId="0" borderId="1" xfId="10" applyNumberFormat="1" applyFont="1" applyBorder="1"/>
    <xf numFmtId="3" fontId="3" fillId="0" borderId="1" xfId="0" applyNumberFormat="1" applyFont="1" applyBorder="1" applyAlignment="1">
      <alignment wrapText="1"/>
    </xf>
    <xf numFmtId="0" fontId="3" fillId="0" borderId="1" xfId="0" applyFont="1" applyBorder="1" applyAlignment="1">
      <alignment wrapText="1"/>
    </xf>
    <xf numFmtId="0" fontId="1" fillId="0" borderId="7" xfId="1" applyBorder="1"/>
    <xf numFmtId="0" fontId="4" fillId="0" borderId="0" xfId="1" applyFont="1" applyBorder="1" applyAlignment="1">
      <alignment vertical="top" wrapText="1"/>
    </xf>
    <xf numFmtId="3" fontId="3" fillId="0" borderId="0" xfId="0" applyNumberFormat="1" applyFont="1" applyAlignment="1">
      <alignment wrapText="1"/>
    </xf>
    <xf numFmtId="0" fontId="17" fillId="14" borderId="0" xfId="0" applyFont="1" applyFill="1" applyAlignment="1">
      <alignment horizontal="center" vertical="center"/>
    </xf>
    <xf numFmtId="0" fontId="31" fillId="21" borderId="0" xfId="0" applyFont="1" applyFill="1"/>
    <xf numFmtId="0" fontId="0" fillId="0" borderId="0" xfId="0" applyAlignment="1">
      <alignment horizontal="left"/>
    </xf>
    <xf numFmtId="0" fontId="0" fillId="23" borderId="0" xfId="0" applyFill="1"/>
    <xf numFmtId="15" fontId="0" fillId="22" borderId="0" xfId="0" applyNumberFormat="1" applyFill="1"/>
    <xf numFmtId="0" fontId="0" fillId="22" borderId="0" xfId="0" applyFill="1"/>
    <xf numFmtId="4" fontId="31" fillId="23" borderId="0" xfId="0" applyNumberFormat="1" applyFont="1" applyFill="1"/>
    <xf numFmtId="4" fontId="0" fillId="0" borderId="0" xfId="0" applyNumberFormat="1"/>
    <xf numFmtId="0" fontId="0" fillId="22" borderId="8" xfId="0" applyFill="1" applyBorder="1"/>
    <xf numFmtId="0" fontId="31" fillId="23" borderId="2" xfId="0" applyFont="1" applyFill="1" applyBorder="1"/>
    <xf numFmtId="0" fontId="0" fillId="22" borderId="2" xfId="0" applyFill="1" applyBorder="1"/>
    <xf numFmtId="0" fontId="0" fillId="22" borderId="9" xfId="0" applyFill="1" applyBorder="1"/>
    <xf numFmtId="0" fontId="0" fillId="22" borderId="10" xfId="0" applyFill="1" applyBorder="1"/>
    <xf numFmtId="0" fontId="0" fillId="22" borderId="11" xfId="0" applyFill="1" applyBorder="1"/>
    <xf numFmtId="0" fontId="0" fillId="0" borderId="10" xfId="0" applyBorder="1"/>
    <xf numFmtId="4" fontId="0" fillId="0" borderId="11" xfId="0" applyNumberFormat="1" applyBorder="1"/>
    <xf numFmtId="0" fontId="0" fillId="0" borderId="11" xfId="0" applyBorder="1"/>
    <xf numFmtId="0" fontId="0" fillId="0" borderId="12" xfId="0" applyBorder="1"/>
    <xf numFmtId="0" fontId="0" fillId="23" borderId="13" xfId="0" applyFill="1" applyBorder="1"/>
    <xf numFmtId="0" fontId="0" fillId="0" borderId="13" xfId="0" applyBorder="1"/>
    <xf numFmtId="0" fontId="0" fillId="0" borderId="14" xfId="0" applyBorder="1"/>
    <xf numFmtId="0" fontId="10" fillId="16" borderId="0" xfId="0" applyFont="1" applyFill="1" applyAlignment="1">
      <alignment horizontal="left" vertical="top" wrapText="1"/>
    </xf>
  </cellXfs>
  <cellStyles count="11">
    <cellStyle name="Comma" xfId="10" builtinId="3"/>
    <cellStyle name="Comma [0] 2" xfId="4" xr:uid="{33EBDEDF-F412-4FB5-B870-0572F8CE8DBC}"/>
    <cellStyle name="Date" xfId="5" xr:uid="{E7C9CE5E-99F6-4792-B579-9FEAC1EF9F54}"/>
    <cellStyle name="Heading 1 2" xfId="9" xr:uid="{B8533B43-1B1C-4247-8C16-9A8DD9A22F75}"/>
    <cellStyle name="Heading 3 2" xfId="7" xr:uid="{F5E2F659-A0EB-4795-81B2-4230D38C87AF}"/>
    <cellStyle name="Hyperlink" xfId="1" builtinId="8"/>
    <cellStyle name="Hyperlink 2" xfId="3" xr:uid="{C0820F56-0A91-4C7C-A722-2040DE0A5DD7}"/>
    <cellStyle name="Normal" xfId="0" builtinId="0"/>
    <cellStyle name="Percent 2" xfId="6" xr:uid="{A7F9D9DB-E67C-4F92-8E56-67E85098E901}"/>
    <cellStyle name="Title 2" xfId="8" xr:uid="{6C335C11-FC28-4FA7-A1A6-90F51C0935E3}"/>
    <cellStyle name="zHiddenText" xfId="2" xr:uid="{3E8B7C04-D33D-41CD-8958-3077EADFCDF0}"/>
  </cellStyles>
  <dxfs count="23">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FF0000"/>
      </font>
      <fill>
        <patternFill patternType="none">
          <bgColor auto="1"/>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TableStyleMedium2" defaultPivotStyle="PivotStyleLight16">
    <tableStyle name="Gantt Table Style" pivot="0" count="4" xr9:uid="{CA0C9B12-9958-4038-92A6-C1E91BDEE471}">
      <tableStyleElement type="wholeTable" dxfId="22"/>
      <tableStyleElement type="headerRow" dxfId="21"/>
      <tableStyleElement type="firstRowStripe" dxfId="20"/>
      <tableStyleElement type="secondRowStripe" dxfId="19"/>
    </tableStyle>
    <tableStyle name="ToDoList" pivot="0" count="9" xr9:uid="{28B39DD8-5125-4B68-9350-7ACCF3F73419}">
      <tableStyleElement type="wholeTable" dxfId="18"/>
      <tableStyleElement type="headerRow" dxfId="17"/>
      <tableStyleElement type="totalRow" dxfId="16"/>
      <tableStyleElement type="firstColumn" dxfId="15"/>
      <tableStyleElement type="lastColumn" dxfId="14"/>
      <tableStyleElement type="firstRowStripe" dxfId="13"/>
      <tableStyleElement type="secondRowStripe" dxfId="12"/>
      <tableStyleElement type="firstColumnStripe" dxfId="11"/>
      <tableStyleElement type="second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Damon Wan" id="{CB5F4533-76C9-41B3-B3A8-BD44CA85AB75}" userId="S::damon@gurner.com.au::55123ee5-1c11-4fa5-9e61-910a7d26a88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8" dT="2026-03-02T06:49:25.87" personId="{CB5F4533-76C9-41B3-B3A8-BD44CA85AB75}" id="{58EF6FCD-1F1E-4861-BA0D-6B3CDA681369}">
    <text>Why?</text>
  </threadedComment>
  <threadedComment ref="S10" dT="2026-03-04T05:15:29.03" personId="{CB5F4533-76C9-41B3-B3A8-BD44CA85AB75}" id="{D4FB2309-D8D1-4384-BEA4-0685E27E061A}">
    <text>Has asked to amalgamate for land tax reasons</text>
  </threadedComment>
  <threadedComment ref="S11" dT="2026-03-04T05:15:29.03" personId="{CB5F4533-76C9-41B3-B3A8-BD44CA85AB75}" id="{1E28517F-2CCC-4AD3-A033-DE3EECEEA425}">
    <text>Has asked to amalgamate for land tax reasons</text>
  </threadedComment>
  <threadedComment ref="B13" dT="2025-12-16T06:24:27.64" personId="{CB5F4533-76C9-41B3-B3A8-BD44CA85AB75}" id="{463613D7-C230-4B46-BA3A-83CE60B06C96}">
    <text>Contracts Team don’t have the contract for 1901N. Do we need to ask Minters for it?</text>
  </threadedComment>
  <threadedComment ref="K13" dT="2025-12-16T06:03:50.27" personId="{CB5F4533-76C9-41B3-B3A8-BD44CA85AB75}" id="{7F2C15A3-D686-493F-8C82-5D4B78EAACAA}">
    <text>Extra 1x Carspace</text>
  </threadedComment>
  <threadedComment ref="R13" dT="2025-12-16T06:23:58.83" personId="{CB5F4533-76C9-41B3-B3A8-BD44CA85AB75}" id="{3DEC7407-18D1-48A1-8E76-D769B59F2A72}">
    <text>Need to check this.</text>
  </threadedComment>
  <threadedComment ref="T13" dT="2025-12-16T05:39:05.68" personId="{CB5F4533-76C9-41B3-B3A8-BD44CA85AB75}" id="{5DF1945B-7E8C-4D11-9B8F-0F2FADBF4F50}">
    <text>Need to check this - however customisations to the terrace have been agreed</text>
  </threadedComment>
  <threadedComment ref="K17" dT="2025-12-16T05:45:47.25" personId="{CB5F4533-76C9-41B3-B3A8-BD44CA85AB75}" id="{24B6A20D-ED2E-49F7-A8E1-279EDF900D06}">
    <text>WT estimate 21 Oct 2025</text>
  </threadedComment>
  <threadedComment ref="Q20" dT="2025-12-22T05:28:26.17" personId="{CB5F4533-76C9-41B3-B3A8-BD44CA85AB75}" id="{4454BE59-C37A-4586-B289-6CD681294B2D}">
    <text>Free upgrade to PH Collection offered by TG</text>
  </threadedComment>
  <threadedComment ref="Q21" dT="2025-12-22T05:28:26.17" personId="{CB5F4533-76C9-41B3-B3A8-BD44CA85AB75}" id="{814840D1-7165-4FF1-BAEF-2A7AA24F25A7}">
    <text>Free upgrade to PH Collection offered by TG</text>
  </threadedComment>
  <threadedComment ref="Q22" dT="2025-12-22T05:28:26.17" personId="{CB5F4533-76C9-41B3-B3A8-BD44CA85AB75}" id="{FCBB0E4E-0620-429C-B643-0486F6C53DBA}">
    <text>Free upgrade to PH Collection offered by TG</text>
  </threadedComment>
  <threadedComment ref="V22" dT="2026-03-04T04:53:05.30" personId="{CB5F4533-76C9-41B3-B3A8-BD44CA85AB75}" id="{C661D334-B830-48A4-9127-82AD50EB7EE4}">
    <text>Email from Sean Carey 04/03 saying this was instructed by Tim</text>
  </threadedComment>
  <threadedComment ref="W22" dT="2026-03-04T04:53:05.30" personId="{CB5F4533-76C9-41B3-B3A8-BD44CA85AB75}" id="{F588C510-64D4-4BD7-9A7D-4CF8DCDEBB42}">
    <text>Email from Sean Carey 04/03 saying this was instructed by Tim</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5FB1F3-3C9C-415B-B0D0-9C7B0C834F16}">
  <we:reference id="WA200010215" version="2.0.0.0" store="Omex" storeType="OMEX"/>
  <we:alternateReferences>
    <we:reference id="WA200010215" version="2.0.0.0" store="WA200010215" storeType="OMEX"/>
  </we:alternateReferences>
  <we:properties>
    <we:property name="bps.codex_control.document_id" value="&quot;2d0a88ef-d183-4209-b30e-3435169ad67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f:/s/02.Projects/IgDmWd0bf_lWQ5QLuRL6OyJXAbgtBoLN1Z_e6VAm1VQtwdI?e=e5vpH6" TargetMode="External"/><Relationship Id="rId13" Type="http://schemas.openxmlformats.org/officeDocument/2006/relationships/hyperlink" Target="../../../../../../../../../:f:/s/02.Projects/IgDx6Ba7dAKuTJ-bxn1Y00hLAbKtNB-omyRN-kUKlTOtxOM?e=C5AtXK" TargetMode="External"/><Relationship Id="rId18" Type="http://schemas.microsoft.com/office/2017/10/relationships/threadedComment" Target="../threadedComments/threadedComment1.xml"/><Relationship Id="rId3" Type="http://schemas.openxmlformats.org/officeDocument/2006/relationships/hyperlink" Target="../../../../../../../../../:f:/s/02.Projects/IgBUvnRfoWNqTZ4ZrLSW6lOEAYLrgSrGHk1ikohW0A6349Y?e=IuUnqc" TargetMode="External"/><Relationship Id="rId7" Type="http://schemas.openxmlformats.org/officeDocument/2006/relationships/hyperlink" Target="../../../../../../../../../:f:/s/02.Projects/IgDdeGe7T7x6R4sT0MKZU2vkAVwKExxAp7uEsd3-OE9vJNQ?e=MSRqtf" TargetMode="External"/><Relationship Id="rId12" Type="http://schemas.openxmlformats.org/officeDocument/2006/relationships/hyperlink" Target="../../../../../../../../../:f:/s/02.Projects/IgCnF1AbuplIT7Wadl930VifAdj55ZnEdIdrlmwagaUeBNM?e=ZekDUh" TargetMode="External"/><Relationship Id="rId17" Type="http://schemas.openxmlformats.org/officeDocument/2006/relationships/comments" Target="../comments1.xml"/><Relationship Id="rId2" Type="http://schemas.openxmlformats.org/officeDocument/2006/relationships/hyperlink" Target="../../../../../../../../../:f:/s/02.Projects/IgDgjQTLbudASq3mUxmDgkG7AWQGTo4A6kSTXdhXFKnKSBU?e=s8QAZT" TargetMode="External"/><Relationship Id="rId16" Type="http://schemas.openxmlformats.org/officeDocument/2006/relationships/vmlDrawing" Target="../drawings/vmlDrawing1.vml"/><Relationship Id="rId1" Type="http://schemas.openxmlformats.org/officeDocument/2006/relationships/hyperlink" Target="../../../../../../../../../:f:/s/02.Projects/IgDSe2H7zLFPTI_qWKLCXnBXAcq8FmwyAUOw6bK562PaFzM?e=577mAM" TargetMode="External"/><Relationship Id="rId6" Type="http://schemas.openxmlformats.org/officeDocument/2006/relationships/hyperlink" Target="../../../../../../../../../:f:/s/02.Projects/IgAGSowfmzAtSZBVIBZA0LXeASiqn25aMmTrTiywxnr1SH0?e=dboKRp" TargetMode="External"/><Relationship Id="rId11" Type="http://schemas.openxmlformats.org/officeDocument/2006/relationships/hyperlink" Target="../../../../../../../../../:f:/s/02.Projects/IgDFP52OzY1bRYAxoArNl5H4AU5rzp0VjLURdjSX78gggHs?e=HCjBWo" TargetMode="External"/><Relationship Id="rId5" Type="http://schemas.openxmlformats.org/officeDocument/2006/relationships/hyperlink" Target="../../../../../../../../../:f:/s/02.Projects/IgCts-pjIZazTIqzXSYDcgfnAd5ey9JdxsYKXpeAQ3xYgRM?e=A2y4lf" TargetMode="External"/><Relationship Id="rId15" Type="http://schemas.openxmlformats.org/officeDocument/2006/relationships/printerSettings" Target="../printerSettings/printerSettings1.bin"/><Relationship Id="rId10" Type="http://schemas.openxmlformats.org/officeDocument/2006/relationships/hyperlink" Target="../../../../../../../../../:f:/s/02.Projects/IgD1MRlpLEVTTZ-Ls6bnn9TtAVuyhAjFGiiMISEnrrDB2JQ?e=iFAJhB" TargetMode="External"/><Relationship Id="rId4" Type="http://schemas.openxmlformats.org/officeDocument/2006/relationships/hyperlink" Target="../../../../../../../../../:f:/s/02.Projects/IgCts-pjIZazTIqzXSYDcgfnAd5ey9JdxsYKXpeAQ3xYgRM?e=A2y4lf" TargetMode="External"/><Relationship Id="rId9" Type="http://schemas.openxmlformats.org/officeDocument/2006/relationships/hyperlink" Target="../../../../../../../../../:f:/s/02.Projects/IgCvzk08e6b0QK6VKVxy3qALAR2zLcztA_38FGzl48IothU?e=CjzgSh" TargetMode="External"/><Relationship Id="rId14" Type="http://schemas.openxmlformats.org/officeDocument/2006/relationships/hyperlink" Target="../../../../../../../../../:f:/s/02.Projects/IgC20Kw53YIoSqi0UZVEaec9AWTM5Xg4FsxHaL8_BB2WLJ4?e=gTowZ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B2:BF185"/>
  <sheetViews>
    <sheetView showGridLines="0" tabSelected="1" topLeftCell="A4" zoomScale="85" zoomScaleNormal="85" workbookViewId="0">
      <pane xSplit="2" ySplit="4" topLeftCell="K10" activePane="bottomRight" state="frozen"/>
      <selection pane="topRight" activeCell="C4" sqref="C4"/>
      <selection pane="bottomLeft" activeCell="A8" sqref="A8"/>
      <selection pane="bottomRight" activeCell="AC12" sqref="AC12"/>
    </sheetView>
  </sheetViews>
  <sheetFormatPr defaultColWidth="9.140625" defaultRowHeight="12.75" outlineLevelCol="2" x14ac:dyDescent="0.25"/>
  <cols>
    <col min="1" max="1" width="1.42578125" style="4" customWidth="1"/>
    <col min="2" max="2" width="15.42578125" style="32" customWidth="1"/>
    <col min="3" max="3" width="7.5703125" style="3" customWidth="1"/>
    <col min="4" max="6" width="18.140625" style="3" customWidth="1"/>
    <col min="7" max="7" width="13.42578125" style="3" bestFit="1" customWidth="1"/>
    <col min="8" max="8" width="13.42578125" style="3" customWidth="1"/>
    <col min="9" max="9" width="17.5703125" style="3" customWidth="1"/>
    <col min="10" max="10" width="12" style="3" customWidth="1"/>
    <col min="11" max="11" width="15.28515625" style="3" customWidth="1"/>
    <col min="12" max="12" width="19" style="3" customWidth="1"/>
    <col min="13" max="23" width="12" style="3" customWidth="1"/>
    <col min="24" max="24" width="14.140625" style="3" customWidth="1"/>
    <col min="25" max="25" width="18.85546875" style="3" customWidth="1"/>
    <col min="26" max="26" width="25.28515625" style="3" customWidth="1" outlineLevel="1"/>
    <col min="27" max="33" width="25.28515625" style="3" customWidth="1" outlineLevel="2"/>
    <col min="34" max="34" width="25.28515625" style="3" customWidth="1" outlineLevel="1"/>
    <col min="35" max="36" width="25.28515625" style="3" customWidth="1" outlineLevel="2"/>
    <col min="37" max="37" width="25.28515625" style="3" customWidth="1" outlineLevel="1"/>
    <col min="38" max="38" width="25.28515625" style="3" customWidth="1" outlineLevel="2"/>
    <col min="39" max="40" width="25.28515625" style="3" customWidth="1" outlineLevel="1"/>
    <col min="41" max="42" width="25.28515625" style="3" customWidth="1" outlineLevel="2"/>
    <col min="43" max="44" width="25.28515625" style="3" customWidth="1" outlineLevel="1"/>
    <col min="45" max="45" width="48.85546875" style="4" customWidth="1"/>
    <col min="46" max="46" width="12.5703125" style="4" customWidth="1"/>
    <col min="47" max="47" width="15.140625" style="2" customWidth="1"/>
    <col min="48" max="49" width="15.140625" style="4" customWidth="1"/>
    <col min="50" max="50" width="17.28515625" style="4" customWidth="1"/>
    <col min="51" max="53" width="15.140625" style="4" customWidth="1"/>
    <col min="54" max="54" width="27.85546875" style="4" customWidth="1"/>
    <col min="55" max="55" width="38.5703125" style="4" customWidth="1"/>
    <col min="56" max="56" width="21.7109375" style="4" customWidth="1"/>
    <col min="57" max="57" width="52.42578125" style="4" customWidth="1"/>
    <col min="58" max="58" width="38.5703125" style="4" customWidth="1"/>
    <col min="59" max="16384" width="9.140625" style="4"/>
  </cols>
  <sheetData>
    <row r="2" spans="2:58" ht="26.25" thickBot="1" x14ac:dyDescent="0.3">
      <c r="B2" s="7" t="s">
        <v>0</v>
      </c>
      <c r="S2" s="3" t="s">
        <v>1</v>
      </c>
      <c r="T2" s="8">
        <f>COUNTIF(T10:T94,"YES")</f>
        <v>11</v>
      </c>
    </row>
    <row r="3" spans="2:58" ht="15" x14ac:dyDescent="0.25">
      <c r="B3" s="29"/>
      <c r="C3" s="12"/>
      <c r="D3" s="12"/>
      <c r="E3" s="12"/>
      <c r="F3" s="12"/>
      <c r="G3" s="12"/>
      <c r="H3" s="12"/>
      <c r="I3" s="12"/>
      <c r="J3" s="12"/>
      <c r="K3" s="12"/>
      <c r="L3" s="12"/>
      <c r="M3" s="12"/>
      <c r="N3" s="12"/>
      <c r="O3" s="12"/>
      <c r="P3" s="12"/>
      <c r="Q3" s="12"/>
      <c r="R3" s="12"/>
      <c r="S3" s="12"/>
      <c r="T3" s="12"/>
      <c r="U3" s="12"/>
      <c r="V3" s="12"/>
      <c r="W3" s="12"/>
      <c r="Z3" s="23" t="s">
        <v>2</v>
      </c>
      <c r="AA3" s="24" t="s">
        <v>3</v>
      </c>
      <c r="AB3" s="24"/>
      <c r="AC3" s="24"/>
      <c r="AD3" s="24" t="s">
        <v>3</v>
      </c>
      <c r="AE3" s="24"/>
      <c r="AF3" s="24" t="s">
        <v>3</v>
      </c>
      <c r="AG3" s="24" t="s">
        <v>3</v>
      </c>
      <c r="AH3" s="23" t="s">
        <v>2</v>
      </c>
      <c r="AI3" s="27" t="s">
        <v>3</v>
      </c>
      <c r="AJ3" s="27" t="s">
        <v>3</v>
      </c>
      <c r="AK3" s="23" t="s">
        <v>2</v>
      </c>
      <c r="AL3" s="24" t="s">
        <v>3</v>
      </c>
      <c r="AM3" s="23" t="s">
        <v>2</v>
      </c>
      <c r="AN3" s="23" t="s">
        <v>2</v>
      </c>
      <c r="AO3" s="24" t="s">
        <v>3</v>
      </c>
      <c r="AP3" s="24" t="s">
        <v>3</v>
      </c>
      <c r="AQ3" s="23" t="s">
        <v>2</v>
      </c>
      <c r="AR3" s="83"/>
    </row>
    <row r="4" spans="2:58" ht="63.75" customHeight="1" x14ac:dyDescent="0.25">
      <c r="B4" s="30"/>
      <c r="C4" s="21"/>
      <c r="D4" s="21"/>
      <c r="E4" s="21"/>
      <c r="F4" s="21"/>
      <c r="G4" s="21"/>
      <c r="H4" s="21"/>
      <c r="I4" s="21"/>
      <c r="J4" s="21"/>
      <c r="K4" s="21"/>
      <c r="L4" s="21"/>
      <c r="M4" s="21"/>
      <c r="N4" s="21"/>
      <c r="O4" s="21"/>
      <c r="P4" s="21"/>
      <c r="Q4" s="21"/>
      <c r="R4" s="21"/>
      <c r="S4" s="21"/>
      <c r="T4" s="21"/>
      <c r="U4" s="44" t="s">
        <v>4</v>
      </c>
      <c r="V4" s="21"/>
      <c r="W4" s="21"/>
      <c r="X4" s="22"/>
      <c r="Y4" s="22"/>
      <c r="Z4" s="22" t="s">
        <v>5</v>
      </c>
      <c r="AA4" s="25" t="s">
        <v>347</v>
      </c>
      <c r="AB4" s="25" t="s">
        <v>348</v>
      </c>
      <c r="AC4" s="25" t="s">
        <v>350</v>
      </c>
      <c r="AD4" s="25" t="s">
        <v>347</v>
      </c>
      <c r="AE4" s="25" t="s">
        <v>352</v>
      </c>
      <c r="AF4" s="25" t="s">
        <v>353</v>
      </c>
      <c r="AG4" s="25" t="s">
        <v>350</v>
      </c>
      <c r="AH4" s="22" t="s">
        <v>355</v>
      </c>
      <c r="AI4" s="25" t="s">
        <v>364</v>
      </c>
      <c r="AJ4" s="25" t="s">
        <v>356</v>
      </c>
      <c r="AK4" s="22" t="s">
        <v>357</v>
      </c>
      <c r="AL4" s="25" t="s">
        <v>359</v>
      </c>
      <c r="AM4" s="22" t="s">
        <v>360</v>
      </c>
      <c r="AN4" s="22" t="s">
        <v>367</v>
      </c>
      <c r="AO4" s="25" t="s">
        <v>361</v>
      </c>
      <c r="AP4" s="25" t="s">
        <v>362</v>
      </c>
      <c r="AQ4" s="22" t="s">
        <v>369</v>
      </c>
      <c r="AR4" s="22"/>
      <c r="AS4" s="22"/>
      <c r="AT4" s="22"/>
      <c r="AU4" s="72"/>
      <c r="AV4" s="22"/>
      <c r="AW4" s="22"/>
      <c r="AX4" s="22"/>
      <c r="AY4" s="22"/>
      <c r="AZ4" s="22"/>
      <c r="BA4" s="22"/>
      <c r="BB4" s="22"/>
      <c r="BC4" s="22"/>
      <c r="BD4" s="22"/>
      <c r="BE4" s="22"/>
      <c r="BF4" s="22"/>
    </row>
    <row r="5" spans="2:58" ht="60" x14ac:dyDescent="0.25">
      <c r="B5" s="30"/>
      <c r="C5" s="21"/>
      <c r="D5" s="21"/>
      <c r="E5" s="21"/>
      <c r="F5" s="21"/>
      <c r="G5" s="21"/>
      <c r="H5" s="21"/>
      <c r="I5" s="21"/>
      <c r="J5" s="21"/>
      <c r="K5" s="21"/>
      <c r="L5" s="21"/>
      <c r="M5" s="21"/>
      <c r="N5" s="21"/>
      <c r="O5" s="21"/>
      <c r="P5" s="21"/>
      <c r="Q5" s="21"/>
      <c r="R5" s="21"/>
      <c r="S5" s="21"/>
      <c r="T5" s="21"/>
      <c r="U5" s="21"/>
      <c r="V5" s="21"/>
      <c r="W5" s="21"/>
      <c r="X5" s="14"/>
      <c r="Y5" s="14"/>
      <c r="Z5" s="14" t="s">
        <v>6</v>
      </c>
      <c r="AA5" s="26" t="s">
        <v>7</v>
      </c>
      <c r="AB5" s="26" t="s">
        <v>7</v>
      </c>
      <c r="AC5" s="26" t="s">
        <v>7</v>
      </c>
      <c r="AD5" s="26" t="s">
        <v>7</v>
      </c>
      <c r="AE5" s="26" t="s">
        <v>7</v>
      </c>
      <c r="AF5" s="26" t="s">
        <v>7</v>
      </c>
      <c r="AG5" s="26" t="s">
        <v>7</v>
      </c>
      <c r="AH5" s="14" t="s">
        <v>370</v>
      </c>
      <c r="AI5" s="26" t="s">
        <v>363</v>
      </c>
      <c r="AJ5" s="26" t="s">
        <v>7</v>
      </c>
      <c r="AK5" s="14" t="s">
        <v>371</v>
      </c>
      <c r="AL5" s="26" t="s">
        <v>7</v>
      </c>
      <c r="AM5" s="14" t="s">
        <v>365</v>
      </c>
      <c r="AN5" s="14" t="s">
        <v>366</v>
      </c>
      <c r="AO5" s="26"/>
      <c r="AP5" s="26" t="s">
        <v>8</v>
      </c>
      <c r="AQ5" s="14" t="s">
        <v>368</v>
      </c>
      <c r="AR5" s="14"/>
      <c r="AS5" s="14"/>
      <c r="AT5" s="14"/>
      <c r="AU5" s="72"/>
      <c r="AV5" s="14"/>
      <c r="AW5" s="14"/>
      <c r="AX5" s="14"/>
      <c r="AY5" s="14"/>
      <c r="AZ5" s="14"/>
      <c r="BA5" s="14"/>
      <c r="BB5" s="14"/>
      <c r="BC5" s="14"/>
      <c r="BD5" s="14"/>
      <c r="BE5" s="14"/>
      <c r="BF5" s="14"/>
    </row>
    <row r="6" spans="2:58" ht="45" customHeight="1" x14ac:dyDescent="0.25">
      <c r="B6" s="30"/>
      <c r="C6" s="21"/>
      <c r="D6" s="21"/>
      <c r="E6" s="21"/>
      <c r="F6" s="21"/>
      <c r="G6" s="21"/>
      <c r="H6" s="21"/>
      <c r="I6" s="21"/>
      <c r="J6" s="21"/>
      <c r="K6" s="21"/>
      <c r="L6" s="21"/>
      <c r="M6" s="21"/>
      <c r="N6" s="21"/>
      <c r="O6" s="21"/>
      <c r="P6" s="21"/>
      <c r="Q6" s="21"/>
      <c r="R6" s="21"/>
      <c r="S6" s="21"/>
      <c r="T6" s="21"/>
      <c r="U6" s="21"/>
      <c r="V6" s="21"/>
      <c r="W6" s="21"/>
      <c r="X6" s="14"/>
      <c r="Y6" s="14"/>
      <c r="Z6" s="14" t="s">
        <v>9</v>
      </c>
      <c r="AA6" s="26" t="s">
        <v>10</v>
      </c>
      <c r="AB6" s="26" t="s">
        <v>11</v>
      </c>
      <c r="AC6" s="26" t="s">
        <v>12</v>
      </c>
      <c r="AD6" s="26" t="s">
        <v>10</v>
      </c>
      <c r="AE6" s="26" t="s">
        <v>13</v>
      </c>
      <c r="AF6" s="26" t="s">
        <v>14</v>
      </c>
      <c r="AG6" s="26" t="s">
        <v>15</v>
      </c>
      <c r="AH6" s="14" t="s">
        <v>332</v>
      </c>
      <c r="AI6" s="26" t="s">
        <v>16</v>
      </c>
      <c r="AJ6" s="26" t="s">
        <v>17</v>
      </c>
      <c r="AK6" s="14" t="s">
        <v>18</v>
      </c>
      <c r="AL6" s="26" t="s">
        <v>19</v>
      </c>
      <c r="AM6" s="14" t="s">
        <v>20</v>
      </c>
      <c r="AN6" s="14" t="s">
        <v>21</v>
      </c>
      <c r="AO6" s="26" t="s">
        <v>22</v>
      </c>
      <c r="AP6" s="26" t="s">
        <v>23</v>
      </c>
      <c r="AQ6" s="14" t="s">
        <v>24</v>
      </c>
      <c r="AR6" s="14"/>
      <c r="AS6" s="14"/>
      <c r="AT6" s="14"/>
      <c r="AU6" s="72"/>
      <c r="AV6" s="14"/>
      <c r="AW6" s="14"/>
      <c r="AX6" s="14"/>
      <c r="AY6" s="14"/>
      <c r="AZ6" s="14"/>
      <c r="BA6" s="14"/>
      <c r="BB6" s="14"/>
      <c r="BC6" s="14"/>
      <c r="BD6" s="14"/>
      <c r="BE6" s="14"/>
      <c r="BF6" s="14"/>
    </row>
    <row r="7" spans="2:58" ht="75" x14ac:dyDescent="0.25">
      <c r="B7" s="15" t="s">
        <v>25</v>
      </c>
      <c r="C7" s="16" t="s">
        <v>26</v>
      </c>
      <c r="D7" s="16" t="s">
        <v>27</v>
      </c>
      <c r="E7" s="16" t="s">
        <v>28</v>
      </c>
      <c r="F7" s="16" t="s">
        <v>29</v>
      </c>
      <c r="G7" s="16" t="s">
        <v>30</v>
      </c>
      <c r="H7" s="16" t="s">
        <v>31</v>
      </c>
      <c r="I7" s="16" t="s">
        <v>32</v>
      </c>
      <c r="J7" s="16" t="s">
        <v>33</v>
      </c>
      <c r="K7" s="16" t="s">
        <v>34</v>
      </c>
      <c r="L7" s="16" t="s">
        <v>35</v>
      </c>
      <c r="M7" s="16" t="s">
        <v>36</v>
      </c>
      <c r="N7" s="16" t="s">
        <v>37</v>
      </c>
      <c r="O7" s="16" t="s">
        <v>38</v>
      </c>
      <c r="P7" s="16" t="s">
        <v>39</v>
      </c>
      <c r="Q7" s="16" t="s">
        <v>40</v>
      </c>
      <c r="R7" s="16" t="s">
        <v>41</v>
      </c>
      <c r="S7" s="16" t="s">
        <v>42</v>
      </c>
      <c r="T7" s="16" t="s">
        <v>43</v>
      </c>
      <c r="U7" s="16" t="s">
        <v>44</v>
      </c>
      <c r="V7" s="16" t="s">
        <v>45</v>
      </c>
      <c r="W7" s="16" t="s">
        <v>46</v>
      </c>
      <c r="X7" s="16" t="s">
        <v>47</v>
      </c>
      <c r="Y7" s="51" t="s">
        <v>48</v>
      </c>
      <c r="Z7" s="13" t="s">
        <v>49</v>
      </c>
      <c r="AA7" s="28" t="s">
        <v>334</v>
      </c>
      <c r="AB7" s="28" t="s">
        <v>335</v>
      </c>
      <c r="AC7" s="28" t="s">
        <v>349</v>
      </c>
      <c r="AD7" s="28" t="s">
        <v>351</v>
      </c>
      <c r="AE7" s="28" t="s">
        <v>336</v>
      </c>
      <c r="AF7" s="28" t="s">
        <v>337</v>
      </c>
      <c r="AG7" s="28" t="s">
        <v>354</v>
      </c>
      <c r="AH7" s="13" t="s">
        <v>338</v>
      </c>
      <c r="AI7" s="28" t="s">
        <v>339</v>
      </c>
      <c r="AJ7" s="28" t="s">
        <v>340</v>
      </c>
      <c r="AK7" s="13" t="s">
        <v>341</v>
      </c>
      <c r="AL7" s="28" t="s">
        <v>358</v>
      </c>
      <c r="AM7" s="13" t="s">
        <v>342</v>
      </c>
      <c r="AN7" s="13" t="s">
        <v>343</v>
      </c>
      <c r="AO7" s="28" t="s">
        <v>344</v>
      </c>
      <c r="AP7" s="28" t="s">
        <v>345</v>
      </c>
      <c r="AQ7" s="13" t="s">
        <v>346</v>
      </c>
      <c r="AR7" s="13" t="s">
        <v>66</v>
      </c>
      <c r="AS7" s="17" t="s">
        <v>67</v>
      </c>
      <c r="AT7" s="17" t="s">
        <v>68</v>
      </c>
      <c r="AU7" s="73" t="s">
        <v>69</v>
      </c>
      <c r="AV7" s="17" t="s">
        <v>70</v>
      </c>
      <c r="AW7" s="17" t="s">
        <v>71</v>
      </c>
      <c r="AX7" s="18" t="s">
        <v>72</v>
      </c>
      <c r="AY7" s="18" t="s">
        <v>73</v>
      </c>
      <c r="AZ7" s="19" t="s">
        <v>74</v>
      </c>
      <c r="BA7" s="19" t="s">
        <v>75</v>
      </c>
      <c r="BB7" s="20" t="s">
        <v>76</v>
      </c>
      <c r="BC7" s="20" t="s">
        <v>77</v>
      </c>
      <c r="BD7" s="20" t="s">
        <v>78</v>
      </c>
      <c r="BE7" s="20" t="s">
        <v>79</v>
      </c>
      <c r="BF7" s="20" t="s">
        <v>80</v>
      </c>
    </row>
    <row r="8" spans="2:58" ht="58.15" customHeight="1" x14ac:dyDescent="0.25">
      <c r="B8" s="31" t="s">
        <v>81</v>
      </c>
      <c r="C8" s="1">
        <v>48</v>
      </c>
      <c r="D8" s="1" t="s">
        <v>82</v>
      </c>
      <c r="E8" s="1"/>
      <c r="F8" s="1" t="s">
        <v>83</v>
      </c>
      <c r="G8" s="1" t="s">
        <v>84</v>
      </c>
      <c r="H8" s="1"/>
      <c r="I8" s="6">
        <v>46057</v>
      </c>
      <c r="J8" s="5">
        <v>9600000</v>
      </c>
      <c r="K8" s="5" t="s">
        <v>85</v>
      </c>
      <c r="L8" s="6">
        <v>45909</v>
      </c>
      <c r="M8" s="1">
        <v>1</v>
      </c>
      <c r="N8" s="1">
        <v>0</v>
      </c>
      <c r="O8" s="1">
        <v>0</v>
      </c>
      <c r="P8" s="1">
        <v>0</v>
      </c>
      <c r="Q8" s="1" t="s">
        <v>86</v>
      </c>
      <c r="R8" s="1" t="s">
        <v>87</v>
      </c>
      <c r="S8" s="1" t="s">
        <v>88</v>
      </c>
      <c r="T8" s="1" t="s">
        <v>88</v>
      </c>
      <c r="U8" s="1" t="s">
        <v>89</v>
      </c>
      <c r="V8" s="1" t="s">
        <v>89</v>
      </c>
      <c r="W8" s="1" t="s">
        <v>89</v>
      </c>
      <c r="X8" s="9" t="s">
        <v>90</v>
      </c>
      <c r="Y8" s="1" t="s">
        <v>91</v>
      </c>
      <c r="Z8" s="6">
        <f>WORKDAY(I8,20)</f>
        <v>46085</v>
      </c>
      <c r="AA8" s="49" t="s">
        <v>333</v>
      </c>
      <c r="AB8" s="6"/>
      <c r="AC8" s="6"/>
      <c r="AD8" s="43"/>
      <c r="AE8" s="43"/>
      <c r="AF8" s="43"/>
      <c r="AG8" s="43"/>
      <c r="AH8" s="43"/>
      <c r="AI8" s="43"/>
      <c r="AJ8" s="43"/>
      <c r="AK8" s="43"/>
      <c r="AL8" s="43"/>
      <c r="AM8" s="43"/>
      <c r="AN8" s="43"/>
      <c r="AO8" s="43"/>
      <c r="AP8" s="43"/>
      <c r="AQ8" s="43"/>
      <c r="AR8" s="43">
        <v>47517</v>
      </c>
      <c r="AS8" s="2"/>
      <c r="AT8" s="69" t="s">
        <v>92</v>
      </c>
      <c r="AU8" s="74" t="s">
        <v>93</v>
      </c>
      <c r="AV8" s="34"/>
      <c r="AW8" s="2"/>
      <c r="AX8" s="2"/>
      <c r="AY8" s="2"/>
      <c r="AZ8" s="2"/>
      <c r="BA8" s="2"/>
      <c r="BB8" s="2"/>
      <c r="BC8" s="46" t="s">
        <v>94</v>
      </c>
      <c r="BD8" s="46" t="s">
        <v>138</v>
      </c>
      <c r="BE8" s="46" t="s">
        <v>96</v>
      </c>
      <c r="BF8" s="46" t="s">
        <v>85</v>
      </c>
    </row>
    <row r="9" spans="2:58" ht="25.5" hidden="1" x14ac:dyDescent="0.25">
      <c r="B9" s="31" t="s">
        <v>97</v>
      </c>
      <c r="C9" s="1">
        <v>49</v>
      </c>
      <c r="D9" s="1" t="s">
        <v>82</v>
      </c>
      <c r="E9" s="1"/>
      <c r="F9" s="1" t="s">
        <v>83</v>
      </c>
      <c r="G9" s="1" t="s">
        <v>84</v>
      </c>
      <c r="H9" s="1"/>
      <c r="I9" s="6">
        <v>46057</v>
      </c>
      <c r="J9" s="5">
        <v>6400000</v>
      </c>
      <c r="K9" s="5" t="s">
        <v>85</v>
      </c>
      <c r="L9" s="6">
        <v>45909</v>
      </c>
      <c r="M9" s="1">
        <v>0</v>
      </c>
      <c r="N9" s="1">
        <v>0</v>
      </c>
      <c r="O9" s="1">
        <v>1</v>
      </c>
      <c r="P9" s="1">
        <v>0</v>
      </c>
      <c r="Q9" s="1" t="s">
        <v>86</v>
      </c>
      <c r="R9" s="1" t="s">
        <v>87</v>
      </c>
      <c r="S9" s="1" t="s">
        <v>88</v>
      </c>
      <c r="T9" s="1" t="s">
        <v>88</v>
      </c>
      <c r="U9" s="1" t="s">
        <v>89</v>
      </c>
      <c r="V9" s="1" t="s">
        <v>89</v>
      </c>
      <c r="W9" s="1" t="s">
        <v>89</v>
      </c>
      <c r="X9" s="9" t="s">
        <v>90</v>
      </c>
      <c r="Y9" s="1" t="s">
        <v>91</v>
      </c>
      <c r="Z9" s="43"/>
      <c r="AA9" s="43"/>
      <c r="AB9" s="43"/>
      <c r="AC9" s="43"/>
      <c r="AD9" s="43"/>
      <c r="AE9" s="43"/>
      <c r="AF9" s="43"/>
      <c r="AG9" s="43"/>
      <c r="AH9" s="43"/>
      <c r="AI9" s="43"/>
      <c r="AJ9" s="43"/>
      <c r="AK9" s="43"/>
      <c r="AL9" s="43"/>
      <c r="AM9" s="43"/>
      <c r="AN9" s="43"/>
      <c r="AO9" s="43"/>
      <c r="AP9" s="43"/>
      <c r="AQ9" s="43"/>
      <c r="AR9" s="43">
        <v>47517</v>
      </c>
      <c r="AS9" s="2"/>
      <c r="AT9" s="69" t="s">
        <v>92</v>
      </c>
      <c r="AV9" s="70"/>
      <c r="AW9" s="2"/>
      <c r="AX9" s="2"/>
      <c r="AY9" s="2"/>
      <c r="AZ9" s="2"/>
      <c r="BA9" s="2"/>
      <c r="BB9" s="2"/>
      <c r="BC9" s="46" t="s">
        <v>98</v>
      </c>
      <c r="BD9" s="46" t="s">
        <v>95</v>
      </c>
      <c r="BE9" s="46" t="s">
        <v>99</v>
      </c>
      <c r="BF9" s="46"/>
    </row>
    <row r="10" spans="2:58" ht="51" x14ac:dyDescent="0.25">
      <c r="B10" s="31" t="s">
        <v>100</v>
      </c>
      <c r="C10" s="1">
        <v>50</v>
      </c>
      <c r="D10" s="1" t="s">
        <v>101</v>
      </c>
      <c r="E10" s="1"/>
      <c r="F10" s="1" t="s">
        <v>83</v>
      </c>
      <c r="G10" s="1" t="s">
        <v>84</v>
      </c>
      <c r="H10" s="1"/>
      <c r="I10" s="6">
        <v>45995</v>
      </c>
      <c r="J10" s="5">
        <v>9700000</v>
      </c>
      <c r="K10" s="5" t="s">
        <v>85</v>
      </c>
      <c r="L10" s="6">
        <v>45909</v>
      </c>
      <c r="M10" s="1">
        <v>1</v>
      </c>
      <c r="N10" s="1">
        <v>0</v>
      </c>
      <c r="O10" s="1">
        <v>0</v>
      </c>
      <c r="P10" s="1">
        <v>0</v>
      </c>
      <c r="Q10" s="1" t="s">
        <v>86</v>
      </c>
      <c r="R10" s="1" t="s">
        <v>87</v>
      </c>
      <c r="S10" s="1" t="s">
        <v>88</v>
      </c>
      <c r="T10" s="1" t="s">
        <v>89</v>
      </c>
      <c r="U10" s="1" t="s">
        <v>89</v>
      </c>
      <c r="V10" s="1" t="s">
        <v>88</v>
      </c>
      <c r="W10" s="1" t="s">
        <v>88</v>
      </c>
      <c r="X10" s="1"/>
      <c r="Y10" s="1" t="s">
        <v>50</v>
      </c>
      <c r="Z10" s="6">
        <f>WORKDAY(I10,20)</f>
        <v>46023</v>
      </c>
      <c r="AA10" s="33" t="s">
        <v>102</v>
      </c>
      <c r="AB10" s="33" t="s">
        <v>102</v>
      </c>
      <c r="AC10" s="33" t="s">
        <v>102</v>
      </c>
      <c r="AD10" s="6" t="s">
        <v>88</v>
      </c>
      <c r="AE10" s="6"/>
      <c r="AF10" s="6"/>
      <c r="AG10" s="6"/>
      <c r="AH10" s="6">
        <f>EDATE(I10,4.93)</f>
        <v>46116</v>
      </c>
      <c r="AI10" s="6"/>
      <c r="AJ10" s="6"/>
      <c r="AK10" s="6">
        <f>EDATE(AH10,3)</f>
        <v>46207</v>
      </c>
      <c r="AL10" s="6"/>
      <c r="AM10" s="6">
        <f>AK10</f>
        <v>46207</v>
      </c>
      <c r="AN10" s="6">
        <f>AM10+14</f>
        <v>46221</v>
      </c>
      <c r="AO10" s="6"/>
      <c r="AP10" s="6">
        <f>AN10+60</f>
        <v>46281</v>
      </c>
      <c r="AQ10" s="6">
        <v>46934</v>
      </c>
      <c r="AR10" s="6">
        <v>47821</v>
      </c>
      <c r="AS10" s="2" t="s">
        <v>103</v>
      </c>
      <c r="AT10" s="69" t="s">
        <v>92</v>
      </c>
      <c r="AU10" s="74" t="s">
        <v>104</v>
      </c>
      <c r="AV10" s="34" t="s">
        <v>105</v>
      </c>
      <c r="AW10" s="2" t="s">
        <v>106</v>
      </c>
      <c r="AX10" s="2"/>
      <c r="AY10" s="2"/>
      <c r="AZ10" s="50" t="s">
        <v>107</v>
      </c>
      <c r="BA10" s="2"/>
      <c r="BB10" s="10" t="s">
        <v>108</v>
      </c>
      <c r="BC10" s="46" t="s">
        <v>109</v>
      </c>
      <c r="BD10" s="46" t="s">
        <v>106</v>
      </c>
      <c r="BE10" s="46" t="s">
        <v>110</v>
      </c>
      <c r="BF10" s="47" t="s">
        <v>111</v>
      </c>
    </row>
    <row r="11" spans="2:58" ht="51" x14ac:dyDescent="0.25">
      <c r="B11" s="31" t="s">
        <v>112</v>
      </c>
      <c r="C11" s="1">
        <v>51</v>
      </c>
      <c r="D11" s="1" t="s">
        <v>101</v>
      </c>
      <c r="E11" s="1"/>
      <c r="F11" s="1" t="s">
        <v>83</v>
      </c>
      <c r="G11" s="1" t="s">
        <v>84</v>
      </c>
      <c r="H11" s="1"/>
      <c r="I11" s="6">
        <v>45995</v>
      </c>
      <c r="J11" s="5">
        <v>6500000</v>
      </c>
      <c r="K11" s="5" t="s">
        <v>85</v>
      </c>
      <c r="L11" s="6">
        <v>45909</v>
      </c>
      <c r="M11" s="1">
        <v>1</v>
      </c>
      <c r="N11" s="1">
        <v>0</v>
      </c>
      <c r="O11" s="1">
        <v>0</v>
      </c>
      <c r="P11" s="1">
        <v>0</v>
      </c>
      <c r="Q11" s="1" t="s">
        <v>86</v>
      </c>
      <c r="R11" s="1" t="s">
        <v>87</v>
      </c>
      <c r="S11" s="1" t="s">
        <v>88</v>
      </c>
      <c r="T11" s="1" t="s">
        <v>89</v>
      </c>
      <c r="U11" s="1" t="s">
        <v>89</v>
      </c>
      <c r="V11" s="1" t="s">
        <v>88</v>
      </c>
      <c r="W11" s="1" t="s">
        <v>88</v>
      </c>
      <c r="X11" s="1"/>
      <c r="Y11" s="1" t="s">
        <v>50</v>
      </c>
      <c r="Z11" s="6">
        <f>WORKDAY(I11,20)</f>
        <v>46023</v>
      </c>
      <c r="AA11" s="33" t="s">
        <v>102</v>
      </c>
      <c r="AB11" s="33" t="s">
        <v>102</v>
      </c>
      <c r="AC11" s="33" t="s">
        <v>102</v>
      </c>
      <c r="AD11" s="6" t="s">
        <v>88</v>
      </c>
      <c r="AE11" s="6"/>
      <c r="AF11" s="6"/>
      <c r="AG11" s="6"/>
      <c r="AH11" s="6">
        <f t="shared" ref="AH11:AH31" si="0">EDATE(I11,4.93)</f>
        <v>46116</v>
      </c>
      <c r="AI11" s="6"/>
      <c r="AJ11" s="6"/>
      <c r="AK11" s="6">
        <f>EDATE(AH11,3)</f>
        <v>46207</v>
      </c>
      <c r="AL11" s="6"/>
      <c r="AM11" s="6">
        <f>AK11</f>
        <v>46207</v>
      </c>
      <c r="AN11" s="6">
        <f>AM11+14</f>
        <v>46221</v>
      </c>
      <c r="AO11" s="6"/>
      <c r="AP11" s="6">
        <f>AN11+60</f>
        <v>46281</v>
      </c>
      <c r="AQ11" s="6">
        <v>46934</v>
      </c>
      <c r="AR11" s="6">
        <v>47821</v>
      </c>
      <c r="AS11" s="2" t="s">
        <v>113</v>
      </c>
      <c r="AT11" s="69" t="s">
        <v>92</v>
      </c>
      <c r="AU11" s="74" t="s">
        <v>104</v>
      </c>
      <c r="AV11" s="71"/>
      <c r="AW11" s="2" t="s">
        <v>106</v>
      </c>
      <c r="AX11" s="2"/>
      <c r="AY11" s="2"/>
      <c r="AZ11" s="50" t="s">
        <v>107</v>
      </c>
      <c r="BA11" s="2"/>
      <c r="BB11" s="10" t="s">
        <v>108</v>
      </c>
      <c r="BC11" s="46" t="s">
        <v>109</v>
      </c>
      <c r="BD11" s="46" t="s">
        <v>106</v>
      </c>
      <c r="BE11" s="46" t="s">
        <v>110</v>
      </c>
      <c r="BF11" s="47" t="s">
        <v>111</v>
      </c>
    </row>
    <row r="12" spans="2:58" ht="51" x14ac:dyDescent="0.25">
      <c r="B12" s="31" t="s">
        <v>114</v>
      </c>
      <c r="C12" s="1">
        <v>52</v>
      </c>
      <c r="D12" s="1" t="s">
        <v>115</v>
      </c>
      <c r="E12" s="1"/>
      <c r="F12" s="1" t="s">
        <v>116</v>
      </c>
      <c r="G12" s="1" t="s">
        <v>84</v>
      </c>
      <c r="H12" s="1"/>
      <c r="I12" s="6">
        <v>45958</v>
      </c>
      <c r="J12" s="5">
        <v>9800000</v>
      </c>
      <c r="K12" s="5" t="s">
        <v>85</v>
      </c>
      <c r="L12" s="6">
        <v>45920</v>
      </c>
      <c r="M12" s="1">
        <v>1</v>
      </c>
      <c r="N12" s="1">
        <v>0</v>
      </c>
      <c r="O12" s="1">
        <v>0</v>
      </c>
      <c r="P12" s="1">
        <v>0</v>
      </c>
      <c r="Q12" s="1" t="s">
        <v>86</v>
      </c>
      <c r="R12" s="1" t="s">
        <v>87</v>
      </c>
      <c r="S12" s="1" t="s">
        <v>88</v>
      </c>
      <c r="T12" s="1" t="s">
        <v>89</v>
      </c>
      <c r="U12" s="1" t="s">
        <v>89</v>
      </c>
      <c r="V12" s="1" t="s">
        <v>88</v>
      </c>
      <c r="W12" s="1" t="s">
        <v>88</v>
      </c>
      <c r="X12" s="1"/>
      <c r="Y12" s="1" t="s">
        <v>50</v>
      </c>
      <c r="Z12" s="6">
        <f>WORKDAY(I12,20)</f>
        <v>45986</v>
      </c>
      <c r="AA12" s="33" t="s">
        <v>102</v>
      </c>
      <c r="AB12" s="33" t="s">
        <v>102</v>
      </c>
      <c r="AC12" s="33" t="s">
        <v>102</v>
      </c>
      <c r="AD12" s="6" t="s">
        <v>88</v>
      </c>
      <c r="AE12" s="6"/>
      <c r="AF12" s="6"/>
      <c r="AG12" s="6"/>
      <c r="AH12" s="6">
        <f t="shared" si="0"/>
        <v>46081</v>
      </c>
      <c r="AI12" s="6"/>
      <c r="AJ12" s="6"/>
      <c r="AK12" s="6">
        <f>EDATE(AH12,3)</f>
        <v>46170</v>
      </c>
      <c r="AL12" s="6"/>
      <c r="AM12" s="6">
        <f>AK12</f>
        <v>46170</v>
      </c>
      <c r="AN12" s="6">
        <f>AM12+14</f>
        <v>46184</v>
      </c>
      <c r="AO12" s="6"/>
      <c r="AP12" s="6">
        <f>AN12+60</f>
        <v>46244</v>
      </c>
      <c r="AQ12" s="6">
        <v>46323</v>
      </c>
      <c r="AR12" s="6">
        <v>47784</v>
      </c>
      <c r="AS12" s="2" t="s">
        <v>117</v>
      </c>
      <c r="AT12" s="69" t="s">
        <v>92</v>
      </c>
      <c r="AU12" s="75" t="s">
        <v>118</v>
      </c>
      <c r="AV12" s="71"/>
      <c r="AW12" s="2" t="s">
        <v>106</v>
      </c>
      <c r="AX12" s="2"/>
      <c r="AY12" s="2"/>
      <c r="AZ12" s="2"/>
      <c r="BA12" s="2"/>
      <c r="BB12" s="2"/>
      <c r="BC12" s="46" t="s">
        <v>119</v>
      </c>
      <c r="BD12" s="46" t="s">
        <v>120</v>
      </c>
      <c r="BE12" s="46" t="s">
        <v>121</v>
      </c>
      <c r="BF12" s="47" t="s">
        <v>122</v>
      </c>
    </row>
    <row r="13" spans="2:58" ht="63.75" x14ac:dyDescent="0.25">
      <c r="B13" s="31" t="s">
        <v>123</v>
      </c>
      <c r="C13" s="1">
        <v>35</v>
      </c>
      <c r="D13" s="1" t="s">
        <v>124</v>
      </c>
      <c r="E13" s="1"/>
      <c r="F13" s="1" t="s">
        <v>116</v>
      </c>
      <c r="G13" s="1" t="s">
        <v>84</v>
      </c>
      <c r="H13" s="1"/>
      <c r="I13" s="6">
        <v>45929</v>
      </c>
      <c r="J13" s="5">
        <v>21950000</v>
      </c>
      <c r="K13" s="5">
        <v>1000000</v>
      </c>
      <c r="L13" s="6">
        <v>45909</v>
      </c>
      <c r="M13" s="1">
        <v>1</v>
      </c>
      <c r="N13" s="1">
        <v>1</v>
      </c>
      <c r="O13" s="1">
        <v>0</v>
      </c>
      <c r="P13" s="1">
        <v>0</v>
      </c>
      <c r="Q13" s="1" t="s">
        <v>125</v>
      </c>
      <c r="R13" s="1" t="s">
        <v>87</v>
      </c>
      <c r="S13" s="1" t="s">
        <v>88</v>
      </c>
      <c r="T13" s="1" t="s">
        <v>88</v>
      </c>
      <c r="U13" s="1" t="s">
        <v>89</v>
      </c>
      <c r="V13" s="1" t="s">
        <v>89</v>
      </c>
      <c r="W13" s="1" t="s">
        <v>89</v>
      </c>
      <c r="X13" s="1" t="s">
        <v>126</v>
      </c>
      <c r="Y13" s="1" t="s">
        <v>50</v>
      </c>
      <c r="Z13" s="6">
        <f>WORKDAY(I13,20)</f>
        <v>45957</v>
      </c>
      <c r="AA13" s="33" t="s">
        <v>102</v>
      </c>
      <c r="AB13" s="6"/>
      <c r="AC13" s="6"/>
      <c r="AD13" s="6" t="s">
        <v>88</v>
      </c>
      <c r="AE13" s="6"/>
      <c r="AF13" s="6"/>
      <c r="AG13" s="6"/>
      <c r="AH13" s="6">
        <f t="shared" si="0"/>
        <v>46051</v>
      </c>
      <c r="AI13" s="6"/>
      <c r="AJ13" s="6"/>
      <c r="AK13" s="6">
        <f>EDATE(AH13,3)</f>
        <v>46141</v>
      </c>
      <c r="AL13" s="6"/>
      <c r="AM13" s="6">
        <f>AK13</f>
        <v>46141</v>
      </c>
      <c r="AN13" s="6">
        <f>AM13+14</f>
        <v>46155</v>
      </c>
      <c r="AO13" s="6"/>
      <c r="AP13" s="6">
        <f>AN13+60</f>
        <v>46215</v>
      </c>
      <c r="AQ13" s="6">
        <v>46934</v>
      </c>
      <c r="AR13" s="6">
        <v>47755</v>
      </c>
      <c r="AS13" s="2" t="s">
        <v>127</v>
      </c>
      <c r="AT13" s="69" t="s">
        <v>92</v>
      </c>
      <c r="AU13" s="75" t="s">
        <v>128</v>
      </c>
      <c r="AV13" s="71"/>
      <c r="AW13" s="2" t="s">
        <v>129</v>
      </c>
      <c r="AX13" s="2"/>
      <c r="AY13" s="2"/>
      <c r="AZ13" s="50" t="s">
        <v>107</v>
      </c>
      <c r="BA13" s="2"/>
      <c r="BB13" s="2" t="s">
        <v>130</v>
      </c>
      <c r="BC13" s="46" t="s">
        <v>131</v>
      </c>
      <c r="BD13" s="46"/>
      <c r="BE13" s="46"/>
      <c r="BF13" s="47"/>
    </row>
    <row r="14" spans="2:58" ht="51" x14ac:dyDescent="0.25">
      <c r="B14" s="31" t="s">
        <v>132</v>
      </c>
      <c r="C14" s="1"/>
      <c r="D14" s="1" t="s">
        <v>133</v>
      </c>
      <c r="E14" s="1"/>
      <c r="F14" s="1" t="s">
        <v>134</v>
      </c>
      <c r="G14" s="1" t="s">
        <v>135</v>
      </c>
      <c r="H14" s="1"/>
      <c r="I14" s="6"/>
      <c r="J14" s="5"/>
      <c r="K14" s="5"/>
      <c r="L14" s="6"/>
      <c r="M14" s="1"/>
      <c r="N14" s="1"/>
      <c r="O14" s="1"/>
      <c r="P14" s="1"/>
      <c r="Q14" s="1"/>
      <c r="R14" s="1"/>
      <c r="S14" s="1"/>
      <c r="T14" s="1"/>
      <c r="U14" s="1"/>
      <c r="V14" s="1"/>
      <c r="W14" s="1"/>
      <c r="X14" s="1"/>
      <c r="Y14" s="1" t="s">
        <v>50</v>
      </c>
      <c r="Z14" s="1"/>
      <c r="AA14" s="33" t="s">
        <v>89</v>
      </c>
      <c r="AB14" s="6"/>
      <c r="AC14" s="6"/>
      <c r="AD14" s="6" t="s">
        <v>88</v>
      </c>
      <c r="AE14" s="1"/>
      <c r="AF14" s="1"/>
      <c r="AG14" s="1"/>
      <c r="AH14" s="6">
        <f t="shared" si="0"/>
        <v>121</v>
      </c>
      <c r="AI14" s="6"/>
      <c r="AJ14" s="6"/>
      <c r="AK14" s="6"/>
      <c r="AL14" s="6"/>
      <c r="AM14" s="1"/>
      <c r="AN14" s="6"/>
      <c r="AO14" s="6"/>
      <c r="AP14" s="6"/>
      <c r="AQ14" s="6"/>
      <c r="AR14" s="6"/>
      <c r="AS14" s="2"/>
      <c r="AT14" s="69"/>
      <c r="AU14" s="75" t="s">
        <v>136</v>
      </c>
      <c r="AV14" s="81"/>
      <c r="AW14" s="2"/>
      <c r="AX14" s="2"/>
      <c r="AY14" s="2"/>
      <c r="AZ14" s="50" t="s">
        <v>107</v>
      </c>
      <c r="BA14" s="2"/>
      <c r="BB14" s="2"/>
      <c r="BC14" s="46" t="s">
        <v>137</v>
      </c>
      <c r="BD14" s="46" t="s">
        <v>138</v>
      </c>
      <c r="BE14" s="46" t="s">
        <v>139</v>
      </c>
      <c r="BF14" s="47"/>
    </row>
    <row r="15" spans="2:58" hidden="1" x14ac:dyDescent="0.25">
      <c r="B15" s="31" t="s">
        <v>140</v>
      </c>
      <c r="C15" s="1"/>
      <c r="D15" s="1" t="s">
        <v>141</v>
      </c>
      <c r="E15" s="1"/>
      <c r="F15" s="1" t="s">
        <v>134</v>
      </c>
      <c r="G15" s="1" t="s">
        <v>135</v>
      </c>
      <c r="H15" s="1"/>
      <c r="I15" s="6"/>
      <c r="J15" s="5"/>
      <c r="K15" s="5"/>
      <c r="L15" s="6"/>
      <c r="M15" s="1"/>
      <c r="N15" s="1"/>
      <c r="O15" s="1"/>
      <c r="P15" s="1"/>
      <c r="Q15" s="1"/>
      <c r="R15" s="1"/>
      <c r="S15" s="1"/>
      <c r="T15" s="1"/>
      <c r="U15" s="1"/>
      <c r="V15" s="1"/>
      <c r="W15" s="1"/>
      <c r="X15" s="1"/>
      <c r="Y15" s="1"/>
      <c r="Z15" s="1"/>
      <c r="AA15" s="1"/>
      <c r="AB15" s="1"/>
      <c r="AC15" s="1"/>
      <c r="AD15" s="1" t="s">
        <v>88</v>
      </c>
      <c r="AE15" s="1"/>
      <c r="AF15" s="1"/>
      <c r="AG15" s="1"/>
      <c r="AH15" s="6">
        <f t="shared" si="0"/>
        <v>121</v>
      </c>
      <c r="AI15" s="6"/>
      <c r="AJ15" s="6"/>
      <c r="AK15" s="6"/>
      <c r="AL15" s="6"/>
      <c r="AM15" s="1"/>
      <c r="AN15" s="6"/>
      <c r="AO15" s="6"/>
      <c r="AP15" s="6"/>
      <c r="AQ15" s="6"/>
      <c r="AR15" s="6"/>
      <c r="AS15" s="2"/>
      <c r="AT15" s="69"/>
      <c r="AV15" s="70"/>
      <c r="AW15" s="2"/>
      <c r="AX15" s="2"/>
      <c r="AY15" s="2"/>
      <c r="AZ15" s="2"/>
      <c r="BA15" s="2"/>
      <c r="BB15" s="2"/>
      <c r="BC15" s="46"/>
      <c r="BD15" s="46"/>
      <c r="BE15" s="46"/>
      <c r="BF15" s="47"/>
    </row>
    <row r="16" spans="2:58" ht="38.25" hidden="1" x14ac:dyDescent="0.25">
      <c r="B16" s="31" t="s">
        <v>142</v>
      </c>
      <c r="C16" s="1">
        <v>55</v>
      </c>
      <c r="D16" s="1" t="s">
        <v>143</v>
      </c>
      <c r="E16" s="1"/>
      <c r="F16" s="1" t="s">
        <v>144</v>
      </c>
      <c r="G16" s="1" t="s">
        <v>84</v>
      </c>
      <c r="H16" s="1"/>
      <c r="I16" s="6">
        <v>46015</v>
      </c>
      <c r="J16" s="5">
        <v>6550000</v>
      </c>
      <c r="K16" s="5" t="s">
        <v>85</v>
      </c>
      <c r="L16" s="6">
        <v>45909</v>
      </c>
      <c r="M16" s="1">
        <v>1</v>
      </c>
      <c r="N16" s="1">
        <v>0</v>
      </c>
      <c r="O16" s="1">
        <v>0</v>
      </c>
      <c r="P16" s="1">
        <v>0</v>
      </c>
      <c r="Q16" s="1" t="s">
        <v>86</v>
      </c>
      <c r="R16" s="1" t="s">
        <v>87</v>
      </c>
      <c r="S16" s="1" t="s">
        <v>88</v>
      </c>
      <c r="T16" s="1" t="s">
        <v>88</v>
      </c>
      <c r="U16" s="1" t="s">
        <v>88</v>
      </c>
      <c r="V16" s="1" t="s">
        <v>88</v>
      </c>
      <c r="W16" s="1" t="s">
        <v>88</v>
      </c>
      <c r="X16" s="1"/>
      <c r="Y16" s="1" t="s">
        <v>91</v>
      </c>
      <c r="Z16" s="43"/>
      <c r="AA16" s="43"/>
      <c r="AB16" s="43"/>
      <c r="AC16" s="43"/>
      <c r="AD16" s="43"/>
      <c r="AE16" s="43"/>
      <c r="AF16" s="43"/>
      <c r="AG16" s="43"/>
      <c r="AH16" s="6">
        <f t="shared" si="0"/>
        <v>46136</v>
      </c>
      <c r="AI16" s="43"/>
      <c r="AJ16" s="43"/>
      <c r="AK16" s="43"/>
      <c r="AL16" s="43"/>
      <c r="AM16" s="43"/>
      <c r="AN16" s="43"/>
      <c r="AO16" s="43"/>
      <c r="AP16" s="43"/>
      <c r="AQ16" s="43"/>
      <c r="AR16" s="43" t="s">
        <v>145</v>
      </c>
      <c r="AS16" s="2" t="s">
        <v>146</v>
      </c>
      <c r="AT16" s="69" t="s">
        <v>92</v>
      </c>
      <c r="AV16" s="70"/>
      <c r="AW16" s="2"/>
      <c r="AX16" s="2"/>
      <c r="AY16" s="2"/>
      <c r="AZ16" s="2"/>
      <c r="BA16" s="2"/>
      <c r="BB16" s="2"/>
      <c r="BC16" s="46"/>
      <c r="BD16" s="46" t="s">
        <v>95</v>
      </c>
      <c r="BE16" s="46" t="s">
        <v>147</v>
      </c>
      <c r="BF16" s="47"/>
    </row>
    <row r="17" spans="2:58" ht="59.65" customHeight="1" x14ac:dyDescent="0.25">
      <c r="B17" s="31" t="s">
        <v>148</v>
      </c>
      <c r="C17" s="1">
        <v>59</v>
      </c>
      <c r="D17" s="1" t="s">
        <v>149</v>
      </c>
      <c r="E17" s="1"/>
      <c r="F17" s="1" t="s">
        <v>144</v>
      </c>
      <c r="G17" s="1" t="s">
        <v>84</v>
      </c>
      <c r="H17" s="1"/>
      <c r="I17" s="6">
        <v>45967</v>
      </c>
      <c r="J17" s="5">
        <v>8250000</v>
      </c>
      <c r="K17" s="5">
        <v>350000</v>
      </c>
      <c r="L17" s="6">
        <v>45920</v>
      </c>
      <c r="M17" s="1">
        <v>1</v>
      </c>
      <c r="N17" s="1">
        <v>0</v>
      </c>
      <c r="O17" s="1">
        <v>0</v>
      </c>
      <c r="P17" s="1">
        <v>0</v>
      </c>
      <c r="Q17" s="1" t="s">
        <v>86</v>
      </c>
      <c r="R17" s="1" t="s">
        <v>87</v>
      </c>
      <c r="S17" s="1" t="s">
        <v>88</v>
      </c>
      <c r="T17" s="1" t="s">
        <v>89</v>
      </c>
      <c r="U17" s="1" t="s">
        <v>88</v>
      </c>
      <c r="V17" s="1" t="s">
        <v>88</v>
      </c>
      <c r="W17" s="1" t="s">
        <v>88</v>
      </c>
      <c r="X17" s="1"/>
      <c r="Y17" s="1" t="s">
        <v>50</v>
      </c>
      <c r="Z17" s="6">
        <f>WORKDAY(I17,20)</f>
        <v>45995</v>
      </c>
      <c r="AA17" s="33" t="s">
        <v>102</v>
      </c>
      <c r="AB17" s="6"/>
      <c r="AC17" s="6"/>
      <c r="AD17" s="6" t="s">
        <v>88</v>
      </c>
      <c r="AE17" s="6"/>
      <c r="AF17" s="6"/>
      <c r="AG17" s="6"/>
      <c r="AH17" s="6">
        <f t="shared" si="0"/>
        <v>46087</v>
      </c>
      <c r="AI17" s="6"/>
      <c r="AJ17" s="6"/>
      <c r="AK17" s="6">
        <f>EDATE(AH17,3)</f>
        <v>46179</v>
      </c>
      <c r="AL17" s="6"/>
      <c r="AM17" s="6">
        <f>AK17</f>
        <v>46179</v>
      </c>
      <c r="AN17" s="6">
        <f>AM17+14</f>
        <v>46193</v>
      </c>
      <c r="AO17" s="6"/>
      <c r="AP17" s="6">
        <f>AN17+60</f>
        <v>46253</v>
      </c>
      <c r="AQ17" s="6">
        <v>46934</v>
      </c>
      <c r="AR17" s="6" t="s">
        <v>150</v>
      </c>
      <c r="AS17" s="2" t="s">
        <v>151</v>
      </c>
      <c r="AT17" s="69" t="s">
        <v>92</v>
      </c>
      <c r="AU17" s="75" t="s">
        <v>152</v>
      </c>
      <c r="AV17" s="34" t="s">
        <v>153</v>
      </c>
      <c r="AW17" s="2" t="s">
        <v>106</v>
      </c>
      <c r="AX17" s="2"/>
      <c r="AY17" s="2"/>
      <c r="AZ17" s="2"/>
      <c r="BA17" s="2"/>
      <c r="BB17" s="2"/>
      <c r="BC17" s="46" t="s">
        <v>154</v>
      </c>
      <c r="BD17" s="48" t="s">
        <v>138</v>
      </c>
      <c r="BE17" s="46" t="s">
        <v>155</v>
      </c>
      <c r="BF17" s="47" t="s">
        <v>156</v>
      </c>
    </row>
    <row r="18" spans="2:58" ht="59.45" hidden="1" customHeight="1" x14ac:dyDescent="0.25">
      <c r="B18" s="31" t="s">
        <v>157</v>
      </c>
      <c r="C18" s="1">
        <v>26</v>
      </c>
      <c r="D18" s="1" t="s">
        <v>158</v>
      </c>
      <c r="E18" s="1"/>
      <c r="F18" s="1" t="s">
        <v>144</v>
      </c>
      <c r="G18" s="1" t="s">
        <v>84</v>
      </c>
      <c r="H18" s="1"/>
      <c r="I18" s="6">
        <v>45957</v>
      </c>
      <c r="J18" s="5">
        <v>8750000</v>
      </c>
      <c r="K18" s="5">
        <v>0</v>
      </c>
      <c r="L18" s="6">
        <v>45920</v>
      </c>
      <c r="M18" s="1">
        <v>1</v>
      </c>
      <c r="N18" s="1">
        <v>0</v>
      </c>
      <c r="O18" s="1">
        <v>0</v>
      </c>
      <c r="P18" s="1">
        <v>0</v>
      </c>
      <c r="Q18" s="1" t="s">
        <v>86</v>
      </c>
      <c r="R18" s="1" t="s">
        <v>159</v>
      </c>
      <c r="S18" s="1" t="s">
        <v>88</v>
      </c>
      <c r="T18" s="1" t="s">
        <v>88</v>
      </c>
      <c r="U18" s="1" t="s">
        <v>88</v>
      </c>
      <c r="V18" s="1" t="s">
        <v>88</v>
      </c>
      <c r="W18" s="1" t="s">
        <v>88</v>
      </c>
      <c r="X18" s="1"/>
      <c r="Y18" s="1" t="s">
        <v>91</v>
      </c>
      <c r="Z18" s="43"/>
      <c r="AA18" s="43"/>
      <c r="AB18" s="43"/>
      <c r="AC18" s="43"/>
      <c r="AD18" s="43"/>
      <c r="AE18" s="43"/>
      <c r="AF18" s="43"/>
      <c r="AG18" s="43"/>
      <c r="AH18" s="6">
        <f t="shared" si="0"/>
        <v>46080</v>
      </c>
      <c r="AI18" s="43"/>
      <c r="AJ18" s="43"/>
      <c r="AK18" s="43"/>
      <c r="AL18" s="43"/>
      <c r="AM18" s="43"/>
      <c r="AN18" s="43"/>
      <c r="AO18" s="43"/>
      <c r="AP18" s="43"/>
      <c r="AQ18" s="43"/>
      <c r="AR18" s="43" t="s">
        <v>160</v>
      </c>
      <c r="AS18" s="2"/>
      <c r="AT18" s="69" t="s">
        <v>92</v>
      </c>
      <c r="AU18" s="2" t="s">
        <v>161</v>
      </c>
      <c r="AV18" s="70"/>
      <c r="AW18" s="2"/>
      <c r="AX18" s="2"/>
      <c r="AY18" s="2"/>
      <c r="AZ18" s="2"/>
      <c r="BA18" s="2"/>
      <c r="BB18" s="2"/>
      <c r="BC18" s="46" t="s">
        <v>162</v>
      </c>
      <c r="BD18" s="46" t="s">
        <v>138</v>
      </c>
      <c r="BE18" s="46" t="s">
        <v>163</v>
      </c>
      <c r="BF18" s="47" t="s">
        <v>156</v>
      </c>
    </row>
    <row r="19" spans="2:58" ht="49.9" customHeight="1" x14ac:dyDescent="0.25">
      <c r="B19" s="31" t="s">
        <v>164</v>
      </c>
      <c r="C19" s="1">
        <v>68</v>
      </c>
      <c r="D19" s="1" t="s">
        <v>165</v>
      </c>
      <c r="E19" s="1"/>
      <c r="F19" s="1" t="s">
        <v>144</v>
      </c>
      <c r="G19" s="1" t="s">
        <v>84</v>
      </c>
      <c r="H19" s="1"/>
      <c r="I19" s="6">
        <v>45922</v>
      </c>
      <c r="J19" s="5">
        <v>9450000</v>
      </c>
      <c r="K19" s="5" t="s">
        <v>85</v>
      </c>
      <c r="L19" s="6">
        <v>45909</v>
      </c>
      <c r="M19" s="1">
        <v>1</v>
      </c>
      <c r="N19" s="1">
        <v>0</v>
      </c>
      <c r="O19" s="1">
        <v>0</v>
      </c>
      <c r="P19" s="1">
        <v>0</v>
      </c>
      <c r="Q19" s="1" t="s">
        <v>86</v>
      </c>
      <c r="R19" s="1" t="s">
        <v>159</v>
      </c>
      <c r="S19" s="1" t="s">
        <v>88</v>
      </c>
      <c r="T19" s="1" t="s">
        <v>89</v>
      </c>
      <c r="U19" s="1" t="s">
        <v>88</v>
      </c>
      <c r="V19" s="1" t="s">
        <v>88</v>
      </c>
      <c r="W19" s="1" t="s">
        <v>88</v>
      </c>
      <c r="X19" s="1"/>
      <c r="Y19" s="1" t="s">
        <v>166</v>
      </c>
      <c r="Z19" s="6">
        <f>WORKDAY(I19,20)</f>
        <v>45950</v>
      </c>
      <c r="AA19" s="49" t="s">
        <v>88</v>
      </c>
      <c r="AB19" s="6"/>
      <c r="AC19" s="6"/>
      <c r="AD19" s="6" t="s">
        <v>88</v>
      </c>
      <c r="AE19" s="6"/>
      <c r="AF19" s="6"/>
      <c r="AG19" s="6"/>
      <c r="AH19" s="6">
        <f t="shared" si="0"/>
        <v>46044</v>
      </c>
      <c r="AI19" s="6"/>
      <c r="AJ19" s="6"/>
      <c r="AK19" s="6">
        <f>EDATE(AH19,3)</f>
        <v>46134</v>
      </c>
      <c r="AL19" s="6"/>
      <c r="AM19" s="6">
        <f>AK19</f>
        <v>46134</v>
      </c>
      <c r="AN19" s="6">
        <f>AM19+14</f>
        <v>46148</v>
      </c>
      <c r="AO19" s="6"/>
      <c r="AP19" s="6">
        <f>AN19+60</f>
        <v>46208</v>
      </c>
      <c r="AQ19" s="6">
        <v>46934</v>
      </c>
      <c r="AR19" s="6"/>
      <c r="AS19" s="2" t="s">
        <v>151</v>
      </c>
      <c r="AT19" s="69" t="s">
        <v>92</v>
      </c>
      <c r="AU19" s="2" t="s">
        <v>167</v>
      </c>
      <c r="AV19" s="70"/>
      <c r="AW19" s="2" t="s">
        <v>106</v>
      </c>
      <c r="AX19" s="2"/>
      <c r="AY19" s="2"/>
      <c r="AZ19" s="2"/>
      <c r="BA19" s="2"/>
      <c r="BB19" s="2"/>
      <c r="BC19" s="46" t="s">
        <v>168</v>
      </c>
      <c r="BD19" s="46" t="s">
        <v>138</v>
      </c>
      <c r="BE19" s="46" t="s">
        <v>169</v>
      </c>
      <c r="BF19" s="47" t="s">
        <v>156</v>
      </c>
    </row>
    <row r="20" spans="2:58" ht="51" x14ac:dyDescent="0.25">
      <c r="B20" s="31" t="s">
        <v>170</v>
      </c>
      <c r="C20" s="1" t="s">
        <v>171</v>
      </c>
      <c r="D20" s="1" t="s">
        <v>172</v>
      </c>
      <c r="E20" s="1"/>
      <c r="F20" s="1" t="s">
        <v>144</v>
      </c>
      <c r="G20" s="1" t="s">
        <v>84</v>
      </c>
      <c r="H20" s="1"/>
      <c r="I20" s="6">
        <v>45940</v>
      </c>
      <c r="J20" s="5">
        <v>19300000</v>
      </c>
      <c r="K20" s="5" t="s">
        <v>85</v>
      </c>
      <c r="L20" s="6">
        <v>45920</v>
      </c>
      <c r="M20" s="1">
        <v>1</v>
      </c>
      <c r="N20" s="1">
        <v>0</v>
      </c>
      <c r="O20" s="1">
        <v>0</v>
      </c>
      <c r="P20" s="1">
        <v>0</v>
      </c>
      <c r="Q20" s="9" t="s">
        <v>125</v>
      </c>
      <c r="R20" s="1" t="s">
        <v>159</v>
      </c>
      <c r="S20" s="1" t="s">
        <v>89</v>
      </c>
      <c r="T20" s="1" t="s">
        <v>89</v>
      </c>
      <c r="U20" s="1" t="s">
        <v>89</v>
      </c>
      <c r="V20" s="1" t="s">
        <v>88</v>
      </c>
      <c r="W20" s="1" t="s">
        <v>88</v>
      </c>
      <c r="X20" s="1"/>
      <c r="Y20" s="1" t="s">
        <v>50</v>
      </c>
      <c r="Z20" s="6">
        <f>WORKDAY(I20,20)</f>
        <v>45968</v>
      </c>
      <c r="AA20" s="33" t="s">
        <v>102</v>
      </c>
      <c r="AB20" s="6"/>
      <c r="AC20" s="6"/>
      <c r="AD20" s="6" t="s">
        <v>88</v>
      </c>
      <c r="AE20" s="6"/>
      <c r="AF20" s="6"/>
      <c r="AG20" s="6"/>
      <c r="AH20" s="6">
        <f t="shared" si="0"/>
        <v>46063</v>
      </c>
      <c r="AI20" s="6"/>
      <c r="AJ20" s="6"/>
      <c r="AK20" s="6">
        <f>EDATE(AH20,3)</f>
        <v>46152</v>
      </c>
      <c r="AL20" s="6"/>
      <c r="AM20" s="6">
        <f>AK20</f>
        <v>46152</v>
      </c>
      <c r="AN20" s="6">
        <f>AM20+14</f>
        <v>46166</v>
      </c>
      <c r="AO20" s="6"/>
      <c r="AP20" s="6">
        <f>AN20+60</f>
        <v>46226</v>
      </c>
      <c r="AQ20" s="6">
        <v>46934</v>
      </c>
      <c r="AR20" s="6" t="s">
        <v>173</v>
      </c>
      <c r="AS20" s="2" t="s">
        <v>174</v>
      </c>
      <c r="AT20" s="69" t="s">
        <v>92</v>
      </c>
      <c r="AU20" s="76" t="s">
        <v>175</v>
      </c>
      <c r="AV20" s="80" t="s">
        <v>105</v>
      </c>
      <c r="AW20" s="2" t="s">
        <v>176</v>
      </c>
      <c r="AX20" s="82">
        <v>37834</v>
      </c>
      <c r="AY20" s="79"/>
      <c r="AZ20" s="82">
        <v>175979</v>
      </c>
      <c r="BA20" s="2"/>
      <c r="BB20" s="2"/>
      <c r="BC20" s="48" t="s">
        <v>177</v>
      </c>
      <c r="BD20" s="46" t="s">
        <v>138</v>
      </c>
      <c r="BE20" s="46" t="s">
        <v>169</v>
      </c>
      <c r="BF20" s="47"/>
    </row>
    <row r="21" spans="2:58" ht="26.45" customHeight="1" x14ac:dyDescent="0.2">
      <c r="B21" s="31" t="s">
        <v>178</v>
      </c>
      <c r="C21" s="1" t="s">
        <v>179</v>
      </c>
      <c r="D21" s="1" t="s">
        <v>180</v>
      </c>
      <c r="E21" s="1"/>
      <c r="F21" s="1" t="s">
        <v>144</v>
      </c>
      <c r="G21" s="1" t="s">
        <v>84</v>
      </c>
      <c r="H21" s="1"/>
      <c r="I21" s="6">
        <v>45945</v>
      </c>
      <c r="J21" s="5">
        <v>19600000</v>
      </c>
      <c r="K21" s="5" t="s">
        <v>85</v>
      </c>
      <c r="L21" s="6">
        <v>45920</v>
      </c>
      <c r="M21" s="1">
        <v>1</v>
      </c>
      <c r="N21" s="1">
        <v>0</v>
      </c>
      <c r="O21" s="1">
        <v>0</v>
      </c>
      <c r="P21" s="1">
        <v>0</v>
      </c>
      <c r="Q21" s="9" t="s">
        <v>125</v>
      </c>
      <c r="R21" s="1" t="s">
        <v>159</v>
      </c>
      <c r="S21" s="1" t="s">
        <v>89</v>
      </c>
      <c r="T21" s="1" t="s">
        <v>89</v>
      </c>
      <c r="U21" s="1" t="s">
        <v>89</v>
      </c>
      <c r="V21" s="1" t="s">
        <v>88</v>
      </c>
      <c r="W21" s="1" t="s">
        <v>88</v>
      </c>
      <c r="X21" s="1"/>
      <c r="Y21" s="1" t="s">
        <v>50</v>
      </c>
      <c r="Z21" s="6">
        <f>WORKDAY(I21,20)</f>
        <v>45973</v>
      </c>
      <c r="AA21" s="33" t="s">
        <v>102</v>
      </c>
      <c r="AB21" s="6"/>
      <c r="AC21" s="6"/>
      <c r="AD21" s="6" t="s">
        <v>88</v>
      </c>
      <c r="AE21" s="6"/>
      <c r="AF21" s="6"/>
      <c r="AG21" s="6"/>
      <c r="AH21" s="6">
        <f t="shared" si="0"/>
        <v>46068</v>
      </c>
      <c r="AI21" s="6"/>
      <c r="AJ21" s="6"/>
      <c r="AK21" s="6">
        <f>EDATE(AH21,3)</f>
        <v>46157</v>
      </c>
      <c r="AL21" s="6"/>
      <c r="AM21" s="6">
        <f>AK21</f>
        <v>46157</v>
      </c>
      <c r="AN21" s="6">
        <f>AM21+14</f>
        <v>46171</v>
      </c>
      <c r="AO21" s="6"/>
      <c r="AP21" s="6">
        <f>AN21+60</f>
        <v>46231</v>
      </c>
      <c r="AQ21" s="6">
        <v>46934</v>
      </c>
      <c r="AR21" s="6" t="s">
        <v>181</v>
      </c>
      <c r="AS21" s="2" t="s">
        <v>174</v>
      </c>
      <c r="AT21" s="69" t="s">
        <v>92</v>
      </c>
      <c r="AU21" s="74" t="s">
        <v>182</v>
      </c>
      <c r="AV21" s="81"/>
      <c r="AW21" s="2" t="s">
        <v>176</v>
      </c>
      <c r="AX21" s="78">
        <v>37834</v>
      </c>
      <c r="AY21" s="2"/>
      <c r="AZ21" s="77">
        <v>175979</v>
      </c>
      <c r="BA21" s="2"/>
      <c r="BB21" s="2"/>
      <c r="BC21" s="48" t="s">
        <v>183</v>
      </c>
      <c r="BD21" s="48" t="s">
        <v>184</v>
      </c>
      <c r="BE21" s="46" t="s">
        <v>185</v>
      </c>
      <c r="BF21" s="47" t="s">
        <v>156</v>
      </c>
    </row>
    <row r="22" spans="2:58" ht="51" x14ac:dyDescent="0.25">
      <c r="B22" s="31" t="s">
        <v>186</v>
      </c>
      <c r="C22" s="1" t="s">
        <v>187</v>
      </c>
      <c r="D22" s="1" t="s">
        <v>188</v>
      </c>
      <c r="E22" s="1"/>
      <c r="F22" s="1" t="s">
        <v>144</v>
      </c>
      <c r="G22" s="1" t="s">
        <v>84</v>
      </c>
      <c r="H22" s="1"/>
      <c r="I22" s="6">
        <v>45941</v>
      </c>
      <c r="J22" s="5">
        <v>19900000</v>
      </c>
      <c r="K22" s="5" t="s">
        <v>85</v>
      </c>
      <c r="L22" s="6">
        <v>45920</v>
      </c>
      <c r="M22" s="1">
        <v>1</v>
      </c>
      <c r="N22" s="1">
        <v>0</v>
      </c>
      <c r="O22" s="1">
        <v>0</v>
      </c>
      <c r="P22" s="1">
        <v>0</v>
      </c>
      <c r="Q22" s="9" t="s">
        <v>125</v>
      </c>
      <c r="R22" s="1" t="s">
        <v>159</v>
      </c>
      <c r="S22" s="1" t="s">
        <v>89</v>
      </c>
      <c r="T22" s="1" t="s">
        <v>89</v>
      </c>
      <c r="U22" s="1" t="s">
        <v>89</v>
      </c>
      <c r="V22" s="1" t="s">
        <v>89</v>
      </c>
      <c r="W22" s="1" t="s">
        <v>89</v>
      </c>
      <c r="X22" s="1" t="s">
        <v>126</v>
      </c>
      <c r="Y22" s="1" t="s">
        <v>50</v>
      </c>
      <c r="Z22" s="6">
        <f>WORKDAY(I22,20)</f>
        <v>45968</v>
      </c>
      <c r="AA22" s="33" t="s">
        <v>102</v>
      </c>
      <c r="AB22" s="6"/>
      <c r="AC22" s="6"/>
      <c r="AD22" s="6" t="s">
        <v>88</v>
      </c>
      <c r="AE22" s="6"/>
      <c r="AF22" s="6"/>
      <c r="AG22" s="6"/>
      <c r="AH22" s="6">
        <f t="shared" si="0"/>
        <v>46064</v>
      </c>
      <c r="AI22" s="6"/>
      <c r="AJ22" s="6"/>
      <c r="AK22" s="6">
        <f>EDATE(AH22,3)</f>
        <v>46153</v>
      </c>
      <c r="AL22" s="6"/>
      <c r="AM22" s="6">
        <f>AK22</f>
        <v>46153</v>
      </c>
      <c r="AN22" s="6">
        <f>AM22+14</f>
        <v>46167</v>
      </c>
      <c r="AO22" s="6"/>
      <c r="AP22" s="6">
        <f>AN22+60</f>
        <v>46227</v>
      </c>
      <c r="AQ22" s="6">
        <v>46934</v>
      </c>
      <c r="AR22" s="6" t="s">
        <v>189</v>
      </c>
      <c r="AS22" s="2" t="s">
        <v>174</v>
      </c>
      <c r="AT22" s="69" t="s">
        <v>92</v>
      </c>
      <c r="AU22" s="76" t="s">
        <v>190</v>
      </c>
      <c r="AV22" s="71"/>
      <c r="AW22" s="2" t="s">
        <v>176</v>
      </c>
      <c r="AX22" s="77">
        <v>37834</v>
      </c>
      <c r="AY22" s="2"/>
      <c r="AZ22" s="77">
        <v>175979</v>
      </c>
      <c r="BA22" s="2"/>
      <c r="BB22" s="2"/>
      <c r="BC22" s="48" t="s">
        <v>183</v>
      </c>
      <c r="BD22" s="46" t="s">
        <v>138</v>
      </c>
      <c r="BE22" s="46" t="s">
        <v>191</v>
      </c>
      <c r="BF22" s="46"/>
    </row>
    <row r="23" spans="2:58" ht="25.5" x14ac:dyDescent="0.25">
      <c r="B23" s="31" t="s">
        <v>192</v>
      </c>
      <c r="C23" s="1">
        <v>37</v>
      </c>
      <c r="D23" s="1" t="s">
        <v>193</v>
      </c>
      <c r="E23" s="1"/>
      <c r="F23" s="1" t="s">
        <v>144</v>
      </c>
      <c r="G23" s="1" t="s">
        <v>84</v>
      </c>
      <c r="H23" s="1"/>
      <c r="I23" s="6">
        <v>46072</v>
      </c>
      <c r="J23" s="5">
        <v>39000000</v>
      </c>
      <c r="K23" s="5" t="s">
        <v>85</v>
      </c>
      <c r="L23" s="6">
        <v>45971</v>
      </c>
      <c r="M23" s="9">
        <v>4</v>
      </c>
      <c r="N23" s="1">
        <v>0</v>
      </c>
      <c r="O23" s="1">
        <v>0</v>
      </c>
      <c r="P23" s="1">
        <v>0</v>
      </c>
      <c r="Q23" s="9" t="s">
        <v>194</v>
      </c>
      <c r="R23" s="1" t="s">
        <v>87</v>
      </c>
      <c r="S23" s="1" t="s">
        <v>88</v>
      </c>
      <c r="T23" s="1" t="s">
        <v>89</v>
      </c>
      <c r="U23" s="1" t="s">
        <v>88</v>
      </c>
      <c r="V23" s="1" t="s">
        <v>88</v>
      </c>
      <c r="W23" s="1" t="s">
        <v>88</v>
      </c>
      <c r="X23" s="1"/>
      <c r="Y23" s="1" t="s">
        <v>50</v>
      </c>
      <c r="Z23" s="6">
        <f>WORKDAY(I23,20)</f>
        <v>46100</v>
      </c>
      <c r="AA23" s="33" t="s">
        <v>89</v>
      </c>
      <c r="AB23" s="6"/>
      <c r="AC23" s="6"/>
      <c r="AD23" s="6" t="s">
        <v>88</v>
      </c>
      <c r="AE23" s="6"/>
      <c r="AF23" s="6"/>
      <c r="AG23" s="6"/>
      <c r="AH23" s="6">
        <f t="shared" si="0"/>
        <v>46192</v>
      </c>
      <c r="AI23" s="6"/>
      <c r="AJ23" s="6"/>
      <c r="AK23" s="6">
        <f>EDATE(AH23,3)</f>
        <v>46284</v>
      </c>
      <c r="AL23" s="6"/>
      <c r="AM23" s="6">
        <f>AK23</f>
        <v>46284</v>
      </c>
      <c r="AN23" s="6">
        <f>AM23+14</f>
        <v>46298</v>
      </c>
      <c r="AO23" s="6"/>
      <c r="AP23" s="6"/>
      <c r="AQ23" s="6">
        <v>46934</v>
      </c>
      <c r="AR23" s="6" t="s">
        <v>195</v>
      </c>
      <c r="AS23" s="2" t="s">
        <v>196</v>
      </c>
      <c r="AT23" s="69" t="s">
        <v>92</v>
      </c>
      <c r="AU23" s="75" t="s">
        <v>197</v>
      </c>
      <c r="AV23" s="80"/>
      <c r="AW23" s="2" t="s">
        <v>85</v>
      </c>
      <c r="AX23" s="2"/>
      <c r="AY23" s="2"/>
      <c r="AZ23" s="50" t="s">
        <v>107</v>
      </c>
      <c r="BA23" s="2"/>
      <c r="BB23" s="2"/>
      <c r="BC23" s="48" t="s">
        <v>198</v>
      </c>
      <c r="BD23" s="46"/>
      <c r="BE23" s="46"/>
      <c r="BF23" s="46"/>
    </row>
    <row r="24" spans="2:58" ht="38.25" hidden="1" x14ac:dyDescent="0.25">
      <c r="B24" s="31" t="s">
        <v>199</v>
      </c>
      <c r="C24" s="1"/>
      <c r="D24" s="1" t="s">
        <v>200</v>
      </c>
      <c r="E24" s="1"/>
      <c r="F24" s="1" t="s">
        <v>144</v>
      </c>
      <c r="G24" s="68" t="s">
        <v>135</v>
      </c>
      <c r="H24" s="1"/>
      <c r="I24" s="6"/>
      <c r="J24" s="5"/>
      <c r="K24" s="5"/>
      <c r="L24" s="6"/>
      <c r="M24" s="1"/>
      <c r="N24" s="1"/>
      <c r="O24" s="1"/>
      <c r="P24" s="1"/>
      <c r="Q24" s="1"/>
      <c r="R24" s="1"/>
      <c r="S24" s="45" t="s">
        <v>201</v>
      </c>
      <c r="T24" s="1"/>
      <c r="U24" s="1"/>
      <c r="V24" s="1"/>
      <c r="W24" s="1"/>
      <c r="X24" s="1"/>
      <c r="Y24" s="1"/>
      <c r="Z24" s="1"/>
      <c r="AA24" s="1"/>
      <c r="AB24" s="1"/>
      <c r="AC24" s="1"/>
      <c r="AD24" s="6" t="s">
        <v>88</v>
      </c>
      <c r="AE24" s="1"/>
      <c r="AF24" s="1"/>
      <c r="AG24" s="1"/>
      <c r="AH24" s="6">
        <f t="shared" si="0"/>
        <v>121</v>
      </c>
      <c r="AI24" s="6"/>
      <c r="AJ24" s="6"/>
      <c r="AK24" s="6"/>
      <c r="AL24" s="6"/>
      <c r="AM24" s="1"/>
      <c r="AN24" s="6"/>
      <c r="AO24" s="6"/>
      <c r="AP24" s="6"/>
      <c r="AQ24" s="6"/>
      <c r="AR24" s="6"/>
      <c r="AS24" s="2"/>
      <c r="AT24" s="69"/>
      <c r="AV24" s="70"/>
      <c r="AW24" s="2"/>
      <c r="AX24" s="2"/>
      <c r="AY24" s="2"/>
      <c r="AZ24" s="2"/>
      <c r="BA24" s="2"/>
      <c r="BB24" s="2"/>
      <c r="BC24" s="46" t="s">
        <v>202</v>
      </c>
      <c r="BD24" s="46" t="s">
        <v>184</v>
      </c>
      <c r="BE24" s="46" t="s">
        <v>203</v>
      </c>
      <c r="BF24" s="46"/>
    </row>
    <row r="25" spans="2:58" x14ac:dyDescent="0.25">
      <c r="B25" s="31" t="s">
        <v>204</v>
      </c>
      <c r="C25" s="1"/>
      <c r="D25" s="1" t="s">
        <v>205</v>
      </c>
      <c r="E25" s="1"/>
      <c r="F25" s="1" t="s">
        <v>144</v>
      </c>
      <c r="G25" s="1" t="s">
        <v>135</v>
      </c>
      <c r="H25" s="1"/>
      <c r="I25" s="6"/>
      <c r="J25" s="5"/>
      <c r="K25" s="5"/>
      <c r="L25" s="6"/>
      <c r="M25" s="1"/>
      <c r="N25" s="1"/>
      <c r="O25" s="1"/>
      <c r="P25" s="1"/>
      <c r="Q25" s="1"/>
      <c r="R25" s="1"/>
      <c r="S25" s="45" t="s">
        <v>206</v>
      </c>
      <c r="T25" s="1"/>
      <c r="U25" s="1"/>
      <c r="V25" s="1"/>
      <c r="W25" s="1"/>
      <c r="X25" s="1"/>
      <c r="Y25" s="1"/>
      <c r="Z25" s="1"/>
      <c r="AA25" s="1"/>
      <c r="AB25" s="1"/>
      <c r="AC25" s="1"/>
      <c r="AD25" s="6" t="s">
        <v>88</v>
      </c>
      <c r="AE25" s="1"/>
      <c r="AF25" s="1"/>
      <c r="AG25" s="1"/>
      <c r="AH25" s="6">
        <f t="shared" si="0"/>
        <v>121</v>
      </c>
      <c r="AI25" s="6"/>
      <c r="AJ25" s="6"/>
      <c r="AK25" s="6"/>
      <c r="AL25" s="6"/>
      <c r="AM25" s="1"/>
      <c r="AN25" s="6"/>
      <c r="AO25" s="6"/>
      <c r="AP25" s="6"/>
      <c r="AQ25" s="6"/>
      <c r="AR25" s="6"/>
      <c r="AS25" s="2"/>
      <c r="AT25" s="69"/>
      <c r="AV25" s="70"/>
      <c r="AW25" s="2"/>
      <c r="AX25" s="2"/>
      <c r="AY25" s="2"/>
      <c r="AZ25" s="2"/>
      <c r="BA25" s="2"/>
      <c r="BB25" s="2"/>
      <c r="BC25" s="46" t="s">
        <v>207</v>
      </c>
      <c r="BD25" s="46"/>
      <c r="BE25" s="46"/>
      <c r="BF25" s="46" t="s">
        <v>208</v>
      </c>
    </row>
    <row r="26" spans="2:58" ht="38.25" hidden="1" x14ac:dyDescent="0.25">
      <c r="B26" s="31" t="s">
        <v>209</v>
      </c>
      <c r="C26" s="1">
        <v>53</v>
      </c>
      <c r="D26" s="1" t="s">
        <v>210</v>
      </c>
      <c r="E26" s="1"/>
      <c r="F26" s="1" t="s">
        <v>144</v>
      </c>
      <c r="G26" s="1" t="s">
        <v>84</v>
      </c>
      <c r="H26" s="1"/>
      <c r="I26" s="6">
        <v>46083</v>
      </c>
      <c r="J26" s="5">
        <v>6350000</v>
      </c>
      <c r="K26" s="5">
        <v>0</v>
      </c>
      <c r="L26" s="6">
        <v>45909</v>
      </c>
      <c r="M26" s="1">
        <v>1</v>
      </c>
      <c r="N26" s="1">
        <v>0</v>
      </c>
      <c r="O26" s="1">
        <v>0</v>
      </c>
      <c r="P26" s="1">
        <v>0</v>
      </c>
      <c r="Q26" s="1" t="s">
        <v>86</v>
      </c>
      <c r="R26" s="1" t="s">
        <v>159</v>
      </c>
      <c r="S26" s="1" t="s">
        <v>88</v>
      </c>
      <c r="T26" s="1" t="s">
        <v>88</v>
      </c>
      <c r="U26" s="1" t="s">
        <v>88</v>
      </c>
      <c r="V26" s="1" t="s">
        <v>88</v>
      </c>
      <c r="W26" s="1" t="s">
        <v>88</v>
      </c>
      <c r="X26" s="1"/>
      <c r="Y26" s="1" t="s">
        <v>91</v>
      </c>
      <c r="Z26" s="43"/>
      <c r="AA26" s="43"/>
      <c r="AB26" s="43"/>
      <c r="AC26" s="43"/>
      <c r="AD26" s="43"/>
      <c r="AE26" s="43"/>
      <c r="AF26" s="43"/>
      <c r="AG26" s="43"/>
      <c r="AH26" s="6">
        <f t="shared" si="0"/>
        <v>46205</v>
      </c>
      <c r="AI26" s="43"/>
      <c r="AJ26" s="43"/>
      <c r="AK26" s="43"/>
      <c r="AL26" s="43"/>
      <c r="AM26" s="43"/>
      <c r="AN26" s="43"/>
      <c r="AO26" s="43"/>
      <c r="AP26" s="43"/>
      <c r="AQ26" s="43"/>
      <c r="AR26" s="43" t="s">
        <v>211</v>
      </c>
      <c r="AS26" s="2" t="s">
        <v>212</v>
      </c>
      <c r="AT26" s="69" t="s">
        <v>92</v>
      </c>
      <c r="AU26" s="2" t="s">
        <v>161</v>
      </c>
      <c r="AV26" s="70"/>
      <c r="AW26" s="2"/>
      <c r="AX26" s="2"/>
      <c r="AY26" s="2"/>
      <c r="AZ26" s="2"/>
      <c r="BA26" s="2"/>
      <c r="BB26" s="2"/>
      <c r="BC26" s="46" t="s">
        <v>213</v>
      </c>
      <c r="BD26" s="46" t="s">
        <v>138</v>
      </c>
      <c r="BE26" s="46" t="s">
        <v>214</v>
      </c>
      <c r="BF26" s="46" t="s">
        <v>215</v>
      </c>
    </row>
    <row r="27" spans="2:58" ht="51" x14ac:dyDescent="0.25">
      <c r="B27" s="31" t="s">
        <v>216</v>
      </c>
      <c r="C27" s="1" t="s">
        <v>217</v>
      </c>
      <c r="D27" s="1" t="s">
        <v>218</v>
      </c>
      <c r="E27" s="1" t="s">
        <v>219</v>
      </c>
      <c r="F27" s="1" t="s">
        <v>144</v>
      </c>
      <c r="G27" s="1" t="s">
        <v>84</v>
      </c>
      <c r="H27" s="1"/>
      <c r="I27" s="6">
        <v>46156</v>
      </c>
      <c r="J27" s="5">
        <v>19000000</v>
      </c>
      <c r="K27" s="5">
        <v>0</v>
      </c>
      <c r="L27" s="6">
        <v>45909</v>
      </c>
      <c r="M27" s="1">
        <v>1</v>
      </c>
      <c r="N27" s="1">
        <v>1</v>
      </c>
      <c r="O27" s="1">
        <v>0</v>
      </c>
      <c r="P27" s="1">
        <v>0</v>
      </c>
      <c r="Q27" s="1" t="s">
        <v>86</v>
      </c>
      <c r="R27" s="1" t="s">
        <v>87</v>
      </c>
      <c r="S27" s="45" t="s">
        <v>89</v>
      </c>
      <c r="T27" s="1" t="s">
        <v>89</v>
      </c>
      <c r="U27" s="1" t="s">
        <v>88</v>
      </c>
      <c r="V27" s="1" t="s">
        <v>88</v>
      </c>
      <c r="W27" s="1" t="s">
        <v>89</v>
      </c>
      <c r="X27" s="1" t="s">
        <v>126</v>
      </c>
      <c r="Y27" s="1"/>
      <c r="Z27" s="1"/>
      <c r="AA27" s="33" t="s">
        <v>102</v>
      </c>
      <c r="AB27" s="1"/>
      <c r="AC27" s="1"/>
      <c r="AD27" s="1"/>
      <c r="AE27" s="1"/>
      <c r="AF27" s="1"/>
      <c r="AG27" s="1"/>
      <c r="AH27" s="6">
        <f t="shared" si="0"/>
        <v>46279</v>
      </c>
      <c r="AI27" s="6"/>
      <c r="AJ27" s="6"/>
      <c r="AK27" s="6"/>
      <c r="AL27" s="6"/>
      <c r="AM27" s="1"/>
      <c r="AN27" s="6"/>
      <c r="AO27" s="6"/>
      <c r="AP27" s="6"/>
      <c r="AQ27" s="6"/>
      <c r="AR27" s="6"/>
      <c r="AS27" s="2"/>
      <c r="AT27" s="69"/>
      <c r="AV27" s="70"/>
      <c r="AW27" s="2"/>
      <c r="AX27" s="2"/>
      <c r="AY27" s="2"/>
      <c r="AZ27" s="2"/>
      <c r="BA27" s="2"/>
      <c r="BB27" s="46" t="s">
        <v>220</v>
      </c>
      <c r="BC27" s="46"/>
      <c r="BD27" s="46"/>
      <c r="BE27" s="46"/>
      <c r="BF27" s="46" t="s">
        <v>215</v>
      </c>
    </row>
    <row r="28" spans="2:58" ht="89.25" x14ac:dyDescent="0.25">
      <c r="B28" s="31" t="s">
        <v>221</v>
      </c>
      <c r="C28" s="1">
        <v>80</v>
      </c>
      <c r="D28" s="1" t="s">
        <v>222</v>
      </c>
      <c r="E28" s="1" t="s">
        <v>223</v>
      </c>
      <c r="F28" s="1" t="s">
        <v>144</v>
      </c>
      <c r="G28" s="1" t="s">
        <v>84</v>
      </c>
      <c r="H28" s="1"/>
      <c r="I28" s="6">
        <v>46083</v>
      </c>
      <c r="J28" s="5">
        <v>28500000</v>
      </c>
      <c r="K28" s="5" t="s">
        <v>85</v>
      </c>
      <c r="L28" s="6">
        <v>45909</v>
      </c>
      <c r="M28" s="9">
        <v>2</v>
      </c>
      <c r="N28" s="1">
        <v>0</v>
      </c>
      <c r="O28" s="1">
        <v>0</v>
      </c>
      <c r="P28" s="1">
        <v>0</v>
      </c>
      <c r="Q28" s="1" t="s">
        <v>125</v>
      </c>
      <c r="R28" s="1" t="s">
        <v>87</v>
      </c>
      <c r="S28" s="1" t="s">
        <v>88</v>
      </c>
      <c r="T28" s="1" t="s">
        <v>89</v>
      </c>
      <c r="U28" s="1" t="s">
        <v>88</v>
      </c>
      <c r="V28" s="1" t="s">
        <v>88</v>
      </c>
      <c r="W28" s="1" t="s">
        <v>88</v>
      </c>
      <c r="X28" s="1"/>
      <c r="Y28" s="1" t="s">
        <v>224</v>
      </c>
      <c r="Z28" s="6">
        <f>WORKDAY(I28,20)</f>
        <v>46111</v>
      </c>
      <c r="AA28" s="33" t="s">
        <v>102</v>
      </c>
      <c r="AB28" s="33" t="s">
        <v>102</v>
      </c>
      <c r="AC28" s="6"/>
      <c r="AD28" s="6"/>
      <c r="AE28" s="6"/>
      <c r="AF28" s="6"/>
      <c r="AG28" s="6"/>
      <c r="AH28" s="6">
        <f t="shared" si="0"/>
        <v>46205</v>
      </c>
      <c r="AI28" s="6"/>
      <c r="AJ28" s="6"/>
      <c r="AK28" s="6">
        <f>EDATE(AH28,3)</f>
        <v>46297</v>
      </c>
      <c r="AL28" s="6"/>
      <c r="AM28" s="6">
        <f>AK28</f>
        <v>46297</v>
      </c>
      <c r="AN28" s="6">
        <f>AM28+14</f>
        <v>46311</v>
      </c>
      <c r="AO28" s="6"/>
      <c r="AP28" s="6">
        <f>AN28+60</f>
        <v>46371</v>
      </c>
      <c r="AQ28" s="6">
        <v>46934</v>
      </c>
      <c r="AR28" s="6" t="s">
        <v>211</v>
      </c>
      <c r="AS28" s="2" t="s">
        <v>225</v>
      </c>
      <c r="AT28" s="69" t="s">
        <v>92</v>
      </c>
      <c r="AV28" s="70"/>
      <c r="AW28" s="2" t="s">
        <v>106</v>
      </c>
      <c r="AX28" s="2"/>
      <c r="AY28" s="2"/>
      <c r="AZ28" s="2"/>
      <c r="BA28" s="2"/>
      <c r="BB28" s="2" t="s">
        <v>226</v>
      </c>
      <c r="BC28" s="46" t="s">
        <v>227</v>
      </c>
      <c r="BD28" s="46">
        <v>1</v>
      </c>
      <c r="BE28" s="46" t="s">
        <v>228</v>
      </c>
      <c r="BF28" s="46" t="s">
        <v>208</v>
      </c>
    </row>
    <row r="29" spans="2:58" ht="38.25" x14ac:dyDescent="0.25">
      <c r="B29" s="31" t="s">
        <v>229</v>
      </c>
      <c r="C29" s="1">
        <v>57</v>
      </c>
      <c r="D29" s="1" t="s">
        <v>230</v>
      </c>
      <c r="E29" s="1" t="s">
        <v>231</v>
      </c>
      <c r="F29" s="1" t="s">
        <v>144</v>
      </c>
      <c r="G29" s="1" t="s">
        <v>84</v>
      </c>
      <c r="H29" s="1"/>
      <c r="I29" s="6">
        <v>46149</v>
      </c>
      <c r="J29" s="5">
        <v>8100000</v>
      </c>
      <c r="K29" s="5">
        <v>0</v>
      </c>
      <c r="L29" s="6">
        <v>45909</v>
      </c>
      <c r="M29" s="1">
        <v>0</v>
      </c>
      <c r="N29" s="1">
        <v>0</v>
      </c>
      <c r="O29" s="1">
        <v>1</v>
      </c>
      <c r="P29" s="1">
        <v>0</v>
      </c>
      <c r="Q29" s="1" t="s">
        <v>86</v>
      </c>
      <c r="R29" s="1" t="s">
        <v>159</v>
      </c>
      <c r="S29" s="1" t="s">
        <v>88</v>
      </c>
      <c r="T29" s="1" t="s">
        <v>88</v>
      </c>
      <c r="U29" s="1" t="s">
        <v>88</v>
      </c>
      <c r="V29" s="1" t="s">
        <v>88</v>
      </c>
      <c r="W29" s="1" t="s">
        <v>89</v>
      </c>
      <c r="X29" s="1" t="s">
        <v>126</v>
      </c>
      <c r="Y29" s="1"/>
      <c r="Z29" s="1"/>
      <c r="AA29" s="1"/>
      <c r="AB29" s="1"/>
      <c r="AC29" s="1"/>
      <c r="AD29" s="1"/>
      <c r="AE29" s="1"/>
      <c r="AF29" s="1"/>
      <c r="AG29" s="1"/>
      <c r="AH29" s="6">
        <f t="shared" si="0"/>
        <v>46272</v>
      </c>
      <c r="AI29" s="6"/>
      <c r="AJ29" s="6"/>
      <c r="AK29" s="6"/>
      <c r="AL29" s="6"/>
      <c r="AM29" s="1"/>
      <c r="AN29" s="6"/>
      <c r="AO29" s="6"/>
      <c r="AP29" s="6"/>
      <c r="AQ29" s="6"/>
      <c r="AR29" s="6"/>
      <c r="AS29" s="2"/>
      <c r="AT29" s="69"/>
      <c r="AV29" s="70"/>
      <c r="AW29" s="2"/>
      <c r="AX29" s="2"/>
      <c r="AY29" s="2"/>
      <c r="AZ29" s="2"/>
      <c r="BA29" s="2"/>
      <c r="BB29" s="2"/>
      <c r="BC29" s="2"/>
      <c r="BD29" s="2"/>
      <c r="BE29" s="2"/>
      <c r="BF29" s="2"/>
    </row>
    <row r="30" spans="2:58" ht="51" x14ac:dyDescent="0.25">
      <c r="B30" s="31" t="s">
        <v>232</v>
      </c>
      <c r="C30" s="1">
        <v>47</v>
      </c>
      <c r="D30" s="1" t="s">
        <v>233</v>
      </c>
      <c r="E30" s="1" t="s">
        <v>234</v>
      </c>
      <c r="F30" s="1" t="s">
        <v>144</v>
      </c>
      <c r="G30" s="1" t="s">
        <v>84</v>
      </c>
      <c r="H30" s="1"/>
      <c r="I30" s="6">
        <v>46156</v>
      </c>
      <c r="J30" s="5">
        <v>6300000</v>
      </c>
      <c r="K30" s="5">
        <v>0</v>
      </c>
      <c r="L30" s="6">
        <v>45909</v>
      </c>
      <c r="M30" s="1">
        <v>0</v>
      </c>
      <c r="N30" s="1">
        <v>0</v>
      </c>
      <c r="O30" s="1">
        <v>0</v>
      </c>
      <c r="P30" s="1">
        <v>1</v>
      </c>
      <c r="Q30" s="1" t="s">
        <v>86</v>
      </c>
      <c r="R30" s="1" t="s">
        <v>235</v>
      </c>
      <c r="S30" s="1" t="s">
        <v>88</v>
      </c>
      <c r="T30" s="1" t="s">
        <v>88</v>
      </c>
      <c r="U30" s="1" t="s">
        <v>88</v>
      </c>
      <c r="V30" s="1" t="s">
        <v>88</v>
      </c>
      <c r="W30" s="1" t="s">
        <v>89</v>
      </c>
      <c r="X30" s="1" t="s">
        <v>126</v>
      </c>
      <c r="Y30" s="1"/>
      <c r="Z30" s="1"/>
      <c r="AA30" s="1"/>
      <c r="AB30" s="1"/>
      <c r="AC30" s="1"/>
      <c r="AD30" s="1"/>
      <c r="AE30" s="1"/>
      <c r="AF30" s="1"/>
      <c r="AG30" s="1"/>
      <c r="AH30" s="6">
        <f t="shared" si="0"/>
        <v>46279</v>
      </c>
      <c r="AI30" s="6"/>
      <c r="AJ30" s="6"/>
      <c r="AK30" s="6"/>
      <c r="AL30" s="6"/>
      <c r="AM30" s="1"/>
      <c r="AN30" s="6"/>
      <c r="AO30" s="6"/>
      <c r="AP30" s="6"/>
      <c r="AQ30" s="6"/>
      <c r="AR30" s="6"/>
      <c r="AS30" s="2"/>
      <c r="AT30" s="69"/>
      <c r="AV30" s="70"/>
      <c r="AW30" s="2"/>
      <c r="AX30" s="2"/>
      <c r="AY30" s="2"/>
      <c r="AZ30" s="2"/>
      <c r="BA30" s="2"/>
      <c r="BB30" s="2"/>
      <c r="BC30" s="2"/>
      <c r="BD30" s="2"/>
      <c r="BE30" s="2"/>
      <c r="BF30" s="2"/>
    </row>
    <row r="31" spans="2:58" ht="38.25" x14ac:dyDescent="0.25">
      <c r="B31" s="31" t="s">
        <v>236</v>
      </c>
      <c r="C31" s="1">
        <v>45</v>
      </c>
      <c r="D31" s="1" t="s">
        <v>237</v>
      </c>
      <c r="E31" s="1" t="s">
        <v>238</v>
      </c>
      <c r="F31" s="1" t="s">
        <v>144</v>
      </c>
      <c r="G31" s="1" t="s">
        <v>84</v>
      </c>
      <c r="H31" s="1"/>
      <c r="I31" s="6">
        <v>46163</v>
      </c>
      <c r="J31" s="5">
        <v>6000000</v>
      </c>
      <c r="K31" s="5">
        <v>0</v>
      </c>
      <c r="L31" s="6">
        <v>45909</v>
      </c>
      <c r="M31" s="1">
        <v>0</v>
      </c>
      <c r="N31" s="1">
        <v>0</v>
      </c>
      <c r="O31" s="1">
        <v>0</v>
      </c>
      <c r="P31" s="1">
        <v>1</v>
      </c>
      <c r="Q31" s="1" t="s">
        <v>86</v>
      </c>
      <c r="R31" s="1" t="s">
        <v>159</v>
      </c>
      <c r="S31" s="1" t="s">
        <v>88</v>
      </c>
      <c r="T31" s="1" t="s">
        <v>88</v>
      </c>
      <c r="U31" s="1" t="s">
        <v>88</v>
      </c>
      <c r="V31" s="1" t="s">
        <v>88</v>
      </c>
      <c r="W31" s="1" t="s">
        <v>88</v>
      </c>
      <c r="X31" s="1"/>
      <c r="Y31" s="1"/>
      <c r="Z31" s="1"/>
      <c r="AA31" s="1"/>
      <c r="AB31" s="1"/>
      <c r="AC31" s="1"/>
      <c r="AD31" s="1"/>
      <c r="AE31" s="1"/>
      <c r="AF31" s="1"/>
      <c r="AG31" s="1"/>
      <c r="AH31" s="6">
        <f t="shared" si="0"/>
        <v>46286</v>
      </c>
      <c r="AI31" s="6"/>
      <c r="AJ31" s="6"/>
      <c r="AK31" s="6"/>
      <c r="AL31" s="6"/>
      <c r="AM31" s="1"/>
      <c r="AN31" s="6"/>
      <c r="AO31" s="6"/>
      <c r="AP31" s="6"/>
      <c r="AQ31" s="6"/>
      <c r="AR31" s="6"/>
      <c r="AS31" s="2"/>
      <c r="AT31" s="69"/>
      <c r="AV31" s="70"/>
      <c r="AW31" s="2"/>
      <c r="AX31" s="2"/>
      <c r="AY31" s="2"/>
      <c r="AZ31" s="2"/>
      <c r="BA31" s="2"/>
      <c r="BB31" s="2" t="s">
        <v>239</v>
      </c>
      <c r="BC31" s="2"/>
      <c r="BD31" s="2"/>
      <c r="BE31" s="2"/>
      <c r="BF31" s="2"/>
    </row>
    <row r="32" spans="2:58" x14ac:dyDescent="0.25">
      <c r="B32" s="31"/>
      <c r="C32" s="1"/>
      <c r="D32" s="1"/>
      <c r="E32" s="1"/>
      <c r="F32" s="1"/>
      <c r="G32" s="1"/>
      <c r="H32" s="1"/>
      <c r="I32" s="6"/>
      <c r="J32" s="5"/>
      <c r="K32" s="5"/>
      <c r="L32" s="6"/>
      <c r="M32" s="1"/>
      <c r="N32" s="1"/>
      <c r="O32" s="1"/>
      <c r="P32" s="1"/>
      <c r="Q32" s="1"/>
      <c r="R32" s="1"/>
      <c r="S32" s="1"/>
      <c r="T32" s="1"/>
      <c r="U32" s="1"/>
      <c r="V32" s="1"/>
      <c r="W32" s="1"/>
      <c r="X32" s="1"/>
      <c r="Y32" s="1"/>
      <c r="Z32" s="1"/>
      <c r="AA32" s="1"/>
      <c r="AB32" s="1"/>
      <c r="AC32" s="1"/>
      <c r="AD32" s="1"/>
      <c r="AE32" s="1"/>
      <c r="AF32" s="1"/>
      <c r="AG32" s="1"/>
      <c r="AH32" s="6"/>
      <c r="AI32" s="6"/>
      <c r="AJ32" s="6"/>
      <c r="AK32" s="6"/>
      <c r="AL32" s="6"/>
      <c r="AM32" s="1"/>
      <c r="AN32" s="6"/>
      <c r="AO32" s="6"/>
      <c r="AP32" s="6"/>
      <c r="AQ32" s="6"/>
      <c r="AR32" s="6"/>
      <c r="AS32" s="2"/>
      <c r="AT32" s="69"/>
      <c r="AV32" s="70"/>
      <c r="AW32" s="2"/>
      <c r="AX32" s="2"/>
      <c r="AY32" s="2"/>
      <c r="AZ32" s="2"/>
      <c r="BA32" s="2"/>
      <c r="BB32" s="2"/>
      <c r="BC32" s="2"/>
      <c r="BD32" s="2"/>
      <c r="BE32" s="2"/>
      <c r="BF32" s="2"/>
    </row>
    <row r="33" spans="2:58" x14ac:dyDescent="0.25">
      <c r="B33" s="31"/>
      <c r="C33" s="1"/>
      <c r="D33" s="1"/>
      <c r="E33" s="1"/>
      <c r="F33" s="1"/>
      <c r="G33" s="1"/>
      <c r="H33" s="1"/>
      <c r="I33" s="6"/>
      <c r="J33" s="5"/>
      <c r="K33" s="5"/>
      <c r="L33" s="6"/>
      <c r="M33" s="1"/>
      <c r="N33" s="1"/>
      <c r="O33" s="1"/>
      <c r="P33" s="1"/>
      <c r="Q33" s="1"/>
      <c r="R33" s="1"/>
      <c r="S33" s="1"/>
      <c r="T33" s="1"/>
      <c r="U33" s="1"/>
      <c r="V33" s="1"/>
      <c r="W33" s="1"/>
      <c r="X33" s="1"/>
      <c r="Y33" s="1"/>
      <c r="Z33" s="1"/>
      <c r="AA33" s="1"/>
      <c r="AB33" s="1"/>
      <c r="AC33" s="1"/>
      <c r="AD33" s="1"/>
      <c r="AE33" s="1"/>
      <c r="AF33" s="1"/>
      <c r="AG33" s="1"/>
      <c r="AH33" s="6"/>
      <c r="AI33" s="6"/>
      <c r="AJ33" s="6"/>
      <c r="AK33" s="6"/>
      <c r="AL33" s="6"/>
      <c r="AM33" s="1"/>
      <c r="AN33" s="6"/>
      <c r="AO33" s="6"/>
      <c r="AP33" s="6"/>
      <c r="AQ33" s="6"/>
      <c r="AR33" s="6"/>
      <c r="AS33" s="2"/>
      <c r="AT33" s="69"/>
      <c r="AV33" s="70"/>
      <c r="AW33" s="2"/>
      <c r="AX33" s="2"/>
      <c r="AY33" s="2"/>
      <c r="AZ33" s="2"/>
      <c r="BA33" s="2"/>
      <c r="BB33" s="2"/>
      <c r="BC33" s="2"/>
      <c r="BD33" s="2"/>
      <c r="BE33" s="2"/>
      <c r="BF33" s="2"/>
    </row>
    <row r="34" spans="2:58" x14ac:dyDescent="0.25">
      <c r="B34" s="31"/>
      <c r="C34" s="1"/>
      <c r="D34" s="1"/>
      <c r="E34" s="1"/>
      <c r="F34" s="1"/>
      <c r="G34" s="1"/>
      <c r="H34" s="1"/>
      <c r="I34" s="6"/>
      <c r="J34" s="5"/>
      <c r="K34" s="5"/>
      <c r="L34" s="6"/>
      <c r="M34" s="1"/>
      <c r="N34" s="1"/>
      <c r="O34" s="1"/>
      <c r="P34" s="1"/>
      <c r="Q34" s="1"/>
      <c r="R34" s="1"/>
      <c r="S34" s="1"/>
      <c r="T34" s="1"/>
      <c r="U34" s="1"/>
      <c r="V34" s="1"/>
      <c r="W34" s="1"/>
      <c r="X34" s="1"/>
      <c r="Y34" s="1"/>
      <c r="Z34" s="1"/>
      <c r="AA34" s="1"/>
      <c r="AB34" s="1"/>
      <c r="AC34" s="1"/>
      <c r="AD34" s="1"/>
      <c r="AE34" s="1"/>
      <c r="AF34" s="1"/>
      <c r="AG34" s="1"/>
      <c r="AH34" s="6"/>
      <c r="AI34" s="6"/>
      <c r="AJ34" s="6"/>
      <c r="AK34" s="6"/>
      <c r="AL34" s="6"/>
      <c r="AM34" s="1"/>
      <c r="AN34" s="6"/>
      <c r="AO34" s="6"/>
      <c r="AP34" s="6"/>
      <c r="AQ34" s="6"/>
      <c r="AR34" s="6"/>
      <c r="AS34" s="2"/>
      <c r="AT34" s="69"/>
      <c r="AV34" s="70"/>
      <c r="AW34" s="2"/>
      <c r="AX34" s="2"/>
      <c r="AY34" s="2"/>
      <c r="AZ34" s="2"/>
      <c r="BA34" s="2"/>
      <c r="BB34" s="2"/>
      <c r="BC34" s="2"/>
      <c r="BD34" s="2"/>
      <c r="BE34" s="2"/>
      <c r="BF34" s="2"/>
    </row>
    <row r="35" spans="2:58" x14ac:dyDescent="0.25">
      <c r="B35" s="31"/>
      <c r="C35" s="1"/>
      <c r="D35" s="1"/>
      <c r="E35" s="1"/>
      <c r="F35" s="1"/>
      <c r="G35" s="1"/>
      <c r="H35" s="1"/>
      <c r="I35" s="6"/>
      <c r="J35" s="5"/>
      <c r="K35" s="5"/>
      <c r="L35" s="6"/>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2"/>
      <c r="AT35" s="69"/>
      <c r="AV35" s="70"/>
      <c r="AW35" s="2"/>
      <c r="AX35" s="2"/>
      <c r="AY35" s="2"/>
      <c r="AZ35" s="2"/>
      <c r="BA35" s="2"/>
      <c r="BB35" s="2"/>
      <c r="BC35" s="2"/>
      <c r="BD35" s="2"/>
      <c r="BE35" s="2"/>
      <c r="BF35" s="2"/>
    </row>
    <row r="36" spans="2:58" x14ac:dyDescent="0.25">
      <c r="B36" s="31"/>
      <c r="C36" s="1"/>
      <c r="D36" s="1"/>
      <c r="E36" s="1"/>
      <c r="F36" s="1"/>
      <c r="G36" s="1"/>
      <c r="H36" s="1"/>
      <c r="I36" s="6"/>
      <c r="J36" s="5"/>
      <c r="K36" s="5"/>
      <c r="L36" s="6"/>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2"/>
      <c r="AT36" s="69"/>
      <c r="AV36" s="70"/>
      <c r="AW36" s="2"/>
      <c r="AX36" s="2"/>
      <c r="AY36" s="2"/>
      <c r="AZ36" s="2"/>
      <c r="BA36" s="2"/>
      <c r="BB36" s="2"/>
      <c r="BC36" s="2"/>
      <c r="BD36" s="2"/>
      <c r="BE36" s="2"/>
      <c r="BF36" s="2"/>
    </row>
    <row r="37" spans="2:58" x14ac:dyDescent="0.25">
      <c r="B37" s="31"/>
      <c r="C37" s="1"/>
      <c r="D37" s="1"/>
      <c r="E37" s="1"/>
      <c r="F37" s="1"/>
      <c r="G37" s="1"/>
      <c r="H37" s="1"/>
      <c r="I37" s="6"/>
      <c r="J37" s="5"/>
      <c r="K37" s="5"/>
      <c r="L37" s="6"/>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2"/>
      <c r="AT37" s="69"/>
      <c r="AV37" s="70"/>
      <c r="AW37" s="2"/>
      <c r="AX37" s="2"/>
      <c r="AY37" s="2"/>
      <c r="AZ37" s="2"/>
      <c r="BA37" s="2"/>
      <c r="BB37" s="2"/>
      <c r="BC37" s="2"/>
      <c r="BD37" s="2"/>
      <c r="BE37" s="2"/>
      <c r="BF37" s="2"/>
    </row>
    <row r="38" spans="2:58" x14ac:dyDescent="0.25">
      <c r="B38" s="31"/>
      <c r="C38" s="1"/>
      <c r="D38" s="1"/>
      <c r="E38" s="1"/>
      <c r="F38" s="1"/>
      <c r="G38" s="1"/>
      <c r="H38" s="1"/>
      <c r="I38" s="6"/>
      <c r="J38" s="5"/>
      <c r="K38" s="5"/>
      <c r="L38" s="6"/>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2"/>
      <c r="AT38" s="69"/>
      <c r="AV38" s="70"/>
      <c r="AW38" s="2"/>
      <c r="AX38" s="2"/>
      <c r="AY38" s="2"/>
      <c r="AZ38" s="2"/>
      <c r="BA38" s="2"/>
      <c r="BB38" s="2"/>
      <c r="BC38" s="2"/>
      <c r="BD38" s="2"/>
      <c r="BE38" s="2"/>
      <c r="BF38" s="2"/>
    </row>
    <row r="39" spans="2:58" x14ac:dyDescent="0.25">
      <c r="B39" s="31"/>
      <c r="C39" s="1"/>
      <c r="D39" s="1"/>
      <c r="E39" s="1"/>
      <c r="F39" s="1"/>
      <c r="G39" s="1"/>
      <c r="H39" s="1"/>
      <c r="I39" s="6"/>
      <c r="J39" s="5"/>
      <c r="K39" s="5"/>
      <c r="L39" s="6"/>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2"/>
      <c r="AT39" s="69"/>
      <c r="AV39" s="70"/>
      <c r="AW39" s="2"/>
      <c r="AX39" s="2"/>
      <c r="AY39" s="2"/>
      <c r="AZ39" s="2"/>
      <c r="BA39" s="2"/>
      <c r="BB39" s="2"/>
      <c r="BC39" s="2"/>
      <c r="BD39" s="2"/>
      <c r="BE39" s="2"/>
      <c r="BF39" s="2"/>
    </row>
    <row r="40" spans="2:58" x14ac:dyDescent="0.25">
      <c r="B40" s="31"/>
      <c r="C40" s="1"/>
      <c r="D40" s="1"/>
      <c r="E40" s="1"/>
      <c r="F40" s="1"/>
      <c r="G40" s="1"/>
      <c r="H40" s="1"/>
      <c r="I40" s="6"/>
      <c r="J40" s="5"/>
      <c r="K40" s="5"/>
      <c r="L40" s="6"/>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2"/>
      <c r="AT40" s="69"/>
      <c r="AV40" s="70"/>
      <c r="AW40" s="2"/>
      <c r="AX40" s="2"/>
      <c r="AY40" s="2"/>
      <c r="AZ40" s="2"/>
      <c r="BA40" s="2"/>
      <c r="BB40" s="2"/>
      <c r="BC40" s="2"/>
      <c r="BD40" s="2"/>
      <c r="BE40" s="2"/>
      <c r="BF40" s="2"/>
    </row>
    <row r="41" spans="2:58" x14ac:dyDescent="0.25">
      <c r="B41" s="31"/>
      <c r="C41" s="1"/>
      <c r="D41" s="1"/>
      <c r="E41" s="1"/>
      <c r="F41" s="1"/>
      <c r="G41" s="1"/>
      <c r="H41" s="1"/>
      <c r="I41" s="6"/>
      <c r="J41" s="5"/>
      <c r="K41" s="5"/>
      <c r="L41" s="6"/>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2"/>
      <c r="AT41" s="69"/>
      <c r="AV41" s="70"/>
      <c r="AW41" s="2"/>
      <c r="AX41" s="2"/>
      <c r="AY41" s="2"/>
      <c r="AZ41" s="2"/>
      <c r="BA41" s="2"/>
      <c r="BB41" s="2"/>
      <c r="BC41" s="2"/>
      <c r="BD41" s="2"/>
      <c r="BE41" s="2"/>
      <c r="BF41" s="2"/>
    </row>
    <row r="42" spans="2:58" x14ac:dyDescent="0.25">
      <c r="B42" s="31"/>
      <c r="C42" s="1"/>
      <c r="D42" s="1"/>
      <c r="E42" s="1"/>
      <c r="F42" s="1"/>
      <c r="G42" s="1"/>
      <c r="H42" s="1"/>
      <c r="I42" s="6"/>
      <c r="J42" s="5"/>
      <c r="K42" s="5"/>
      <c r="L42" s="6"/>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2"/>
      <c r="AT42" s="69"/>
      <c r="AV42" s="70"/>
      <c r="AW42" s="2"/>
      <c r="AX42" s="2"/>
      <c r="AY42" s="2"/>
      <c r="AZ42" s="2"/>
      <c r="BA42" s="2"/>
      <c r="BB42" s="2"/>
      <c r="BC42" s="2"/>
      <c r="BD42" s="2"/>
      <c r="BE42" s="2"/>
      <c r="BF42" s="2"/>
    </row>
    <row r="43" spans="2:58" x14ac:dyDescent="0.25">
      <c r="B43" s="31"/>
      <c r="C43" s="1"/>
      <c r="D43" s="1"/>
      <c r="E43" s="1"/>
      <c r="F43" s="1"/>
      <c r="G43" s="1"/>
      <c r="H43" s="1"/>
      <c r="I43" s="6"/>
      <c r="J43" s="5"/>
      <c r="K43" s="5"/>
      <c r="L43" s="6"/>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2"/>
      <c r="AT43" s="69"/>
      <c r="AV43" s="70"/>
      <c r="AW43" s="2"/>
      <c r="AX43" s="2"/>
      <c r="AY43" s="2"/>
      <c r="AZ43" s="2"/>
      <c r="BA43" s="2"/>
      <c r="BB43" s="2"/>
      <c r="BC43" s="2"/>
      <c r="BD43" s="2"/>
      <c r="BE43" s="2"/>
      <c r="BF43" s="2"/>
    </row>
    <row r="44" spans="2:58" x14ac:dyDescent="0.25">
      <c r="B44" s="31"/>
      <c r="C44" s="1"/>
      <c r="D44" s="1"/>
      <c r="E44" s="1"/>
      <c r="F44" s="1"/>
      <c r="G44" s="1"/>
      <c r="H44" s="1"/>
      <c r="I44" s="6"/>
      <c r="J44" s="5"/>
      <c r="K44" s="5"/>
      <c r="L44" s="6"/>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2"/>
      <c r="AT44" s="69"/>
      <c r="AV44" s="70"/>
      <c r="AW44" s="2"/>
      <c r="AX44" s="2"/>
      <c r="AY44" s="2"/>
      <c r="AZ44" s="2"/>
      <c r="BA44" s="2"/>
      <c r="BB44" s="2"/>
      <c r="BC44" s="2"/>
      <c r="BD44" s="2"/>
      <c r="BE44" s="2"/>
      <c r="BF44" s="2"/>
    </row>
    <row r="45" spans="2:58" x14ac:dyDescent="0.25">
      <c r="B45" s="31"/>
      <c r="C45" s="1"/>
      <c r="D45" s="1"/>
      <c r="E45" s="1"/>
      <c r="F45" s="1"/>
      <c r="G45" s="1"/>
      <c r="H45" s="1"/>
      <c r="I45" s="6"/>
      <c r="J45" s="5"/>
      <c r="K45" s="5"/>
      <c r="L45" s="6"/>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2"/>
      <c r="AT45" s="69"/>
      <c r="AV45" s="70"/>
      <c r="AW45" s="2"/>
      <c r="AX45" s="2"/>
      <c r="AY45" s="2"/>
      <c r="AZ45" s="2"/>
      <c r="BA45" s="2"/>
      <c r="BB45" s="2"/>
      <c r="BC45" s="2"/>
      <c r="BD45" s="2"/>
      <c r="BE45" s="2"/>
      <c r="BF45" s="2"/>
    </row>
    <row r="46" spans="2:58" x14ac:dyDescent="0.25">
      <c r="B46" s="31"/>
      <c r="C46" s="1"/>
      <c r="D46" s="1"/>
      <c r="E46" s="1"/>
      <c r="F46" s="1"/>
      <c r="G46" s="1"/>
      <c r="H46" s="1"/>
      <c r="I46" s="6"/>
      <c r="J46" s="5"/>
      <c r="K46" s="5"/>
      <c r="L46" s="6"/>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2"/>
      <c r="AT46" s="69"/>
      <c r="AV46" s="70"/>
      <c r="AW46" s="2"/>
      <c r="AX46" s="2"/>
      <c r="AY46" s="2"/>
      <c r="AZ46" s="2"/>
      <c r="BA46" s="2"/>
      <c r="BB46" s="2"/>
      <c r="BC46" s="2"/>
      <c r="BD46" s="2"/>
      <c r="BE46" s="2"/>
      <c r="BF46" s="2"/>
    </row>
    <row r="47" spans="2:58" x14ac:dyDescent="0.25">
      <c r="B47" s="31"/>
      <c r="C47" s="1"/>
      <c r="D47" s="1"/>
      <c r="E47" s="1"/>
      <c r="F47" s="1"/>
      <c r="G47" s="1"/>
      <c r="H47" s="1"/>
      <c r="I47" s="6"/>
      <c r="J47" s="5"/>
      <c r="K47" s="5"/>
      <c r="L47" s="6"/>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2"/>
      <c r="AT47" s="69"/>
      <c r="AV47" s="70"/>
      <c r="AW47" s="2"/>
      <c r="AX47" s="2"/>
      <c r="AY47" s="2"/>
      <c r="AZ47" s="2"/>
      <c r="BA47" s="2"/>
      <c r="BB47" s="2"/>
      <c r="BC47" s="2"/>
      <c r="BD47" s="2"/>
      <c r="BE47" s="2"/>
      <c r="BF47" s="2"/>
    </row>
    <row r="48" spans="2:58" x14ac:dyDescent="0.25">
      <c r="B48" s="31"/>
      <c r="C48" s="1"/>
      <c r="D48" s="1"/>
      <c r="E48" s="1"/>
      <c r="F48" s="1"/>
      <c r="G48" s="1"/>
      <c r="H48" s="1"/>
      <c r="I48" s="6"/>
      <c r="J48" s="5"/>
      <c r="K48" s="5"/>
      <c r="L48" s="6"/>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2"/>
      <c r="AT48" s="69"/>
      <c r="AV48" s="70"/>
      <c r="AW48" s="2"/>
      <c r="AX48" s="2"/>
      <c r="AY48" s="2"/>
      <c r="AZ48" s="2"/>
      <c r="BA48" s="2"/>
      <c r="BB48" s="2"/>
      <c r="BC48" s="2"/>
      <c r="BD48" s="2"/>
      <c r="BE48" s="2"/>
      <c r="BF48" s="2"/>
    </row>
    <row r="49" spans="2:58" x14ac:dyDescent="0.25">
      <c r="B49" s="31"/>
      <c r="C49" s="1"/>
      <c r="D49" s="1"/>
      <c r="E49" s="1"/>
      <c r="F49" s="1"/>
      <c r="G49" s="1"/>
      <c r="H49" s="1"/>
      <c r="I49" s="6"/>
      <c r="J49" s="5"/>
      <c r="K49" s="5"/>
      <c r="L49" s="6"/>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2"/>
      <c r="AT49" s="69"/>
      <c r="AV49" s="70"/>
      <c r="AW49" s="2"/>
      <c r="AX49" s="2"/>
      <c r="AY49" s="2"/>
      <c r="AZ49" s="2"/>
      <c r="BA49" s="2"/>
      <c r="BB49" s="2"/>
      <c r="BC49" s="2"/>
      <c r="BD49" s="2"/>
      <c r="BE49" s="2"/>
      <c r="BF49" s="2"/>
    </row>
    <row r="50" spans="2:58" x14ac:dyDescent="0.25">
      <c r="B50" s="31"/>
      <c r="C50" s="1"/>
      <c r="D50" s="1"/>
      <c r="E50" s="1"/>
      <c r="F50" s="1"/>
      <c r="G50" s="1"/>
      <c r="H50" s="1"/>
      <c r="I50" s="6"/>
      <c r="J50" s="5"/>
      <c r="K50" s="5"/>
      <c r="L50" s="6"/>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2"/>
      <c r="AT50" s="69"/>
      <c r="AV50" s="70"/>
      <c r="AW50" s="2"/>
      <c r="AX50" s="2"/>
      <c r="AY50" s="2"/>
      <c r="AZ50" s="2"/>
      <c r="BA50" s="2"/>
      <c r="BB50" s="2"/>
      <c r="BC50" s="2"/>
      <c r="BD50" s="2"/>
      <c r="BE50" s="2"/>
      <c r="BF50" s="2"/>
    </row>
    <row r="51" spans="2:58" x14ac:dyDescent="0.25">
      <c r="B51" s="31"/>
      <c r="C51" s="1"/>
      <c r="D51" s="1"/>
      <c r="E51" s="1"/>
      <c r="F51" s="1"/>
      <c r="G51" s="1"/>
      <c r="H51" s="1"/>
      <c r="I51" s="6"/>
      <c r="J51" s="5"/>
      <c r="K51" s="5"/>
      <c r="L51" s="6"/>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2"/>
      <c r="AT51" s="69"/>
      <c r="AV51" s="70"/>
      <c r="AW51" s="2"/>
      <c r="AX51" s="2"/>
      <c r="AY51" s="2"/>
      <c r="AZ51" s="2"/>
      <c r="BA51" s="2"/>
      <c r="BB51" s="2"/>
      <c r="BC51" s="2"/>
      <c r="BD51" s="2"/>
      <c r="BE51" s="2"/>
      <c r="BF51" s="2"/>
    </row>
    <row r="52" spans="2:58" x14ac:dyDescent="0.25">
      <c r="B52" s="31"/>
      <c r="C52" s="1"/>
      <c r="D52" s="1"/>
      <c r="E52" s="1"/>
      <c r="F52" s="1"/>
      <c r="G52" s="1"/>
      <c r="H52" s="1"/>
      <c r="I52" s="6"/>
      <c r="J52" s="5"/>
      <c r="K52" s="5"/>
      <c r="L52" s="6"/>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2"/>
      <c r="AT52" s="69"/>
      <c r="AV52" s="70"/>
      <c r="AW52" s="2"/>
      <c r="AX52" s="2"/>
      <c r="AY52" s="2"/>
      <c r="AZ52" s="2"/>
      <c r="BA52" s="2"/>
      <c r="BB52" s="2"/>
      <c r="BC52" s="2"/>
      <c r="BD52" s="2"/>
      <c r="BE52" s="2"/>
      <c r="BF52" s="2"/>
    </row>
    <row r="53" spans="2:58" x14ac:dyDescent="0.25">
      <c r="B53" s="31"/>
      <c r="C53" s="1"/>
      <c r="D53" s="1"/>
      <c r="E53" s="1"/>
      <c r="F53" s="1"/>
      <c r="G53" s="1"/>
      <c r="H53" s="1"/>
      <c r="I53" s="6"/>
      <c r="J53" s="5"/>
      <c r="K53" s="5"/>
      <c r="L53" s="6"/>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2"/>
      <c r="AT53" s="69"/>
      <c r="AV53" s="70"/>
      <c r="AW53" s="2"/>
      <c r="AX53" s="2"/>
      <c r="AY53" s="2"/>
      <c r="AZ53" s="2"/>
      <c r="BA53" s="2"/>
      <c r="BB53" s="2"/>
      <c r="BC53" s="2"/>
      <c r="BD53" s="2"/>
      <c r="BE53" s="2"/>
      <c r="BF53" s="2"/>
    </row>
    <row r="54" spans="2:58" x14ac:dyDescent="0.25">
      <c r="B54" s="31"/>
      <c r="C54" s="1"/>
      <c r="D54" s="1"/>
      <c r="E54" s="1"/>
      <c r="F54" s="1"/>
      <c r="G54" s="1"/>
      <c r="H54" s="1"/>
      <c r="I54" s="6"/>
      <c r="J54" s="5"/>
      <c r="K54" s="5"/>
      <c r="L54" s="6"/>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2"/>
      <c r="AT54" s="69"/>
      <c r="AV54" s="70"/>
      <c r="AW54" s="2"/>
      <c r="AX54" s="2"/>
      <c r="AY54" s="2"/>
      <c r="AZ54" s="2"/>
      <c r="BA54" s="2"/>
      <c r="BB54" s="2"/>
      <c r="BC54" s="2"/>
      <c r="BD54" s="2"/>
      <c r="BE54" s="2"/>
      <c r="BF54" s="2"/>
    </row>
    <row r="55" spans="2:58" x14ac:dyDescent="0.25">
      <c r="B55" s="31"/>
      <c r="C55" s="1"/>
      <c r="D55" s="1"/>
      <c r="E55" s="1"/>
      <c r="F55" s="1"/>
      <c r="G55" s="1"/>
      <c r="H55" s="1"/>
      <c r="I55" s="6"/>
      <c r="J55" s="5"/>
      <c r="K55" s="5"/>
      <c r="L55" s="6"/>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2"/>
      <c r="AT55" s="69"/>
      <c r="AV55" s="70"/>
      <c r="AW55" s="2"/>
      <c r="AX55" s="2"/>
      <c r="AY55" s="2"/>
      <c r="AZ55" s="2"/>
      <c r="BA55" s="2"/>
      <c r="BB55" s="2"/>
      <c r="BC55" s="2"/>
      <c r="BD55" s="2"/>
      <c r="BE55" s="2"/>
      <c r="BF55" s="2"/>
    </row>
    <row r="56" spans="2:58" x14ac:dyDescent="0.25">
      <c r="B56" s="31"/>
      <c r="C56" s="1"/>
      <c r="D56" s="1"/>
      <c r="E56" s="1"/>
      <c r="F56" s="1"/>
      <c r="G56" s="1"/>
      <c r="H56" s="1"/>
      <c r="I56" s="6"/>
      <c r="J56" s="5"/>
      <c r="K56" s="5"/>
      <c r="L56" s="6"/>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2"/>
      <c r="AT56" s="69"/>
      <c r="AV56" s="70"/>
      <c r="AW56" s="2"/>
      <c r="AX56" s="2"/>
      <c r="AY56" s="2"/>
      <c r="AZ56" s="2"/>
      <c r="BA56" s="2"/>
      <c r="BB56" s="2"/>
      <c r="BC56" s="2"/>
      <c r="BD56" s="2"/>
      <c r="BE56" s="2"/>
      <c r="BF56" s="2"/>
    </row>
    <row r="57" spans="2:58" x14ac:dyDescent="0.25">
      <c r="B57" s="31"/>
      <c r="C57" s="1"/>
      <c r="D57" s="1"/>
      <c r="E57" s="1"/>
      <c r="F57" s="1"/>
      <c r="G57" s="1"/>
      <c r="H57" s="1"/>
      <c r="I57" s="6"/>
      <c r="J57" s="5"/>
      <c r="K57" s="5"/>
      <c r="L57" s="6"/>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2"/>
      <c r="AT57" s="69"/>
      <c r="AV57" s="70"/>
      <c r="AW57" s="2"/>
      <c r="AX57" s="2"/>
      <c r="AY57" s="2"/>
      <c r="AZ57" s="2"/>
      <c r="BA57" s="2"/>
      <c r="BB57" s="2"/>
      <c r="BC57" s="2"/>
      <c r="BD57" s="2"/>
      <c r="BE57" s="2"/>
      <c r="BF57" s="2"/>
    </row>
    <row r="58" spans="2:58" x14ac:dyDescent="0.25">
      <c r="B58" s="31"/>
      <c r="C58" s="1"/>
      <c r="D58" s="1"/>
      <c r="E58" s="1"/>
      <c r="F58" s="1"/>
      <c r="G58" s="1"/>
      <c r="H58" s="1"/>
      <c r="I58" s="6"/>
      <c r="J58" s="5"/>
      <c r="K58" s="5"/>
      <c r="L58" s="6"/>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2"/>
      <c r="AT58" s="69"/>
      <c r="AV58" s="70"/>
      <c r="AW58" s="2"/>
      <c r="AX58" s="2"/>
      <c r="AY58" s="2"/>
      <c r="AZ58" s="2"/>
      <c r="BA58" s="2"/>
      <c r="BB58" s="2"/>
      <c r="BC58" s="2"/>
      <c r="BD58" s="2"/>
      <c r="BE58" s="2"/>
      <c r="BF58" s="2"/>
    </row>
    <row r="59" spans="2:58" x14ac:dyDescent="0.25">
      <c r="B59" s="31"/>
      <c r="C59" s="1"/>
      <c r="D59" s="1"/>
      <c r="E59" s="1"/>
      <c r="F59" s="1"/>
      <c r="G59" s="1"/>
      <c r="H59" s="1"/>
      <c r="I59" s="6"/>
      <c r="J59" s="5"/>
      <c r="K59" s="5"/>
      <c r="L59" s="6"/>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2"/>
      <c r="AT59" s="69"/>
      <c r="AV59" s="70"/>
      <c r="AW59" s="2"/>
      <c r="AX59" s="2"/>
      <c r="AY59" s="2"/>
      <c r="AZ59" s="2"/>
      <c r="BA59" s="2"/>
      <c r="BB59" s="2"/>
      <c r="BC59" s="2"/>
      <c r="BD59" s="2"/>
      <c r="BE59" s="2"/>
      <c r="BF59" s="2"/>
    </row>
    <row r="60" spans="2:58" x14ac:dyDescent="0.25">
      <c r="B60" s="31"/>
      <c r="C60" s="1"/>
      <c r="D60" s="1"/>
      <c r="E60" s="1"/>
      <c r="F60" s="1"/>
      <c r="G60" s="1"/>
      <c r="H60" s="1"/>
      <c r="I60" s="6"/>
      <c r="J60" s="5"/>
      <c r="K60" s="5"/>
      <c r="L60" s="6"/>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2"/>
      <c r="AT60" s="69"/>
      <c r="AV60" s="70"/>
      <c r="AW60" s="2"/>
      <c r="AX60" s="2"/>
      <c r="AY60" s="2"/>
      <c r="AZ60" s="2"/>
      <c r="BA60" s="2"/>
      <c r="BB60" s="2"/>
      <c r="BC60" s="2"/>
      <c r="BD60" s="2"/>
      <c r="BE60" s="2"/>
      <c r="BF60" s="2"/>
    </row>
    <row r="61" spans="2:58" x14ac:dyDescent="0.25">
      <c r="B61" s="31"/>
      <c r="C61" s="1"/>
      <c r="D61" s="1"/>
      <c r="E61" s="1"/>
      <c r="F61" s="1"/>
      <c r="G61" s="1"/>
      <c r="H61" s="1"/>
      <c r="I61" s="6"/>
      <c r="J61" s="5"/>
      <c r="K61" s="5"/>
      <c r="L61" s="6"/>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2"/>
      <c r="AT61" s="69"/>
      <c r="AV61" s="70"/>
      <c r="AW61" s="2"/>
      <c r="AX61" s="2"/>
      <c r="AY61" s="2"/>
      <c r="AZ61" s="2"/>
      <c r="BA61" s="2"/>
      <c r="BB61" s="2"/>
      <c r="BC61" s="2"/>
      <c r="BD61" s="2"/>
      <c r="BE61" s="2"/>
      <c r="BF61" s="2"/>
    </row>
    <row r="62" spans="2:58" x14ac:dyDescent="0.25">
      <c r="B62" s="31"/>
      <c r="C62" s="1"/>
      <c r="D62" s="1"/>
      <c r="E62" s="1"/>
      <c r="F62" s="1"/>
      <c r="G62" s="1"/>
      <c r="H62" s="1"/>
      <c r="I62" s="6"/>
      <c r="J62" s="5"/>
      <c r="K62" s="5"/>
      <c r="L62" s="6"/>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2"/>
      <c r="AT62" s="69"/>
      <c r="AV62" s="70"/>
      <c r="AW62" s="2"/>
      <c r="AX62" s="2"/>
      <c r="AY62" s="2"/>
      <c r="AZ62" s="2"/>
      <c r="BA62" s="2"/>
      <c r="BB62" s="2"/>
      <c r="BC62" s="2"/>
      <c r="BD62" s="2"/>
      <c r="BE62" s="2"/>
      <c r="BF62" s="2"/>
    </row>
    <row r="63" spans="2:58" x14ac:dyDescent="0.25">
      <c r="B63" s="31"/>
      <c r="C63" s="1"/>
      <c r="D63" s="1"/>
      <c r="E63" s="1"/>
      <c r="F63" s="1"/>
      <c r="G63" s="1"/>
      <c r="H63" s="1"/>
      <c r="I63" s="6"/>
      <c r="J63" s="5"/>
      <c r="K63" s="5"/>
      <c r="L63" s="6"/>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2"/>
      <c r="AT63" s="69"/>
      <c r="AV63" s="70"/>
      <c r="AW63" s="2"/>
      <c r="AX63" s="2"/>
      <c r="AY63" s="2"/>
      <c r="AZ63" s="2"/>
      <c r="BA63" s="2"/>
      <c r="BB63" s="2"/>
      <c r="BC63" s="2"/>
      <c r="BD63" s="2"/>
      <c r="BE63" s="2"/>
      <c r="BF63" s="2"/>
    </row>
    <row r="64" spans="2:58" x14ac:dyDescent="0.25">
      <c r="B64" s="31"/>
      <c r="C64" s="1"/>
      <c r="D64" s="1"/>
      <c r="E64" s="1"/>
      <c r="F64" s="1"/>
      <c r="G64" s="1"/>
      <c r="H64" s="1"/>
      <c r="I64" s="6"/>
      <c r="J64" s="5"/>
      <c r="K64" s="5"/>
      <c r="L64" s="6"/>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2"/>
      <c r="AT64" s="69"/>
      <c r="AV64" s="70"/>
      <c r="AW64" s="2"/>
      <c r="AX64" s="2"/>
      <c r="AY64" s="2"/>
      <c r="AZ64" s="2"/>
      <c r="BA64" s="2"/>
      <c r="BB64" s="2"/>
      <c r="BC64" s="2"/>
      <c r="BD64" s="2"/>
      <c r="BE64" s="2"/>
      <c r="BF64" s="2"/>
    </row>
    <row r="65" spans="2:58" x14ac:dyDescent="0.25">
      <c r="B65" s="31"/>
      <c r="C65" s="1"/>
      <c r="D65" s="1"/>
      <c r="E65" s="1"/>
      <c r="F65" s="1"/>
      <c r="G65" s="1"/>
      <c r="H65" s="1"/>
      <c r="I65" s="6"/>
      <c r="J65" s="5"/>
      <c r="K65" s="5"/>
      <c r="L65" s="6"/>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2"/>
      <c r="AT65" s="69"/>
      <c r="AV65" s="70"/>
      <c r="AW65" s="2"/>
      <c r="AX65" s="2"/>
      <c r="AY65" s="2"/>
      <c r="AZ65" s="2"/>
      <c r="BA65" s="2"/>
      <c r="BB65" s="2"/>
      <c r="BC65" s="2"/>
      <c r="BD65" s="2"/>
      <c r="BE65" s="2"/>
      <c r="BF65" s="2"/>
    </row>
    <row r="66" spans="2:58" x14ac:dyDescent="0.25">
      <c r="B66" s="31"/>
      <c r="C66" s="1"/>
      <c r="D66" s="1"/>
      <c r="E66" s="1"/>
      <c r="F66" s="1"/>
      <c r="G66" s="1"/>
      <c r="H66" s="1"/>
      <c r="I66" s="6"/>
      <c r="J66" s="5"/>
      <c r="K66" s="5"/>
      <c r="L66" s="6"/>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2"/>
      <c r="AT66" s="69"/>
      <c r="AV66" s="70"/>
      <c r="AW66" s="2"/>
      <c r="AX66" s="2"/>
      <c r="AY66" s="2"/>
      <c r="AZ66" s="2"/>
      <c r="BA66" s="2"/>
      <c r="BB66" s="2"/>
      <c r="BC66" s="2"/>
      <c r="BD66" s="2"/>
      <c r="BE66" s="2"/>
      <c r="BF66" s="2"/>
    </row>
    <row r="67" spans="2:58" x14ac:dyDescent="0.25">
      <c r="B67" s="31"/>
      <c r="C67" s="1"/>
      <c r="D67" s="1"/>
      <c r="E67" s="1"/>
      <c r="F67" s="1"/>
      <c r="G67" s="1"/>
      <c r="H67" s="1"/>
      <c r="I67" s="6"/>
      <c r="J67" s="5"/>
      <c r="K67" s="5"/>
      <c r="L67" s="6"/>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2"/>
      <c r="AT67" s="69"/>
      <c r="AV67" s="70"/>
      <c r="AW67" s="2"/>
      <c r="AX67" s="2"/>
      <c r="AY67" s="2"/>
      <c r="AZ67" s="2"/>
      <c r="BA67" s="2"/>
      <c r="BB67" s="2"/>
      <c r="BC67" s="2"/>
      <c r="BD67" s="2"/>
      <c r="BE67" s="2"/>
      <c r="BF67" s="2"/>
    </row>
    <row r="68" spans="2:58" x14ac:dyDescent="0.25">
      <c r="B68" s="31"/>
      <c r="C68" s="1"/>
      <c r="D68" s="1"/>
      <c r="E68" s="1"/>
      <c r="F68" s="1"/>
      <c r="G68" s="1"/>
      <c r="H68" s="1"/>
      <c r="I68" s="6"/>
      <c r="J68" s="5"/>
      <c r="K68" s="5"/>
      <c r="L68" s="6"/>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2"/>
      <c r="AT68" s="69"/>
      <c r="AV68" s="70"/>
      <c r="AW68" s="2"/>
      <c r="AX68" s="2"/>
      <c r="AY68" s="2"/>
      <c r="AZ68" s="2"/>
      <c r="BA68" s="2"/>
      <c r="BB68" s="2"/>
      <c r="BC68" s="2"/>
      <c r="BD68" s="2"/>
      <c r="BE68" s="2"/>
      <c r="BF68" s="2"/>
    </row>
    <row r="69" spans="2:58" x14ac:dyDescent="0.25">
      <c r="B69" s="31"/>
      <c r="C69" s="1"/>
      <c r="D69" s="1"/>
      <c r="E69" s="1"/>
      <c r="F69" s="1"/>
      <c r="G69" s="1"/>
      <c r="H69" s="1"/>
      <c r="I69" s="6"/>
      <c r="J69" s="5"/>
      <c r="K69" s="5"/>
      <c r="L69" s="6"/>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2"/>
      <c r="AT69" s="69"/>
      <c r="AV69" s="70"/>
      <c r="AW69" s="2"/>
      <c r="AX69" s="2"/>
      <c r="AY69" s="2"/>
      <c r="AZ69" s="2"/>
      <c r="BA69" s="2"/>
      <c r="BB69" s="2"/>
      <c r="BC69" s="2"/>
      <c r="BD69" s="2"/>
      <c r="BE69" s="2"/>
      <c r="BF69" s="2"/>
    </row>
    <row r="70" spans="2:58" x14ac:dyDescent="0.25">
      <c r="B70" s="31"/>
      <c r="C70" s="1"/>
      <c r="D70" s="1"/>
      <c r="E70" s="1"/>
      <c r="F70" s="1"/>
      <c r="G70" s="1"/>
      <c r="H70" s="1"/>
      <c r="I70" s="6"/>
      <c r="J70" s="5"/>
      <c r="K70" s="5"/>
      <c r="L70" s="6"/>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2"/>
      <c r="AT70" s="69"/>
      <c r="AV70" s="70"/>
      <c r="AW70" s="2"/>
      <c r="AX70" s="2"/>
      <c r="AY70" s="2"/>
      <c r="AZ70" s="2"/>
      <c r="BA70" s="2"/>
      <c r="BB70" s="2"/>
      <c r="BC70" s="2"/>
      <c r="BD70" s="2"/>
      <c r="BE70" s="2"/>
      <c r="BF70" s="2"/>
    </row>
    <row r="71" spans="2:58" x14ac:dyDescent="0.25">
      <c r="B71" s="31"/>
      <c r="C71" s="1"/>
      <c r="D71" s="1"/>
      <c r="E71" s="1"/>
      <c r="F71" s="1"/>
      <c r="G71" s="1"/>
      <c r="H71" s="1"/>
      <c r="I71" s="6"/>
      <c r="J71" s="5"/>
      <c r="K71" s="5"/>
      <c r="L71" s="6"/>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2"/>
      <c r="AT71" s="69"/>
      <c r="AV71" s="70"/>
      <c r="AW71" s="2"/>
      <c r="AX71" s="2"/>
      <c r="AY71" s="2"/>
      <c r="AZ71" s="2"/>
      <c r="BA71" s="2"/>
      <c r="BB71" s="2"/>
      <c r="BC71" s="2"/>
      <c r="BD71" s="2"/>
      <c r="BE71" s="2"/>
      <c r="BF71" s="2"/>
    </row>
    <row r="72" spans="2:58" x14ac:dyDescent="0.25">
      <c r="B72" s="31"/>
      <c r="C72" s="1"/>
      <c r="D72" s="1"/>
      <c r="E72" s="1"/>
      <c r="F72" s="1"/>
      <c r="G72" s="1"/>
      <c r="H72" s="1"/>
      <c r="I72" s="6"/>
      <c r="J72" s="5"/>
      <c r="K72" s="5"/>
      <c r="L72" s="6"/>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2"/>
      <c r="AT72" s="69"/>
      <c r="AV72" s="70"/>
      <c r="AW72" s="2"/>
      <c r="AX72" s="2"/>
      <c r="AY72" s="2"/>
      <c r="AZ72" s="2"/>
      <c r="BA72" s="2"/>
      <c r="BB72" s="2"/>
      <c r="BC72" s="2"/>
      <c r="BD72" s="2"/>
      <c r="BE72" s="2"/>
      <c r="BF72" s="2"/>
    </row>
    <row r="73" spans="2:58" x14ac:dyDescent="0.25">
      <c r="B73" s="31"/>
      <c r="C73" s="1"/>
      <c r="D73" s="1"/>
      <c r="E73" s="1"/>
      <c r="F73" s="1"/>
      <c r="G73" s="1"/>
      <c r="H73" s="1"/>
      <c r="I73" s="6"/>
      <c r="J73" s="5"/>
      <c r="K73" s="5"/>
      <c r="L73" s="6"/>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2"/>
      <c r="AT73" s="69"/>
      <c r="AV73" s="70"/>
      <c r="AW73" s="2"/>
      <c r="AX73" s="2"/>
      <c r="AY73" s="2"/>
      <c r="AZ73" s="2"/>
      <c r="BA73" s="2"/>
      <c r="BB73" s="2"/>
      <c r="BC73" s="2"/>
      <c r="BD73" s="2"/>
      <c r="BE73" s="2"/>
      <c r="BF73" s="2"/>
    </row>
    <row r="74" spans="2:58" x14ac:dyDescent="0.25">
      <c r="B74" s="31"/>
      <c r="C74" s="1"/>
      <c r="D74" s="1"/>
      <c r="E74" s="1"/>
      <c r="F74" s="1"/>
      <c r="G74" s="1"/>
      <c r="H74" s="1"/>
      <c r="I74" s="6"/>
      <c r="J74" s="5"/>
      <c r="K74" s="5"/>
      <c r="L74" s="6"/>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2"/>
      <c r="AT74" s="69"/>
      <c r="AV74" s="70"/>
      <c r="AW74" s="2"/>
      <c r="AX74" s="2"/>
      <c r="AY74" s="2"/>
      <c r="AZ74" s="2"/>
      <c r="BA74" s="2"/>
      <c r="BB74" s="2"/>
      <c r="BC74" s="2"/>
      <c r="BD74" s="2"/>
      <c r="BE74" s="2"/>
      <c r="BF74" s="2"/>
    </row>
    <row r="75" spans="2:58" x14ac:dyDescent="0.25">
      <c r="B75" s="31"/>
      <c r="C75" s="1"/>
      <c r="D75" s="1"/>
      <c r="E75" s="1"/>
      <c r="F75" s="1"/>
      <c r="G75" s="1"/>
      <c r="H75" s="1"/>
      <c r="I75" s="6"/>
      <c r="J75" s="5"/>
      <c r="K75" s="5"/>
      <c r="L75" s="6"/>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2"/>
      <c r="AT75" s="69"/>
      <c r="AV75" s="70"/>
      <c r="AW75" s="2"/>
      <c r="AX75" s="2"/>
      <c r="AY75" s="2"/>
      <c r="AZ75" s="2"/>
      <c r="BA75" s="2"/>
      <c r="BB75" s="2"/>
      <c r="BC75" s="2"/>
      <c r="BD75" s="2"/>
      <c r="BE75" s="2"/>
      <c r="BF75" s="2"/>
    </row>
    <row r="76" spans="2:58" x14ac:dyDescent="0.25">
      <c r="B76" s="31"/>
      <c r="C76" s="1"/>
      <c r="D76" s="1"/>
      <c r="E76" s="1"/>
      <c r="F76" s="1"/>
      <c r="G76" s="1"/>
      <c r="H76" s="1"/>
      <c r="I76" s="6"/>
      <c r="J76" s="5"/>
      <c r="K76" s="5"/>
      <c r="L76" s="6"/>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2"/>
      <c r="AT76" s="69"/>
      <c r="AV76" s="70"/>
      <c r="AW76" s="2"/>
      <c r="AX76" s="2"/>
      <c r="AY76" s="2"/>
      <c r="AZ76" s="2"/>
      <c r="BA76" s="2"/>
      <c r="BB76" s="2"/>
      <c r="BC76" s="2"/>
      <c r="BD76" s="2"/>
      <c r="BE76" s="2"/>
      <c r="BF76" s="2"/>
    </row>
    <row r="77" spans="2:58" x14ac:dyDescent="0.25">
      <c r="B77" s="31"/>
      <c r="C77" s="1"/>
      <c r="D77" s="1"/>
      <c r="E77" s="1"/>
      <c r="F77" s="1"/>
      <c r="G77" s="1"/>
      <c r="H77" s="1"/>
      <c r="I77" s="6"/>
      <c r="J77" s="5"/>
      <c r="K77" s="5"/>
      <c r="L77" s="6"/>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2"/>
      <c r="AT77" s="69"/>
      <c r="AV77" s="70"/>
      <c r="AW77" s="2"/>
      <c r="AX77" s="2"/>
      <c r="AY77" s="2"/>
      <c r="AZ77" s="2"/>
      <c r="BA77" s="2"/>
      <c r="BB77" s="2"/>
      <c r="BC77" s="2"/>
      <c r="BD77" s="2"/>
      <c r="BE77" s="2"/>
      <c r="BF77" s="2"/>
    </row>
    <row r="78" spans="2:58" x14ac:dyDescent="0.25">
      <c r="B78" s="31"/>
      <c r="C78" s="1"/>
      <c r="D78" s="1"/>
      <c r="E78" s="1"/>
      <c r="F78" s="1"/>
      <c r="G78" s="1"/>
      <c r="H78" s="1"/>
      <c r="I78" s="6"/>
      <c r="J78" s="5"/>
      <c r="K78" s="5"/>
      <c r="L78" s="6"/>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2"/>
      <c r="AT78" s="69"/>
      <c r="AV78" s="70"/>
      <c r="AW78" s="2"/>
      <c r="AX78" s="2"/>
      <c r="AY78" s="2"/>
      <c r="AZ78" s="2"/>
      <c r="BA78" s="2"/>
      <c r="BB78" s="2"/>
      <c r="BC78" s="2"/>
      <c r="BD78" s="2"/>
      <c r="BE78" s="2"/>
      <c r="BF78" s="2"/>
    </row>
    <row r="79" spans="2:58" x14ac:dyDescent="0.25">
      <c r="B79" s="31"/>
      <c r="C79" s="1"/>
      <c r="D79" s="1"/>
      <c r="E79" s="1"/>
      <c r="F79" s="1"/>
      <c r="G79" s="1"/>
      <c r="H79" s="1"/>
      <c r="I79" s="6"/>
      <c r="J79" s="5"/>
      <c r="K79" s="5"/>
      <c r="L79" s="6"/>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2"/>
      <c r="AT79" s="69"/>
      <c r="AV79" s="70"/>
      <c r="AW79" s="2"/>
      <c r="AX79" s="2"/>
      <c r="AY79" s="2"/>
      <c r="AZ79" s="2"/>
      <c r="BA79" s="2"/>
      <c r="BB79" s="2"/>
      <c r="BC79" s="2"/>
      <c r="BD79" s="2"/>
      <c r="BE79" s="2"/>
      <c r="BF79" s="2"/>
    </row>
    <row r="80" spans="2:58" x14ac:dyDescent="0.25">
      <c r="B80" s="31"/>
      <c r="C80" s="1"/>
      <c r="D80" s="1"/>
      <c r="E80" s="1"/>
      <c r="F80" s="1"/>
      <c r="G80" s="1"/>
      <c r="H80" s="1"/>
      <c r="I80" s="6"/>
      <c r="J80" s="5"/>
      <c r="K80" s="5"/>
      <c r="L80" s="6"/>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2"/>
      <c r="AT80" s="69"/>
      <c r="AV80" s="70"/>
      <c r="AW80" s="2"/>
      <c r="AX80" s="2"/>
      <c r="AY80" s="2"/>
      <c r="AZ80" s="2"/>
      <c r="BA80" s="2"/>
      <c r="BB80" s="2"/>
      <c r="BC80" s="2"/>
      <c r="BD80" s="2"/>
      <c r="BE80" s="2"/>
      <c r="BF80" s="2"/>
    </row>
    <row r="81" spans="2:58" x14ac:dyDescent="0.25">
      <c r="B81" s="31"/>
      <c r="C81" s="1"/>
      <c r="D81" s="1"/>
      <c r="E81" s="1"/>
      <c r="F81" s="1"/>
      <c r="G81" s="1"/>
      <c r="H81" s="1"/>
      <c r="I81" s="6"/>
      <c r="J81" s="5"/>
      <c r="K81" s="5"/>
      <c r="L81" s="6"/>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2"/>
      <c r="AT81" s="69"/>
      <c r="AV81" s="70"/>
      <c r="AW81" s="2"/>
      <c r="AX81" s="2"/>
      <c r="AY81" s="2"/>
      <c r="AZ81" s="2"/>
      <c r="BA81" s="2"/>
      <c r="BB81" s="2"/>
      <c r="BC81" s="2"/>
      <c r="BD81" s="2"/>
      <c r="BE81" s="2"/>
      <c r="BF81" s="2"/>
    </row>
    <row r="82" spans="2:58" x14ac:dyDescent="0.25">
      <c r="B82" s="31"/>
      <c r="C82" s="1"/>
      <c r="D82" s="1"/>
      <c r="E82" s="1"/>
      <c r="F82" s="1"/>
      <c r="G82" s="1"/>
      <c r="H82" s="1"/>
      <c r="I82" s="6"/>
      <c r="J82" s="5"/>
      <c r="K82" s="5"/>
      <c r="L82" s="6"/>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2"/>
      <c r="AT82" s="69"/>
      <c r="AV82" s="70"/>
      <c r="AW82" s="2"/>
      <c r="AX82" s="2"/>
      <c r="AY82" s="2"/>
      <c r="AZ82" s="2"/>
      <c r="BA82" s="2"/>
      <c r="BB82" s="2"/>
      <c r="BC82" s="2"/>
      <c r="BD82" s="2"/>
      <c r="BE82" s="2"/>
      <c r="BF82" s="2"/>
    </row>
    <row r="83" spans="2:58" x14ac:dyDescent="0.25">
      <c r="B83" s="31"/>
      <c r="C83" s="1"/>
      <c r="D83" s="1"/>
      <c r="E83" s="1"/>
      <c r="F83" s="1"/>
      <c r="G83" s="1"/>
      <c r="H83" s="1"/>
      <c r="I83" s="6"/>
      <c r="J83" s="5"/>
      <c r="K83" s="5"/>
      <c r="L83" s="6"/>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2"/>
      <c r="AT83" s="69"/>
      <c r="AV83" s="70"/>
      <c r="AW83" s="2"/>
      <c r="AX83" s="2"/>
      <c r="AY83" s="2"/>
      <c r="AZ83" s="2"/>
      <c r="BA83" s="2"/>
      <c r="BB83" s="2"/>
      <c r="BC83" s="2"/>
      <c r="BD83" s="2"/>
      <c r="BE83" s="2"/>
      <c r="BF83" s="2"/>
    </row>
    <row r="84" spans="2:58" x14ac:dyDescent="0.25">
      <c r="B84" s="31"/>
      <c r="C84" s="1"/>
      <c r="D84" s="1"/>
      <c r="E84" s="1"/>
      <c r="F84" s="1"/>
      <c r="G84" s="1"/>
      <c r="H84" s="1"/>
      <c r="I84" s="6"/>
      <c r="J84" s="5"/>
      <c r="K84" s="5"/>
      <c r="L84" s="6"/>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2"/>
      <c r="AT84" s="69"/>
      <c r="AV84" s="70"/>
      <c r="AW84" s="2"/>
      <c r="AX84" s="2"/>
      <c r="AY84" s="2"/>
      <c r="AZ84" s="2"/>
      <c r="BA84" s="2"/>
      <c r="BB84" s="2"/>
      <c r="BC84" s="2"/>
      <c r="BD84" s="2"/>
      <c r="BE84" s="2"/>
      <c r="BF84" s="2"/>
    </row>
    <row r="85" spans="2:58" x14ac:dyDescent="0.25">
      <c r="B85" s="31"/>
      <c r="C85" s="1"/>
      <c r="D85" s="1"/>
      <c r="E85" s="1"/>
      <c r="F85" s="1"/>
      <c r="G85" s="1"/>
      <c r="H85" s="1"/>
      <c r="I85" s="6"/>
      <c r="J85" s="5"/>
      <c r="K85" s="5"/>
      <c r="L85" s="6"/>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T85" s="69"/>
      <c r="AV85" s="70"/>
      <c r="AW85" s="2"/>
      <c r="AX85" s="2"/>
      <c r="AY85" s="2"/>
      <c r="AZ85" s="2"/>
      <c r="BA85" s="2"/>
      <c r="BB85" s="2"/>
      <c r="BC85" s="2"/>
      <c r="BD85" s="2"/>
      <c r="BE85" s="2"/>
      <c r="BF85" s="2"/>
    </row>
    <row r="86" spans="2:58" x14ac:dyDescent="0.25">
      <c r="B86" s="31"/>
      <c r="C86" s="1"/>
      <c r="D86" s="1"/>
      <c r="E86" s="1"/>
      <c r="F86" s="1"/>
      <c r="G86" s="1"/>
      <c r="H86" s="1"/>
      <c r="I86" s="6"/>
      <c r="J86" s="5"/>
      <c r="K86" s="5"/>
      <c r="L86" s="6"/>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T86" s="69"/>
      <c r="AV86" s="70"/>
      <c r="AW86" s="2"/>
      <c r="AX86" s="2"/>
      <c r="AY86" s="2"/>
      <c r="AZ86" s="2"/>
      <c r="BA86" s="2"/>
      <c r="BB86" s="2"/>
      <c r="BC86" s="2"/>
      <c r="BD86" s="2"/>
      <c r="BE86" s="2"/>
      <c r="BF86" s="2"/>
    </row>
    <row r="87" spans="2:58" x14ac:dyDescent="0.25">
      <c r="B87" s="31"/>
      <c r="C87" s="1"/>
      <c r="D87" s="1"/>
      <c r="E87" s="1"/>
      <c r="F87" s="1"/>
      <c r="G87" s="1"/>
      <c r="H87" s="1"/>
      <c r="I87" s="6"/>
      <c r="J87" s="5"/>
      <c r="K87" s="5"/>
      <c r="L87" s="6"/>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T87" s="69"/>
      <c r="AV87" s="70"/>
      <c r="AW87" s="2"/>
      <c r="AX87" s="2"/>
      <c r="AY87" s="2"/>
      <c r="AZ87" s="2"/>
      <c r="BA87" s="2"/>
      <c r="BB87" s="2"/>
      <c r="BC87" s="2"/>
      <c r="BD87" s="2"/>
      <c r="BE87" s="2"/>
      <c r="BF87" s="2"/>
    </row>
    <row r="88" spans="2:58" x14ac:dyDescent="0.25">
      <c r="B88" s="31"/>
      <c r="C88" s="1"/>
      <c r="D88" s="1"/>
      <c r="E88" s="1"/>
      <c r="F88" s="1"/>
      <c r="G88" s="1"/>
      <c r="H88" s="1"/>
      <c r="I88" s="6"/>
      <c r="J88" s="5"/>
      <c r="K88" s="5"/>
      <c r="L88" s="6"/>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T88" s="69"/>
      <c r="AV88" s="70"/>
      <c r="AW88" s="2"/>
      <c r="AX88" s="2"/>
      <c r="AY88" s="2"/>
      <c r="AZ88" s="2"/>
      <c r="BA88" s="2"/>
      <c r="BB88" s="2"/>
      <c r="BC88" s="2"/>
      <c r="BD88" s="2"/>
      <c r="BE88" s="2"/>
      <c r="BF88" s="2"/>
    </row>
    <row r="89" spans="2:58" x14ac:dyDescent="0.25">
      <c r="B89" s="31"/>
      <c r="C89" s="1"/>
      <c r="D89" s="1"/>
      <c r="E89" s="1"/>
      <c r="F89" s="1"/>
      <c r="G89" s="1"/>
      <c r="H89" s="1"/>
      <c r="I89" s="6"/>
      <c r="J89" s="5"/>
      <c r="K89" s="5"/>
      <c r="L89" s="6"/>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T89" s="69"/>
      <c r="AV89" s="70"/>
      <c r="AW89" s="2"/>
      <c r="AX89" s="2"/>
      <c r="AY89" s="2"/>
      <c r="AZ89" s="2"/>
      <c r="BA89" s="2"/>
      <c r="BB89" s="2"/>
      <c r="BC89" s="2"/>
      <c r="BD89" s="2"/>
      <c r="BE89" s="2"/>
      <c r="BF89" s="2"/>
    </row>
    <row r="90" spans="2:58" x14ac:dyDescent="0.25">
      <c r="B90" s="31"/>
      <c r="C90" s="1"/>
      <c r="D90" s="1"/>
      <c r="E90" s="1"/>
      <c r="F90" s="1"/>
      <c r="G90" s="1"/>
      <c r="H90" s="1"/>
      <c r="I90" s="6"/>
      <c r="J90" s="5"/>
      <c r="K90" s="5"/>
      <c r="L90" s="6"/>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T90" s="69"/>
      <c r="AV90" s="70"/>
      <c r="AW90" s="2"/>
      <c r="AX90" s="2"/>
      <c r="AY90" s="2"/>
      <c r="AZ90" s="2"/>
      <c r="BA90" s="2"/>
      <c r="BB90" s="2"/>
      <c r="BC90" s="2"/>
      <c r="BD90" s="2"/>
      <c r="BE90" s="2"/>
      <c r="BF90" s="2"/>
    </row>
    <row r="91" spans="2:58" x14ac:dyDescent="0.25">
      <c r="B91" s="31"/>
      <c r="C91" s="1"/>
      <c r="D91" s="1"/>
      <c r="E91" s="1"/>
      <c r="F91" s="1"/>
      <c r="G91" s="1"/>
      <c r="H91" s="1"/>
      <c r="I91" s="6"/>
      <c r="J91" s="5"/>
      <c r="K91" s="5"/>
      <c r="L91" s="6"/>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T91" s="69"/>
      <c r="AV91" s="70"/>
      <c r="AW91" s="2"/>
      <c r="AX91" s="2"/>
      <c r="AY91" s="2"/>
      <c r="AZ91" s="2"/>
      <c r="BA91" s="2"/>
      <c r="BB91" s="2"/>
      <c r="BC91" s="2"/>
      <c r="BD91" s="2"/>
      <c r="BE91" s="2"/>
      <c r="BF91" s="2"/>
    </row>
    <row r="92" spans="2:58" x14ac:dyDescent="0.25">
      <c r="B92" s="31"/>
      <c r="C92" s="1"/>
      <c r="D92" s="1"/>
      <c r="E92" s="1"/>
      <c r="F92" s="1"/>
      <c r="G92" s="1"/>
      <c r="H92" s="1"/>
      <c r="I92" s="6"/>
      <c r="J92" s="5"/>
      <c r="K92" s="5"/>
      <c r="L92" s="6"/>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T92" s="69"/>
      <c r="AV92" s="70"/>
      <c r="AW92" s="2"/>
      <c r="AX92" s="2"/>
      <c r="AY92" s="2"/>
      <c r="AZ92" s="2"/>
      <c r="BA92" s="2"/>
      <c r="BB92" s="2"/>
      <c r="BC92" s="2"/>
      <c r="BD92" s="2"/>
      <c r="BE92" s="2"/>
      <c r="BF92" s="2"/>
    </row>
    <row r="93" spans="2:58" x14ac:dyDescent="0.25">
      <c r="B93" s="31"/>
      <c r="C93" s="1"/>
      <c r="D93" s="1"/>
      <c r="E93" s="1"/>
      <c r="F93" s="1"/>
      <c r="G93" s="1"/>
      <c r="H93" s="1"/>
      <c r="I93" s="6"/>
      <c r="J93" s="5"/>
      <c r="K93" s="5"/>
      <c r="L93" s="6"/>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T93" s="69"/>
      <c r="AV93" s="70"/>
      <c r="AW93" s="2"/>
      <c r="AX93" s="2"/>
      <c r="AY93" s="2"/>
      <c r="AZ93" s="2"/>
      <c r="BA93" s="2"/>
      <c r="BB93" s="2"/>
      <c r="BC93" s="2"/>
      <c r="BD93" s="2"/>
      <c r="BE93" s="2"/>
      <c r="BF93" s="2"/>
    </row>
    <row r="94" spans="2:58" x14ac:dyDescent="0.25">
      <c r="B94" s="31"/>
      <c r="C94" s="1"/>
      <c r="D94" s="1"/>
      <c r="E94" s="1"/>
      <c r="F94" s="1"/>
      <c r="G94" s="1"/>
      <c r="H94" s="1"/>
      <c r="I94" s="6"/>
      <c r="J94" s="5"/>
      <c r="K94" s="5"/>
      <c r="L94" s="6"/>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T94" s="69"/>
      <c r="AV94" s="70"/>
      <c r="AW94" s="2"/>
      <c r="AX94" s="2"/>
      <c r="AY94" s="2"/>
      <c r="AZ94" s="2"/>
      <c r="BA94" s="2"/>
      <c r="BB94" s="2"/>
      <c r="BC94" s="2"/>
      <c r="BD94" s="2"/>
      <c r="BE94" s="2"/>
      <c r="BF94" s="2"/>
    </row>
    <row r="95" spans="2:58" x14ac:dyDescent="0.25">
      <c r="B95" s="31"/>
      <c r="C95" s="1"/>
      <c r="D95" s="1"/>
      <c r="E95" s="1"/>
      <c r="F95" s="1"/>
      <c r="G95" s="1"/>
      <c r="H95" s="1"/>
      <c r="I95" s="6"/>
      <c r="J95" s="5"/>
      <c r="K95" s="5"/>
      <c r="L95" s="6"/>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T95" s="69"/>
      <c r="AV95" s="70"/>
      <c r="AW95" s="2"/>
      <c r="AX95" s="2"/>
      <c r="AY95" s="2"/>
      <c r="AZ95" s="2"/>
      <c r="BA95" s="2"/>
      <c r="BB95" s="2"/>
      <c r="BC95" s="2"/>
      <c r="BD95" s="2"/>
      <c r="BE95" s="2"/>
      <c r="BF95" s="2"/>
    </row>
    <row r="96" spans="2:58" x14ac:dyDescent="0.25">
      <c r="B96" s="31"/>
      <c r="C96" s="1"/>
      <c r="D96" s="1"/>
      <c r="E96" s="1"/>
      <c r="F96" s="1"/>
      <c r="G96" s="1"/>
      <c r="H96" s="1"/>
      <c r="I96" s="6"/>
      <c r="J96" s="5"/>
      <c r="K96" s="5"/>
      <c r="L96" s="6"/>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T96" s="69"/>
      <c r="AV96" s="70"/>
      <c r="AW96" s="2"/>
      <c r="AX96" s="2"/>
      <c r="AY96" s="2"/>
      <c r="AZ96" s="2"/>
      <c r="BA96" s="2"/>
      <c r="BB96" s="2"/>
      <c r="BC96" s="2"/>
      <c r="BD96" s="2"/>
      <c r="BE96" s="2"/>
      <c r="BF96" s="2"/>
    </row>
    <row r="97" spans="2:58" x14ac:dyDescent="0.25">
      <c r="B97" s="31"/>
      <c r="C97" s="1"/>
      <c r="D97" s="1"/>
      <c r="E97" s="1"/>
      <c r="F97" s="1"/>
      <c r="G97" s="1"/>
      <c r="H97" s="1"/>
      <c r="I97" s="6"/>
      <c r="J97" s="5"/>
      <c r="K97" s="5"/>
      <c r="L97" s="6"/>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T97" s="69"/>
      <c r="AV97" s="70"/>
      <c r="AW97" s="2"/>
      <c r="AX97" s="2"/>
      <c r="AY97" s="2"/>
      <c r="AZ97" s="2"/>
      <c r="BA97" s="2"/>
      <c r="BB97" s="2"/>
      <c r="BC97" s="2"/>
      <c r="BD97" s="2"/>
      <c r="BE97" s="2"/>
      <c r="BF97" s="2"/>
    </row>
    <row r="98" spans="2:58" x14ac:dyDescent="0.25">
      <c r="B98" s="31"/>
      <c r="C98" s="1"/>
      <c r="D98" s="1"/>
      <c r="E98" s="1"/>
      <c r="F98" s="1"/>
      <c r="G98" s="1"/>
      <c r="H98" s="1"/>
      <c r="I98" s="6"/>
      <c r="J98" s="5"/>
      <c r="K98" s="5"/>
      <c r="L98" s="6"/>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T98" s="69"/>
      <c r="AV98" s="70"/>
      <c r="AW98" s="2"/>
      <c r="AX98" s="2"/>
      <c r="AY98" s="2"/>
      <c r="AZ98" s="2"/>
      <c r="BA98" s="2"/>
      <c r="BB98" s="2"/>
      <c r="BC98" s="2"/>
      <c r="BD98" s="2"/>
      <c r="BE98" s="2"/>
      <c r="BF98" s="2"/>
    </row>
    <row r="99" spans="2:58" x14ac:dyDescent="0.25">
      <c r="B99" s="31"/>
      <c r="C99" s="1"/>
      <c r="D99" s="1"/>
      <c r="E99" s="1"/>
      <c r="F99" s="1"/>
      <c r="G99" s="1"/>
      <c r="H99" s="1"/>
      <c r="I99" s="6"/>
      <c r="J99" s="5"/>
      <c r="K99" s="5"/>
      <c r="L99" s="6"/>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T99" s="69"/>
      <c r="AV99" s="70"/>
      <c r="AW99" s="2"/>
      <c r="AX99" s="2"/>
      <c r="AY99" s="2"/>
      <c r="AZ99" s="2"/>
      <c r="BA99" s="2"/>
      <c r="BB99" s="2"/>
      <c r="BC99" s="2"/>
      <c r="BD99" s="2"/>
      <c r="BE99" s="2"/>
      <c r="BF99" s="2"/>
    </row>
    <row r="100" spans="2:58" x14ac:dyDescent="0.25">
      <c r="B100" s="31"/>
      <c r="C100" s="1"/>
      <c r="D100" s="1"/>
      <c r="E100" s="1"/>
      <c r="F100" s="1"/>
      <c r="G100" s="1"/>
      <c r="H100" s="1"/>
      <c r="I100" s="6"/>
      <c r="J100" s="5"/>
      <c r="K100" s="5"/>
      <c r="L100" s="6"/>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T100" s="69"/>
      <c r="AV100" s="70"/>
      <c r="AW100" s="2"/>
      <c r="AX100" s="2"/>
      <c r="AY100" s="2"/>
      <c r="AZ100" s="2"/>
      <c r="BA100" s="2"/>
      <c r="BB100" s="2"/>
      <c r="BC100" s="2"/>
      <c r="BD100" s="2"/>
      <c r="BE100" s="2"/>
      <c r="BF100" s="2"/>
    </row>
    <row r="101" spans="2:58" x14ac:dyDescent="0.25">
      <c r="B101" s="31"/>
      <c r="C101" s="1"/>
      <c r="D101" s="1"/>
      <c r="E101" s="1"/>
      <c r="F101" s="1"/>
      <c r="G101" s="1"/>
      <c r="H101" s="1"/>
      <c r="I101" s="6"/>
      <c r="J101" s="5"/>
      <c r="K101" s="5"/>
      <c r="L101" s="6"/>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T101" s="69"/>
      <c r="AV101" s="70"/>
      <c r="AW101" s="2"/>
      <c r="AX101" s="2"/>
      <c r="AY101" s="2"/>
      <c r="AZ101" s="2"/>
      <c r="BA101" s="2"/>
      <c r="BB101" s="2"/>
      <c r="BC101" s="2"/>
      <c r="BD101" s="2"/>
      <c r="BE101" s="2"/>
      <c r="BF101" s="2"/>
    </row>
    <row r="102" spans="2:58" x14ac:dyDescent="0.25">
      <c r="B102" s="31"/>
      <c r="C102" s="1"/>
      <c r="D102" s="1"/>
      <c r="E102" s="1"/>
      <c r="F102" s="1"/>
      <c r="G102" s="1"/>
      <c r="H102" s="1"/>
      <c r="I102" s="6"/>
      <c r="J102" s="5"/>
      <c r="K102" s="5"/>
      <c r="L102" s="6"/>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T102" s="69"/>
      <c r="AV102" s="70"/>
      <c r="AW102" s="2"/>
      <c r="AX102" s="2"/>
      <c r="AY102" s="2"/>
      <c r="AZ102" s="2"/>
      <c r="BA102" s="2"/>
      <c r="BB102" s="2"/>
      <c r="BC102" s="2"/>
      <c r="BD102" s="2"/>
      <c r="BE102" s="2"/>
      <c r="BF102" s="2"/>
    </row>
    <row r="103" spans="2:58" x14ac:dyDescent="0.25">
      <c r="B103" s="31"/>
      <c r="C103" s="1"/>
      <c r="D103" s="1"/>
      <c r="E103" s="1"/>
      <c r="F103" s="1"/>
      <c r="G103" s="1"/>
      <c r="H103" s="1"/>
      <c r="I103" s="6"/>
      <c r="J103" s="5"/>
      <c r="K103" s="5"/>
      <c r="L103" s="6"/>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T103" s="69"/>
      <c r="AV103" s="70"/>
      <c r="AW103" s="2"/>
      <c r="AX103" s="2"/>
      <c r="AY103" s="2"/>
      <c r="AZ103" s="2"/>
      <c r="BA103" s="2"/>
      <c r="BB103" s="2"/>
      <c r="BC103" s="2"/>
      <c r="BD103" s="2"/>
      <c r="BE103" s="2"/>
      <c r="BF103" s="2"/>
    </row>
    <row r="104" spans="2:58" x14ac:dyDescent="0.25">
      <c r="B104" s="31"/>
      <c r="C104" s="1"/>
      <c r="D104" s="1"/>
      <c r="E104" s="1"/>
      <c r="F104" s="1"/>
      <c r="G104" s="1"/>
      <c r="H104" s="1"/>
      <c r="I104" s="6"/>
      <c r="J104" s="5"/>
      <c r="K104" s="5"/>
      <c r="L104" s="6"/>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T104" s="69"/>
      <c r="AV104" s="70"/>
      <c r="AW104" s="2"/>
      <c r="AX104" s="2"/>
      <c r="AY104" s="2"/>
      <c r="AZ104" s="2"/>
      <c r="BA104" s="2"/>
      <c r="BB104" s="2"/>
      <c r="BC104" s="2"/>
      <c r="BD104" s="2"/>
      <c r="BE104" s="2"/>
      <c r="BF104" s="2"/>
    </row>
    <row r="105" spans="2:58" x14ac:dyDescent="0.25">
      <c r="B105" s="31"/>
      <c r="C105" s="1"/>
      <c r="D105" s="1"/>
      <c r="E105" s="1"/>
      <c r="F105" s="1"/>
      <c r="G105" s="1"/>
      <c r="H105" s="1"/>
      <c r="I105" s="6"/>
      <c r="J105" s="5"/>
      <c r="K105" s="5"/>
      <c r="L105" s="6"/>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T105" s="69"/>
      <c r="AV105" s="70"/>
      <c r="AW105" s="2"/>
      <c r="AX105" s="2"/>
      <c r="AY105" s="2"/>
      <c r="AZ105" s="2"/>
      <c r="BA105" s="2"/>
      <c r="BB105" s="2"/>
      <c r="BC105" s="2"/>
      <c r="BD105" s="2"/>
      <c r="BE105" s="2"/>
      <c r="BF105" s="2"/>
    </row>
    <row r="106" spans="2:58" x14ac:dyDescent="0.25">
      <c r="B106" s="31"/>
      <c r="C106" s="1"/>
      <c r="D106" s="1"/>
      <c r="E106" s="1"/>
      <c r="F106" s="1"/>
      <c r="G106" s="1"/>
      <c r="H106" s="1"/>
      <c r="I106" s="6"/>
      <c r="J106" s="5"/>
      <c r="K106" s="5"/>
      <c r="L106" s="6"/>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T106" s="69"/>
      <c r="AV106" s="70"/>
      <c r="AW106" s="2"/>
      <c r="AX106" s="2"/>
      <c r="AY106" s="2"/>
      <c r="AZ106" s="2"/>
      <c r="BA106" s="2"/>
      <c r="BB106" s="2"/>
      <c r="BC106" s="2"/>
      <c r="BD106" s="2"/>
      <c r="BE106" s="2"/>
      <c r="BF106" s="2"/>
    </row>
    <row r="107" spans="2:58" x14ac:dyDescent="0.25">
      <c r="B107" s="31"/>
      <c r="C107" s="1"/>
      <c r="D107" s="1"/>
      <c r="E107" s="1"/>
      <c r="F107" s="1"/>
      <c r="G107" s="1"/>
      <c r="H107" s="1"/>
      <c r="I107" s="6"/>
      <c r="J107" s="5"/>
      <c r="K107" s="5"/>
      <c r="L107" s="6"/>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T107" s="69"/>
      <c r="AV107" s="70"/>
      <c r="AW107" s="2"/>
      <c r="AX107" s="2"/>
      <c r="AY107" s="2"/>
      <c r="AZ107" s="2"/>
      <c r="BA107" s="2"/>
      <c r="BB107" s="2"/>
      <c r="BC107" s="2"/>
      <c r="BD107" s="2"/>
      <c r="BE107" s="2"/>
      <c r="BF107" s="2"/>
    </row>
    <row r="108" spans="2:58" x14ac:dyDescent="0.25">
      <c r="B108" s="31"/>
      <c r="C108" s="1"/>
      <c r="D108" s="1"/>
      <c r="E108" s="1"/>
      <c r="F108" s="1"/>
      <c r="G108" s="1"/>
      <c r="H108" s="1"/>
      <c r="I108" s="6"/>
      <c r="J108" s="5"/>
      <c r="K108" s="5"/>
      <c r="L108" s="6"/>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T108" s="69"/>
      <c r="AV108" s="70"/>
      <c r="AW108" s="2"/>
      <c r="AX108" s="2"/>
      <c r="AY108" s="2"/>
      <c r="AZ108" s="2"/>
      <c r="BA108" s="2"/>
      <c r="BB108" s="2"/>
      <c r="BC108" s="2"/>
      <c r="BD108" s="2"/>
      <c r="BE108" s="2"/>
      <c r="BF108" s="2"/>
    </row>
    <row r="109" spans="2:58" x14ac:dyDescent="0.25">
      <c r="B109" s="31"/>
      <c r="C109" s="1"/>
      <c r="D109" s="1"/>
      <c r="E109" s="1"/>
      <c r="F109" s="1"/>
      <c r="G109" s="1"/>
      <c r="H109" s="1"/>
      <c r="I109" s="6"/>
      <c r="J109" s="5"/>
      <c r="K109" s="5"/>
      <c r="L109" s="6"/>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T109" s="69"/>
      <c r="AV109" s="70"/>
      <c r="AW109" s="2"/>
      <c r="AX109" s="2"/>
      <c r="AY109" s="2"/>
      <c r="AZ109" s="2"/>
      <c r="BA109" s="2"/>
      <c r="BB109" s="2"/>
      <c r="BC109" s="2"/>
      <c r="BD109" s="2"/>
      <c r="BE109" s="2"/>
      <c r="BF109" s="2"/>
    </row>
    <row r="110" spans="2:58" x14ac:dyDescent="0.25">
      <c r="B110" s="31"/>
      <c r="C110" s="1"/>
      <c r="D110" s="1"/>
      <c r="E110" s="1"/>
      <c r="F110" s="1"/>
      <c r="G110" s="1"/>
      <c r="H110" s="1"/>
      <c r="I110" s="6"/>
      <c r="J110" s="5"/>
      <c r="K110" s="5"/>
      <c r="L110" s="6"/>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T110" s="69"/>
      <c r="AV110" s="70"/>
      <c r="AW110" s="2"/>
      <c r="AX110" s="2"/>
      <c r="AY110" s="2"/>
      <c r="AZ110" s="2"/>
      <c r="BA110" s="2"/>
      <c r="BB110" s="2"/>
      <c r="BC110" s="2"/>
      <c r="BD110" s="2"/>
      <c r="BE110" s="2"/>
      <c r="BF110" s="2"/>
    </row>
    <row r="111" spans="2:58" x14ac:dyDescent="0.25">
      <c r="B111" s="31"/>
      <c r="C111" s="1"/>
      <c r="D111" s="1"/>
      <c r="E111" s="1"/>
      <c r="F111" s="1"/>
      <c r="G111" s="1"/>
      <c r="H111" s="1"/>
      <c r="I111" s="6"/>
      <c r="J111" s="5"/>
      <c r="K111" s="5"/>
      <c r="L111" s="6"/>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T111" s="69"/>
      <c r="AV111" s="70"/>
      <c r="AW111" s="2"/>
      <c r="AX111" s="2"/>
      <c r="AY111" s="2"/>
      <c r="AZ111" s="2"/>
      <c r="BA111" s="2"/>
      <c r="BB111" s="2"/>
      <c r="BC111" s="2"/>
      <c r="BD111" s="2"/>
      <c r="BE111" s="2"/>
      <c r="BF111" s="2"/>
    </row>
    <row r="112" spans="2:58" x14ac:dyDescent="0.25">
      <c r="B112" s="31"/>
      <c r="C112" s="1"/>
      <c r="D112" s="1"/>
      <c r="E112" s="1"/>
      <c r="F112" s="1"/>
      <c r="G112" s="1"/>
      <c r="H112" s="1"/>
      <c r="I112" s="6"/>
      <c r="J112" s="5"/>
      <c r="K112" s="5"/>
      <c r="L112" s="6"/>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T112" s="69"/>
      <c r="AV112" s="70"/>
      <c r="AW112" s="2"/>
      <c r="AX112" s="2"/>
      <c r="AY112" s="2"/>
      <c r="AZ112" s="2"/>
      <c r="BA112" s="2"/>
      <c r="BB112" s="2"/>
      <c r="BC112" s="2"/>
      <c r="BD112" s="2"/>
      <c r="BE112" s="2"/>
      <c r="BF112" s="2"/>
    </row>
    <row r="113" spans="2:58" x14ac:dyDescent="0.25">
      <c r="B113" s="31"/>
      <c r="C113" s="1"/>
      <c r="D113" s="1"/>
      <c r="E113" s="1"/>
      <c r="F113" s="1"/>
      <c r="G113" s="1"/>
      <c r="H113" s="1"/>
      <c r="I113" s="6"/>
      <c r="J113" s="5"/>
      <c r="K113" s="5"/>
      <c r="L113" s="6"/>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T113" s="69"/>
      <c r="AV113" s="70"/>
      <c r="AW113" s="2"/>
      <c r="AX113" s="2"/>
      <c r="AY113" s="2"/>
      <c r="AZ113" s="2"/>
      <c r="BA113" s="2"/>
      <c r="BB113" s="2"/>
      <c r="BC113" s="2"/>
      <c r="BD113" s="2"/>
      <c r="BE113" s="2"/>
      <c r="BF113" s="2"/>
    </row>
    <row r="114" spans="2:58" x14ac:dyDescent="0.25">
      <c r="B114" s="31"/>
      <c r="C114" s="1"/>
      <c r="D114" s="1"/>
      <c r="E114" s="1"/>
      <c r="F114" s="1"/>
      <c r="G114" s="1"/>
      <c r="H114" s="1"/>
      <c r="I114" s="6"/>
      <c r="J114" s="5"/>
      <c r="K114" s="5"/>
      <c r="L114" s="6"/>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T114" s="69"/>
      <c r="AV114" s="70"/>
      <c r="AW114" s="2"/>
      <c r="AX114" s="2"/>
      <c r="AY114" s="2"/>
      <c r="AZ114" s="2"/>
      <c r="BA114" s="2"/>
      <c r="BB114" s="2"/>
      <c r="BC114" s="2"/>
      <c r="BD114" s="2"/>
      <c r="BE114" s="2"/>
      <c r="BF114" s="2"/>
    </row>
    <row r="115" spans="2:58" x14ac:dyDescent="0.25">
      <c r="B115" s="31"/>
      <c r="C115" s="1"/>
      <c r="D115" s="1"/>
      <c r="E115" s="1"/>
      <c r="F115" s="1"/>
      <c r="G115" s="1"/>
      <c r="H115" s="1"/>
      <c r="I115" s="6"/>
      <c r="J115" s="5"/>
      <c r="K115" s="5"/>
      <c r="L115" s="6"/>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T115" s="69"/>
      <c r="AV115" s="70"/>
      <c r="AW115" s="2"/>
      <c r="AX115" s="2"/>
      <c r="AY115" s="2"/>
      <c r="AZ115" s="2"/>
      <c r="BA115" s="2"/>
      <c r="BB115" s="2"/>
      <c r="BC115" s="2"/>
      <c r="BD115" s="2"/>
      <c r="BE115" s="2"/>
      <c r="BF115" s="2"/>
    </row>
    <row r="116" spans="2:58" x14ac:dyDescent="0.25">
      <c r="B116" s="31"/>
      <c r="C116" s="1"/>
      <c r="D116" s="1"/>
      <c r="E116" s="1"/>
      <c r="F116" s="1"/>
      <c r="G116" s="1"/>
      <c r="H116" s="1"/>
      <c r="I116" s="6"/>
      <c r="J116" s="5"/>
      <c r="K116" s="5"/>
      <c r="L116" s="6"/>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T116" s="69"/>
      <c r="AV116" s="70"/>
      <c r="AW116" s="2"/>
      <c r="AX116" s="2"/>
      <c r="AY116" s="2"/>
      <c r="AZ116" s="2"/>
      <c r="BA116" s="2"/>
      <c r="BB116" s="2"/>
      <c r="BC116" s="2"/>
      <c r="BD116" s="2"/>
      <c r="BE116" s="2"/>
      <c r="BF116" s="2"/>
    </row>
    <row r="117" spans="2:58" x14ac:dyDescent="0.25">
      <c r="B117" s="31"/>
      <c r="C117" s="1"/>
      <c r="D117" s="1"/>
      <c r="E117" s="1"/>
      <c r="F117" s="1"/>
      <c r="G117" s="1"/>
      <c r="H117" s="1"/>
      <c r="I117" s="6"/>
      <c r="J117" s="5"/>
      <c r="K117" s="5"/>
      <c r="L117" s="6"/>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T117" s="69"/>
      <c r="AV117" s="70"/>
      <c r="AW117" s="2"/>
      <c r="AX117" s="2"/>
      <c r="AY117" s="2"/>
      <c r="AZ117" s="2"/>
      <c r="BA117" s="2"/>
      <c r="BB117" s="2"/>
      <c r="BC117" s="2"/>
      <c r="BD117" s="2"/>
      <c r="BE117" s="2"/>
      <c r="BF117" s="2"/>
    </row>
    <row r="118" spans="2:58" x14ac:dyDescent="0.25">
      <c r="B118" s="31"/>
      <c r="C118" s="1"/>
      <c r="D118" s="1"/>
      <c r="E118" s="1"/>
      <c r="F118" s="1"/>
      <c r="G118" s="1"/>
      <c r="H118" s="1"/>
      <c r="I118" s="6"/>
      <c r="J118" s="5"/>
      <c r="K118" s="5"/>
      <c r="L118" s="6"/>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T118" s="69"/>
      <c r="AV118" s="70"/>
      <c r="AW118" s="2"/>
      <c r="AX118" s="2"/>
      <c r="AY118" s="2"/>
      <c r="AZ118" s="2"/>
      <c r="BA118" s="2"/>
      <c r="BB118" s="2"/>
      <c r="BC118" s="2"/>
      <c r="BD118" s="2"/>
      <c r="BE118" s="2"/>
      <c r="BF118" s="2"/>
    </row>
    <row r="119" spans="2:58" x14ac:dyDescent="0.25">
      <c r="B119" s="31"/>
      <c r="C119" s="1"/>
      <c r="D119" s="1"/>
      <c r="E119" s="1"/>
      <c r="F119" s="1"/>
      <c r="G119" s="1"/>
      <c r="H119" s="1"/>
      <c r="I119" s="6"/>
      <c r="J119" s="5"/>
      <c r="K119" s="5"/>
      <c r="L119" s="6"/>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T119" s="69"/>
      <c r="AV119" s="70"/>
      <c r="AW119" s="2"/>
      <c r="AX119" s="2"/>
      <c r="AY119" s="2"/>
      <c r="AZ119" s="2"/>
      <c r="BA119" s="2"/>
      <c r="BB119" s="2"/>
      <c r="BC119" s="2"/>
      <c r="BD119" s="2"/>
      <c r="BE119" s="2"/>
      <c r="BF119" s="2"/>
    </row>
    <row r="120" spans="2:58" x14ac:dyDescent="0.25">
      <c r="B120" s="31"/>
      <c r="C120" s="1"/>
      <c r="D120" s="1"/>
      <c r="E120" s="1"/>
      <c r="F120" s="1"/>
      <c r="G120" s="1"/>
      <c r="H120" s="1"/>
      <c r="I120" s="6"/>
      <c r="J120" s="5"/>
      <c r="K120" s="5"/>
      <c r="L120" s="6"/>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T120" s="69"/>
      <c r="AV120" s="70"/>
      <c r="AW120" s="2"/>
      <c r="AX120" s="2"/>
      <c r="AY120" s="2"/>
      <c r="AZ120" s="2"/>
      <c r="BA120" s="2"/>
      <c r="BB120" s="2"/>
      <c r="BC120" s="2"/>
      <c r="BD120" s="2"/>
      <c r="BE120" s="2"/>
      <c r="BF120" s="2"/>
    </row>
    <row r="121" spans="2:58" x14ac:dyDescent="0.25">
      <c r="B121" s="31"/>
      <c r="C121" s="1"/>
      <c r="D121" s="1"/>
      <c r="E121" s="1"/>
      <c r="F121" s="1"/>
      <c r="G121" s="1"/>
      <c r="H121" s="1"/>
      <c r="I121" s="6"/>
      <c r="J121" s="5"/>
      <c r="K121" s="5"/>
      <c r="L121" s="6"/>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T121" s="69"/>
      <c r="AV121" s="70"/>
      <c r="AW121" s="2"/>
      <c r="AX121" s="2"/>
      <c r="AY121" s="2"/>
      <c r="AZ121" s="2"/>
      <c r="BA121" s="2"/>
      <c r="BB121" s="2"/>
      <c r="BC121" s="2"/>
      <c r="BD121" s="2"/>
      <c r="BE121" s="2"/>
      <c r="BF121" s="2"/>
    </row>
    <row r="122" spans="2:58" x14ac:dyDescent="0.25">
      <c r="B122" s="31"/>
      <c r="C122" s="1"/>
      <c r="D122" s="1"/>
      <c r="E122" s="1"/>
      <c r="F122" s="1"/>
      <c r="G122" s="1"/>
      <c r="H122" s="1"/>
      <c r="I122" s="6"/>
      <c r="J122" s="5"/>
      <c r="K122" s="5"/>
      <c r="L122" s="6"/>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T122" s="69"/>
      <c r="AV122" s="70"/>
      <c r="AW122" s="2"/>
      <c r="AX122" s="2"/>
      <c r="AY122" s="2"/>
      <c r="AZ122" s="2"/>
      <c r="BA122" s="2"/>
      <c r="BB122" s="2"/>
      <c r="BC122" s="2"/>
      <c r="BD122" s="2"/>
      <c r="BE122" s="2"/>
      <c r="BF122" s="2"/>
    </row>
    <row r="123" spans="2:58" x14ac:dyDescent="0.25">
      <c r="B123" s="31"/>
      <c r="C123" s="1"/>
      <c r="D123" s="1"/>
      <c r="E123" s="1"/>
      <c r="F123" s="1"/>
      <c r="G123" s="1"/>
      <c r="H123" s="1"/>
      <c r="I123" s="6"/>
      <c r="J123" s="5"/>
      <c r="K123" s="5"/>
      <c r="L123" s="6"/>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T123" s="69"/>
      <c r="AV123" s="70"/>
      <c r="AW123" s="2"/>
      <c r="AX123" s="2"/>
      <c r="AY123" s="2"/>
      <c r="AZ123" s="2"/>
      <c r="BA123" s="2"/>
      <c r="BB123" s="2"/>
      <c r="BC123" s="2"/>
      <c r="BD123" s="2"/>
      <c r="BE123" s="2"/>
      <c r="BF123" s="2"/>
    </row>
    <row r="124" spans="2:58" x14ac:dyDescent="0.25">
      <c r="B124" s="31"/>
      <c r="C124" s="1"/>
      <c r="D124" s="1"/>
      <c r="E124" s="1"/>
      <c r="F124" s="1"/>
      <c r="G124" s="1"/>
      <c r="H124" s="1"/>
      <c r="I124" s="6"/>
      <c r="J124" s="5"/>
      <c r="K124" s="5"/>
      <c r="L124" s="6"/>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T124" s="69"/>
      <c r="AV124" s="70"/>
      <c r="AW124" s="2"/>
      <c r="AX124" s="2"/>
      <c r="AY124" s="2"/>
      <c r="AZ124" s="2"/>
      <c r="BA124" s="2"/>
      <c r="BB124" s="2"/>
      <c r="BC124" s="2"/>
      <c r="BD124" s="2"/>
      <c r="BE124" s="2"/>
      <c r="BF124" s="2"/>
    </row>
    <row r="125" spans="2:58" x14ac:dyDescent="0.25">
      <c r="B125" s="31"/>
      <c r="C125" s="1"/>
      <c r="D125" s="1"/>
      <c r="E125" s="1"/>
      <c r="F125" s="1"/>
      <c r="G125" s="1"/>
      <c r="H125" s="1"/>
      <c r="I125" s="6"/>
      <c r="J125" s="5"/>
      <c r="K125" s="5"/>
      <c r="L125" s="6"/>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T125" s="69"/>
      <c r="AV125" s="70"/>
      <c r="AW125" s="2"/>
      <c r="AX125" s="2"/>
      <c r="AY125" s="2"/>
      <c r="AZ125" s="2"/>
      <c r="BA125" s="2"/>
      <c r="BB125" s="2"/>
      <c r="BC125" s="2"/>
      <c r="BD125" s="2"/>
      <c r="BE125" s="2"/>
      <c r="BF125" s="2"/>
    </row>
    <row r="126" spans="2:58" x14ac:dyDescent="0.25">
      <c r="B126" s="31"/>
      <c r="C126" s="1"/>
      <c r="D126" s="1"/>
      <c r="E126" s="1"/>
      <c r="F126" s="1"/>
      <c r="G126" s="1"/>
      <c r="H126" s="1"/>
      <c r="I126" s="6"/>
      <c r="J126" s="5"/>
      <c r="K126" s="5"/>
      <c r="L126" s="6"/>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T126" s="69"/>
      <c r="AV126" s="70"/>
      <c r="AW126" s="2"/>
      <c r="AX126" s="2"/>
      <c r="AY126" s="2"/>
      <c r="AZ126" s="2"/>
      <c r="BA126" s="2"/>
      <c r="BB126" s="2"/>
      <c r="BC126" s="2"/>
      <c r="BD126" s="2"/>
      <c r="BE126" s="2"/>
      <c r="BF126" s="2"/>
    </row>
    <row r="127" spans="2:58" x14ac:dyDescent="0.25">
      <c r="B127" s="31"/>
      <c r="C127" s="1"/>
      <c r="D127" s="1"/>
      <c r="E127" s="1"/>
      <c r="F127" s="1"/>
      <c r="G127" s="1"/>
      <c r="H127" s="1"/>
      <c r="I127" s="6"/>
      <c r="J127" s="5"/>
      <c r="K127" s="5"/>
      <c r="L127" s="6"/>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T127" s="69"/>
      <c r="AV127" s="70"/>
      <c r="AW127" s="2"/>
      <c r="AX127" s="2"/>
      <c r="AY127" s="2"/>
      <c r="AZ127" s="2"/>
      <c r="BA127" s="2"/>
      <c r="BB127" s="2"/>
      <c r="BC127" s="2"/>
      <c r="BD127" s="2"/>
      <c r="BE127" s="2"/>
      <c r="BF127" s="2"/>
    </row>
    <row r="128" spans="2:58" x14ac:dyDescent="0.25">
      <c r="B128" s="31"/>
      <c r="C128" s="1"/>
      <c r="D128" s="1"/>
      <c r="E128" s="1"/>
      <c r="F128" s="1"/>
      <c r="G128" s="1"/>
      <c r="H128" s="1"/>
      <c r="I128" s="6"/>
      <c r="J128" s="5"/>
      <c r="K128" s="5"/>
      <c r="L128" s="6"/>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T128" s="69"/>
      <c r="AV128" s="70"/>
      <c r="AW128" s="2"/>
      <c r="AX128" s="2"/>
      <c r="AY128" s="2"/>
      <c r="AZ128" s="2"/>
      <c r="BA128" s="2"/>
      <c r="BB128" s="2"/>
      <c r="BC128" s="2"/>
      <c r="BD128" s="2"/>
      <c r="BE128" s="2"/>
      <c r="BF128" s="2"/>
    </row>
    <row r="129" spans="2:58" x14ac:dyDescent="0.25">
      <c r="B129" s="31"/>
      <c r="C129" s="1"/>
      <c r="D129" s="1"/>
      <c r="E129" s="1"/>
      <c r="F129" s="1"/>
      <c r="G129" s="1"/>
      <c r="H129" s="1"/>
      <c r="I129" s="6"/>
      <c r="J129" s="5"/>
      <c r="K129" s="5"/>
      <c r="L129" s="6"/>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T129" s="69"/>
      <c r="AV129" s="70"/>
      <c r="AW129" s="2"/>
      <c r="AX129" s="2"/>
      <c r="AY129" s="2"/>
      <c r="AZ129" s="2"/>
      <c r="BA129" s="2"/>
      <c r="BB129" s="2"/>
      <c r="BC129" s="2"/>
      <c r="BD129" s="2"/>
      <c r="BE129" s="2"/>
      <c r="BF129" s="2"/>
    </row>
    <row r="130" spans="2:58" x14ac:dyDescent="0.25">
      <c r="B130" s="31"/>
      <c r="C130" s="1"/>
      <c r="D130" s="1"/>
      <c r="E130" s="1"/>
      <c r="F130" s="1"/>
      <c r="G130" s="1"/>
      <c r="H130" s="1"/>
      <c r="I130" s="6"/>
      <c r="J130" s="5"/>
      <c r="K130" s="5"/>
      <c r="L130" s="6"/>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T130" s="69"/>
      <c r="AV130" s="70"/>
      <c r="AW130" s="2"/>
      <c r="AX130" s="2"/>
      <c r="AY130" s="2"/>
      <c r="AZ130" s="2"/>
      <c r="BA130" s="2"/>
      <c r="BB130" s="2"/>
      <c r="BC130" s="2"/>
      <c r="BD130" s="2"/>
      <c r="BE130" s="2"/>
      <c r="BF130" s="2"/>
    </row>
    <row r="131" spans="2:58" x14ac:dyDescent="0.25">
      <c r="B131" s="31"/>
      <c r="C131" s="1"/>
      <c r="D131" s="1"/>
      <c r="E131" s="1"/>
      <c r="F131" s="1"/>
      <c r="G131" s="1"/>
      <c r="H131" s="1"/>
      <c r="I131" s="6"/>
      <c r="J131" s="5"/>
      <c r="K131" s="5"/>
      <c r="L131" s="6"/>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T131" s="69"/>
      <c r="AV131" s="70"/>
      <c r="AW131" s="2"/>
      <c r="AX131" s="2"/>
      <c r="AY131" s="2"/>
      <c r="AZ131" s="2"/>
      <c r="BA131" s="2"/>
      <c r="BB131" s="2"/>
      <c r="BC131" s="2"/>
      <c r="BD131" s="2"/>
      <c r="BE131" s="2"/>
      <c r="BF131" s="2"/>
    </row>
    <row r="132" spans="2:58" x14ac:dyDescent="0.25">
      <c r="B132" s="31"/>
      <c r="C132" s="1"/>
      <c r="D132" s="1"/>
      <c r="E132" s="1"/>
      <c r="F132" s="1"/>
      <c r="G132" s="1"/>
      <c r="H132" s="1"/>
      <c r="I132" s="6"/>
      <c r="J132" s="5"/>
      <c r="K132" s="5"/>
      <c r="L132" s="6"/>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T132" s="69"/>
      <c r="AV132" s="70"/>
      <c r="AW132" s="2"/>
      <c r="AX132" s="2"/>
      <c r="AY132" s="2"/>
      <c r="AZ132" s="2"/>
      <c r="BA132" s="2"/>
      <c r="BB132" s="2"/>
      <c r="BC132" s="2"/>
      <c r="BD132" s="2"/>
      <c r="BE132" s="2"/>
      <c r="BF132" s="2"/>
    </row>
    <row r="133" spans="2:58" x14ac:dyDescent="0.25">
      <c r="B133" s="31"/>
      <c r="C133" s="1"/>
      <c r="D133" s="1"/>
      <c r="E133" s="1"/>
      <c r="F133" s="1"/>
      <c r="G133" s="1"/>
      <c r="H133" s="1"/>
      <c r="I133" s="6"/>
      <c r="J133" s="5"/>
      <c r="K133" s="5"/>
      <c r="L133" s="6"/>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T133" s="69"/>
      <c r="AV133" s="70"/>
      <c r="AW133" s="2"/>
      <c r="AX133" s="2"/>
      <c r="AY133" s="2"/>
      <c r="AZ133" s="2"/>
      <c r="BA133" s="2"/>
      <c r="BB133" s="2"/>
      <c r="BC133" s="2"/>
      <c r="BD133" s="2"/>
      <c r="BE133" s="2"/>
      <c r="BF133" s="2"/>
    </row>
    <row r="134" spans="2:58" x14ac:dyDescent="0.25">
      <c r="B134" s="31"/>
      <c r="C134" s="1"/>
      <c r="D134" s="1"/>
      <c r="E134" s="1"/>
      <c r="F134" s="1"/>
      <c r="G134" s="1"/>
      <c r="H134" s="1"/>
      <c r="I134" s="6"/>
      <c r="J134" s="5"/>
      <c r="K134" s="5"/>
      <c r="L134" s="6"/>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T134" s="69"/>
      <c r="AV134" s="70"/>
      <c r="AW134" s="2"/>
      <c r="AX134" s="2"/>
      <c r="AY134" s="2"/>
      <c r="AZ134" s="2"/>
      <c r="BA134" s="2"/>
      <c r="BB134" s="2"/>
      <c r="BC134" s="2"/>
      <c r="BD134" s="2"/>
      <c r="BE134" s="2"/>
      <c r="BF134" s="2"/>
    </row>
    <row r="135" spans="2:58" x14ac:dyDescent="0.25">
      <c r="B135" s="31"/>
      <c r="C135" s="1"/>
      <c r="D135" s="1"/>
      <c r="E135" s="1"/>
      <c r="F135" s="1"/>
      <c r="G135" s="1"/>
      <c r="H135" s="1"/>
      <c r="I135" s="6"/>
      <c r="J135" s="5"/>
      <c r="K135" s="5"/>
      <c r="L135" s="6"/>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T135" s="69"/>
      <c r="AV135" s="70"/>
      <c r="AW135" s="2"/>
      <c r="AX135" s="2"/>
      <c r="AY135" s="2"/>
      <c r="AZ135" s="2"/>
      <c r="BA135" s="2"/>
      <c r="BB135" s="2"/>
      <c r="BC135" s="2"/>
      <c r="BD135" s="2"/>
      <c r="BE135" s="2"/>
      <c r="BF135" s="2"/>
    </row>
    <row r="136" spans="2:58" x14ac:dyDescent="0.25">
      <c r="B136" s="31"/>
      <c r="C136" s="1"/>
      <c r="D136" s="1"/>
      <c r="E136" s="1"/>
      <c r="F136" s="1"/>
      <c r="G136" s="1"/>
      <c r="H136" s="1"/>
      <c r="I136" s="6"/>
      <c r="J136" s="5"/>
      <c r="K136" s="5"/>
      <c r="L136" s="6"/>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T136" s="69"/>
      <c r="AV136" s="70"/>
      <c r="AW136" s="2"/>
      <c r="AX136" s="2"/>
      <c r="AY136" s="2"/>
      <c r="AZ136" s="2"/>
      <c r="BA136" s="2"/>
      <c r="BB136" s="2"/>
      <c r="BC136" s="2"/>
      <c r="BD136" s="2"/>
      <c r="BE136" s="2"/>
      <c r="BF136" s="2"/>
    </row>
    <row r="137" spans="2:58" x14ac:dyDescent="0.25">
      <c r="B137" s="31"/>
      <c r="C137" s="1"/>
      <c r="D137" s="1"/>
      <c r="E137" s="1"/>
      <c r="F137" s="1"/>
      <c r="G137" s="1"/>
      <c r="H137" s="1"/>
      <c r="I137" s="6"/>
      <c r="J137" s="5"/>
      <c r="K137" s="5"/>
      <c r="L137" s="6"/>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T137" s="69"/>
      <c r="AV137" s="70"/>
      <c r="AW137" s="2"/>
      <c r="AX137" s="2"/>
      <c r="AY137" s="2"/>
      <c r="AZ137" s="2"/>
      <c r="BA137" s="2"/>
      <c r="BB137" s="2"/>
      <c r="BC137" s="2"/>
      <c r="BD137" s="2"/>
      <c r="BE137" s="2"/>
      <c r="BF137" s="2"/>
    </row>
    <row r="138" spans="2:58" x14ac:dyDescent="0.25">
      <c r="B138" s="31"/>
      <c r="C138" s="1"/>
      <c r="D138" s="1"/>
      <c r="E138" s="1"/>
      <c r="F138" s="1"/>
      <c r="G138" s="1"/>
      <c r="H138" s="1"/>
      <c r="I138" s="6"/>
      <c r="J138" s="5"/>
      <c r="K138" s="5"/>
      <c r="L138" s="6"/>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T138" s="69"/>
      <c r="AV138" s="70"/>
      <c r="AW138" s="2"/>
      <c r="AX138" s="2"/>
      <c r="AY138" s="2"/>
      <c r="AZ138" s="2"/>
      <c r="BA138" s="2"/>
      <c r="BB138" s="2"/>
      <c r="BC138" s="2"/>
      <c r="BD138" s="2"/>
      <c r="BE138" s="2"/>
      <c r="BF138" s="2"/>
    </row>
    <row r="139" spans="2:58" x14ac:dyDescent="0.25">
      <c r="B139" s="31"/>
      <c r="C139" s="1"/>
      <c r="D139" s="1"/>
      <c r="E139" s="1"/>
      <c r="F139" s="1"/>
      <c r="G139" s="1"/>
      <c r="H139" s="1"/>
      <c r="I139" s="6"/>
      <c r="J139" s="5"/>
      <c r="K139" s="5"/>
      <c r="L139" s="6"/>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T139" s="69"/>
      <c r="AV139" s="70"/>
      <c r="AW139" s="2"/>
      <c r="AX139" s="2"/>
      <c r="AY139" s="2"/>
      <c r="AZ139" s="2"/>
      <c r="BA139" s="2"/>
      <c r="BB139" s="2"/>
      <c r="BC139" s="2"/>
      <c r="BD139" s="2"/>
      <c r="BE139" s="2"/>
      <c r="BF139" s="2"/>
    </row>
    <row r="140" spans="2:58" x14ac:dyDescent="0.25">
      <c r="B140" s="31"/>
      <c r="C140" s="1"/>
      <c r="D140" s="1"/>
      <c r="E140" s="1"/>
      <c r="F140" s="1"/>
      <c r="G140" s="1"/>
      <c r="H140" s="1"/>
      <c r="I140" s="6"/>
      <c r="J140" s="5"/>
      <c r="K140" s="5"/>
      <c r="L140" s="6"/>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T140" s="69"/>
      <c r="AV140" s="70"/>
      <c r="AW140" s="2"/>
      <c r="AX140" s="2"/>
      <c r="AY140" s="2"/>
      <c r="AZ140" s="2"/>
      <c r="BA140" s="2"/>
      <c r="BB140" s="2"/>
      <c r="BC140" s="2"/>
      <c r="BD140" s="2"/>
      <c r="BE140" s="2"/>
      <c r="BF140" s="2"/>
    </row>
    <row r="141" spans="2:58" x14ac:dyDescent="0.25">
      <c r="B141" s="31"/>
      <c r="C141" s="1"/>
      <c r="D141" s="1"/>
      <c r="E141" s="1"/>
      <c r="F141" s="1"/>
      <c r="G141" s="1"/>
      <c r="H141" s="1"/>
      <c r="I141" s="6"/>
      <c r="J141" s="5"/>
      <c r="K141" s="5"/>
      <c r="L141" s="6"/>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T141" s="69"/>
      <c r="AV141" s="70"/>
      <c r="AW141" s="2"/>
      <c r="AX141" s="2"/>
      <c r="AY141" s="2"/>
      <c r="AZ141" s="2"/>
      <c r="BA141" s="2"/>
      <c r="BB141" s="2"/>
      <c r="BC141" s="2"/>
      <c r="BD141" s="2"/>
      <c r="BE141" s="2"/>
      <c r="BF141" s="2"/>
    </row>
    <row r="142" spans="2:58" x14ac:dyDescent="0.25">
      <c r="B142" s="31"/>
      <c r="C142" s="1"/>
      <c r="D142" s="1"/>
      <c r="E142" s="1"/>
      <c r="F142" s="1"/>
      <c r="G142" s="1"/>
      <c r="H142" s="1"/>
      <c r="I142" s="6"/>
      <c r="J142" s="5"/>
      <c r="K142" s="5"/>
      <c r="L142" s="6"/>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T142" s="69"/>
      <c r="AV142" s="70"/>
      <c r="AW142" s="2"/>
      <c r="AX142" s="2"/>
      <c r="AY142" s="2"/>
      <c r="AZ142" s="2"/>
      <c r="BA142" s="2"/>
      <c r="BB142" s="2"/>
      <c r="BC142" s="2"/>
      <c r="BD142" s="2"/>
      <c r="BE142" s="2"/>
      <c r="BF142" s="2"/>
    </row>
    <row r="143" spans="2:58" x14ac:dyDescent="0.25">
      <c r="B143" s="31"/>
      <c r="C143" s="1"/>
      <c r="D143" s="1"/>
      <c r="E143" s="1"/>
      <c r="F143" s="1"/>
      <c r="G143" s="1"/>
      <c r="H143" s="1"/>
      <c r="I143" s="6"/>
      <c r="J143" s="5"/>
      <c r="K143" s="5"/>
      <c r="L143" s="6"/>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T143" s="69"/>
      <c r="AV143" s="70"/>
      <c r="AW143" s="2"/>
      <c r="AX143" s="2"/>
      <c r="AY143" s="2"/>
      <c r="AZ143" s="2"/>
      <c r="BA143" s="2"/>
      <c r="BB143" s="2"/>
      <c r="BC143" s="2"/>
      <c r="BD143" s="2"/>
      <c r="BE143" s="2"/>
      <c r="BF143" s="2"/>
    </row>
    <row r="144" spans="2:58" x14ac:dyDescent="0.25">
      <c r="B144" s="31"/>
      <c r="C144" s="1"/>
      <c r="D144" s="1"/>
      <c r="E144" s="1"/>
      <c r="F144" s="1"/>
      <c r="G144" s="1"/>
      <c r="H144" s="1"/>
      <c r="I144" s="6"/>
      <c r="J144" s="5"/>
      <c r="K144" s="5"/>
      <c r="L144" s="6"/>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T144" s="69"/>
      <c r="AV144" s="70"/>
      <c r="AW144" s="2"/>
      <c r="AX144" s="2"/>
      <c r="AY144" s="2"/>
      <c r="AZ144" s="2"/>
      <c r="BA144" s="2"/>
      <c r="BB144" s="2"/>
      <c r="BC144" s="2"/>
      <c r="BD144" s="2"/>
      <c r="BE144" s="2"/>
      <c r="BF144" s="2"/>
    </row>
    <row r="145" spans="2:58" x14ac:dyDescent="0.25">
      <c r="B145" s="31"/>
      <c r="C145" s="1"/>
      <c r="D145" s="1"/>
      <c r="E145" s="1"/>
      <c r="F145" s="1"/>
      <c r="G145" s="1"/>
      <c r="H145" s="1"/>
      <c r="I145" s="6"/>
      <c r="J145" s="5"/>
      <c r="K145" s="5"/>
      <c r="L145" s="6"/>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T145" s="69"/>
      <c r="AV145" s="70"/>
      <c r="AW145" s="2"/>
      <c r="AX145" s="2"/>
      <c r="AY145" s="2"/>
      <c r="AZ145" s="2"/>
      <c r="BA145" s="2"/>
      <c r="BB145" s="2"/>
      <c r="BC145" s="2"/>
      <c r="BD145" s="2"/>
      <c r="BE145" s="2"/>
      <c r="BF145" s="2"/>
    </row>
    <row r="146" spans="2:58" x14ac:dyDescent="0.25">
      <c r="B146" s="31"/>
      <c r="C146" s="1"/>
      <c r="D146" s="1"/>
      <c r="E146" s="1"/>
      <c r="F146" s="1"/>
      <c r="G146" s="1"/>
      <c r="H146" s="1"/>
      <c r="I146" s="6"/>
      <c r="J146" s="5"/>
      <c r="K146" s="5"/>
      <c r="L146" s="6"/>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T146" s="69"/>
      <c r="AV146" s="70"/>
      <c r="AW146" s="2"/>
      <c r="AX146" s="2"/>
      <c r="AY146" s="2"/>
      <c r="AZ146" s="2"/>
      <c r="BA146" s="2"/>
      <c r="BB146" s="2"/>
      <c r="BC146" s="2"/>
      <c r="BD146" s="2"/>
      <c r="BE146" s="2"/>
      <c r="BF146" s="2"/>
    </row>
    <row r="147" spans="2:58" x14ac:dyDescent="0.25">
      <c r="B147" s="31"/>
      <c r="C147" s="1"/>
      <c r="D147" s="1"/>
      <c r="E147" s="1"/>
      <c r="F147" s="1"/>
      <c r="G147" s="1"/>
      <c r="H147" s="1"/>
      <c r="I147" s="6"/>
      <c r="J147" s="5"/>
      <c r="K147" s="5"/>
      <c r="L147" s="6"/>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T147" s="69"/>
      <c r="AV147" s="70"/>
      <c r="AW147" s="2"/>
      <c r="AX147" s="2"/>
      <c r="AY147" s="2"/>
      <c r="AZ147" s="2"/>
      <c r="BA147" s="2"/>
      <c r="BB147" s="2"/>
      <c r="BC147" s="2"/>
      <c r="BD147" s="2"/>
      <c r="BE147" s="2"/>
      <c r="BF147" s="2"/>
    </row>
    <row r="148" spans="2:58" x14ac:dyDescent="0.25">
      <c r="B148" s="31"/>
      <c r="C148" s="1"/>
      <c r="D148" s="1"/>
      <c r="E148" s="1"/>
      <c r="F148" s="1"/>
      <c r="G148" s="1"/>
      <c r="H148" s="1"/>
      <c r="I148" s="6"/>
      <c r="J148" s="5"/>
      <c r="K148" s="5"/>
      <c r="L148" s="6"/>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T148" s="69"/>
      <c r="AV148" s="70"/>
      <c r="AW148" s="2"/>
      <c r="AX148" s="2"/>
      <c r="AY148" s="2"/>
      <c r="AZ148" s="2"/>
      <c r="BA148" s="2"/>
      <c r="BB148" s="2"/>
      <c r="BC148" s="2"/>
      <c r="BD148" s="2"/>
      <c r="BE148" s="2"/>
      <c r="BF148" s="2"/>
    </row>
    <row r="149" spans="2:58" x14ac:dyDescent="0.25">
      <c r="B149" s="31"/>
      <c r="C149" s="1"/>
      <c r="D149" s="1"/>
      <c r="E149" s="1"/>
      <c r="F149" s="1"/>
      <c r="G149" s="1"/>
      <c r="H149" s="1"/>
      <c r="I149" s="6"/>
      <c r="J149" s="5"/>
      <c r="K149" s="5"/>
      <c r="L149" s="6"/>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T149" s="69"/>
      <c r="AV149" s="70"/>
      <c r="AW149" s="2"/>
      <c r="AX149" s="2"/>
      <c r="AY149" s="2"/>
      <c r="AZ149" s="2"/>
      <c r="BA149" s="2"/>
      <c r="BB149" s="2"/>
      <c r="BC149" s="2"/>
      <c r="BD149" s="2"/>
      <c r="BE149" s="2"/>
      <c r="BF149" s="2"/>
    </row>
    <row r="150" spans="2:58" x14ac:dyDescent="0.25">
      <c r="B150" s="31"/>
      <c r="C150" s="1"/>
      <c r="D150" s="1"/>
      <c r="E150" s="1"/>
      <c r="F150" s="1"/>
      <c r="G150" s="1"/>
      <c r="H150" s="1"/>
      <c r="I150" s="6"/>
      <c r="J150" s="5"/>
      <c r="K150" s="5"/>
      <c r="L150" s="6"/>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T150" s="69"/>
      <c r="AV150" s="70"/>
      <c r="AW150" s="2"/>
      <c r="AX150" s="2"/>
      <c r="AY150" s="2"/>
      <c r="AZ150" s="2"/>
      <c r="BA150" s="2"/>
      <c r="BB150" s="2"/>
      <c r="BC150" s="2"/>
      <c r="BD150" s="2"/>
      <c r="BE150" s="2"/>
      <c r="BF150" s="2"/>
    </row>
    <row r="151" spans="2:58" x14ac:dyDescent="0.25">
      <c r="B151" s="31"/>
      <c r="C151" s="1"/>
      <c r="D151" s="1"/>
      <c r="E151" s="1"/>
      <c r="F151" s="1"/>
      <c r="G151" s="1"/>
      <c r="H151" s="1"/>
      <c r="I151" s="6"/>
      <c r="J151" s="5"/>
      <c r="K151" s="5"/>
      <c r="L151" s="6"/>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T151" s="69"/>
      <c r="AV151" s="70"/>
      <c r="AW151" s="2"/>
      <c r="AX151" s="2"/>
      <c r="AY151" s="2"/>
      <c r="AZ151" s="2"/>
      <c r="BA151" s="2"/>
      <c r="BB151" s="2"/>
      <c r="BC151" s="2"/>
      <c r="BD151" s="2"/>
      <c r="BE151" s="2"/>
      <c r="BF151" s="2"/>
    </row>
    <row r="152" spans="2:58" x14ac:dyDescent="0.25">
      <c r="B152" s="31"/>
      <c r="C152" s="1"/>
      <c r="D152" s="1"/>
      <c r="E152" s="1"/>
      <c r="F152" s="1"/>
      <c r="G152" s="1"/>
      <c r="H152" s="1"/>
      <c r="I152" s="6"/>
      <c r="J152" s="5"/>
      <c r="K152" s="5"/>
      <c r="L152" s="6"/>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T152" s="69"/>
      <c r="AV152" s="70"/>
      <c r="AW152" s="2"/>
      <c r="AX152" s="2"/>
      <c r="AY152" s="2"/>
      <c r="AZ152" s="2"/>
      <c r="BA152" s="2"/>
      <c r="BB152" s="2"/>
      <c r="BC152" s="2"/>
      <c r="BD152" s="2"/>
      <c r="BE152" s="2"/>
      <c r="BF152" s="2"/>
    </row>
    <row r="153" spans="2:58" x14ac:dyDescent="0.25">
      <c r="B153" s="31"/>
      <c r="C153" s="1"/>
      <c r="D153" s="1"/>
      <c r="E153" s="1"/>
      <c r="F153" s="1"/>
      <c r="G153" s="1"/>
      <c r="H153" s="1"/>
      <c r="I153" s="6"/>
      <c r="J153" s="5"/>
      <c r="K153" s="5"/>
      <c r="L153" s="6"/>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T153" s="69"/>
      <c r="AV153" s="70"/>
      <c r="AW153" s="2"/>
      <c r="AX153" s="2"/>
      <c r="AY153" s="2"/>
      <c r="AZ153" s="2"/>
      <c r="BA153" s="2"/>
      <c r="BB153" s="2"/>
      <c r="BC153" s="2"/>
      <c r="BD153" s="2"/>
      <c r="BE153" s="2"/>
      <c r="BF153" s="2"/>
    </row>
    <row r="154" spans="2:58" x14ac:dyDescent="0.25">
      <c r="B154" s="31"/>
      <c r="C154" s="1"/>
      <c r="D154" s="1"/>
      <c r="E154" s="1"/>
      <c r="F154" s="1"/>
      <c r="G154" s="1"/>
      <c r="H154" s="1"/>
      <c r="I154" s="6"/>
      <c r="J154" s="5"/>
      <c r="K154" s="5"/>
      <c r="L154" s="6"/>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T154" s="69"/>
      <c r="AV154" s="70"/>
      <c r="AW154" s="2"/>
      <c r="AX154" s="2"/>
      <c r="AY154" s="2"/>
      <c r="AZ154" s="2"/>
      <c r="BA154" s="2"/>
      <c r="BB154" s="2"/>
      <c r="BC154" s="2"/>
      <c r="BD154" s="2"/>
      <c r="BE154" s="2"/>
      <c r="BF154" s="2"/>
    </row>
    <row r="155" spans="2:58" x14ac:dyDescent="0.25">
      <c r="B155" s="31"/>
      <c r="C155" s="1"/>
      <c r="D155" s="1"/>
      <c r="E155" s="1"/>
      <c r="F155" s="1"/>
      <c r="G155" s="1"/>
      <c r="H155" s="1"/>
      <c r="I155" s="6"/>
      <c r="J155" s="5"/>
      <c r="K155" s="5"/>
      <c r="L155" s="6"/>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T155" s="69"/>
      <c r="AV155" s="70"/>
      <c r="AW155" s="2"/>
      <c r="AX155" s="2"/>
      <c r="AY155" s="2"/>
      <c r="AZ155" s="2"/>
      <c r="BA155" s="2"/>
      <c r="BB155" s="2"/>
      <c r="BC155" s="2"/>
      <c r="BD155" s="2"/>
      <c r="BE155" s="2"/>
      <c r="BF155" s="2"/>
    </row>
    <row r="156" spans="2:58" x14ac:dyDescent="0.25">
      <c r="B156" s="31"/>
      <c r="C156" s="1"/>
      <c r="D156" s="1"/>
      <c r="E156" s="1"/>
      <c r="F156" s="1"/>
      <c r="G156" s="1"/>
      <c r="H156" s="1"/>
      <c r="I156" s="6"/>
      <c r="J156" s="5"/>
      <c r="K156" s="5"/>
      <c r="L156" s="6"/>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T156" s="69"/>
      <c r="AV156" s="70"/>
      <c r="AW156" s="2"/>
      <c r="AX156" s="2"/>
      <c r="AY156" s="2"/>
      <c r="AZ156" s="2"/>
      <c r="BA156" s="2"/>
      <c r="BB156" s="2"/>
      <c r="BC156" s="2"/>
      <c r="BD156" s="2"/>
      <c r="BE156" s="2"/>
      <c r="BF156" s="2"/>
    </row>
    <row r="157" spans="2:58" x14ac:dyDescent="0.25">
      <c r="B157" s="31"/>
      <c r="C157" s="1"/>
      <c r="D157" s="1"/>
      <c r="E157" s="1"/>
      <c r="F157" s="1"/>
      <c r="G157" s="1"/>
      <c r="H157" s="1"/>
      <c r="I157" s="6"/>
      <c r="J157" s="5"/>
      <c r="K157" s="5"/>
      <c r="L157" s="6"/>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T157" s="69"/>
      <c r="AV157" s="70"/>
      <c r="AW157" s="2"/>
      <c r="AX157" s="2"/>
      <c r="AY157" s="2"/>
      <c r="AZ157" s="2"/>
      <c r="BA157" s="2"/>
      <c r="BB157" s="2"/>
      <c r="BC157" s="2"/>
      <c r="BD157" s="2"/>
      <c r="BE157" s="2"/>
      <c r="BF157" s="2"/>
    </row>
    <row r="158" spans="2:58" x14ac:dyDescent="0.25">
      <c r="B158" s="31"/>
      <c r="C158" s="1"/>
      <c r="D158" s="1"/>
      <c r="E158" s="1"/>
      <c r="F158" s="1"/>
      <c r="G158" s="1"/>
      <c r="H158" s="1"/>
      <c r="I158" s="6"/>
      <c r="J158" s="5"/>
      <c r="K158" s="5"/>
      <c r="L158" s="6"/>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T158" s="69"/>
      <c r="AV158" s="70"/>
      <c r="AW158" s="2"/>
      <c r="AX158" s="2"/>
      <c r="AY158" s="2"/>
      <c r="AZ158" s="2"/>
      <c r="BA158" s="2"/>
      <c r="BB158" s="2"/>
      <c r="BC158" s="2"/>
      <c r="BD158" s="2"/>
      <c r="BE158" s="2"/>
      <c r="BF158" s="2"/>
    </row>
    <row r="159" spans="2:58" x14ac:dyDescent="0.25">
      <c r="B159" s="31"/>
      <c r="C159" s="1"/>
      <c r="D159" s="1"/>
      <c r="E159" s="1"/>
      <c r="F159" s="1"/>
      <c r="G159" s="1"/>
      <c r="H159" s="1"/>
      <c r="I159" s="6"/>
      <c r="J159" s="5"/>
      <c r="K159" s="5"/>
      <c r="L159" s="6"/>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T159" s="69"/>
      <c r="AV159" s="70"/>
      <c r="AW159" s="2"/>
      <c r="AX159" s="2"/>
      <c r="AY159" s="2"/>
      <c r="AZ159" s="2"/>
      <c r="BA159" s="2"/>
      <c r="BB159" s="2"/>
      <c r="BC159" s="2"/>
      <c r="BD159" s="2"/>
      <c r="BE159" s="2"/>
      <c r="BF159" s="2"/>
    </row>
    <row r="160" spans="2:58" x14ac:dyDescent="0.25">
      <c r="B160" s="31"/>
      <c r="C160" s="1"/>
      <c r="D160" s="1"/>
      <c r="E160" s="1"/>
      <c r="F160" s="1"/>
      <c r="G160" s="1"/>
      <c r="H160" s="1"/>
      <c r="I160" s="6"/>
      <c r="J160" s="5"/>
      <c r="K160" s="5"/>
      <c r="L160" s="6"/>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T160" s="69"/>
      <c r="AV160" s="70"/>
      <c r="AW160" s="2"/>
      <c r="AX160" s="2"/>
      <c r="AY160" s="2"/>
      <c r="AZ160" s="2"/>
      <c r="BA160" s="2"/>
      <c r="BB160" s="2"/>
      <c r="BC160" s="2"/>
      <c r="BD160" s="2"/>
      <c r="BE160" s="2"/>
      <c r="BF160" s="2"/>
    </row>
    <row r="161" spans="2:58" x14ac:dyDescent="0.25">
      <c r="B161" s="31"/>
      <c r="C161" s="1"/>
      <c r="D161" s="1"/>
      <c r="E161" s="1"/>
      <c r="F161" s="1"/>
      <c r="G161" s="1"/>
      <c r="H161" s="1"/>
      <c r="I161" s="6"/>
      <c r="J161" s="5"/>
      <c r="K161" s="5"/>
      <c r="L161" s="6"/>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T161" s="69"/>
      <c r="AV161" s="70"/>
      <c r="AW161" s="2"/>
      <c r="AX161" s="2"/>
      <c r="AY161" s="2"/>
      <c r="AZ161" s="2"/>
      <c r="BA161" s="2"/>
      <c r="BB161" s="2"/>
      <c r="BC161" s="2"/>
      <c r="BD161" s="2"/>
      <c r="BE161" s="2"/>
      <c r="BF161" s="2"/>
    </row>
    <row r="162" spans="2:58" x14ac:dyDescent="0.25">
      <c r="B162" s="31"/>
      <c r="C162" s="1"/>
      <c r="D162" s="1"/>
      <c r="E162" s="1"/>
      <c r="F162" s="1"/>
      <c r="G162" s="1"/>
      <c r="H162" s="1"/>
      <c r="I162" s="6"/>
      <c r="J162" s="5"/>
      <c r="K162" s="5"/>
      <c r="L162" s="6"/>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T162" s="69"/>
      <c r="AV162" s="70"/>
      <c r="AW162" s="2"/>
      <c r="AX162" s="2"/>
      <c r="AY162" s="2"/>
      <c r="AZ162" s="2"/>
      <c r="BA162" s="2"/>
      <c r="BB162" s="2"/>
      <c r="BC162" s="2"/>
      <c r="BD162" s="2"/>
      <c r="BE162" s="2"/>
      <c r="BF162" s="2"/>
    </row>
    <row r="163" spans="2:58" x14ac:dyDescent="0.25">
      <c r="B163" s="31"/>
      <c r="C163" s="1"/>
      <c r="D163" s="1"/>
      <c r="E163" s="1"/>
      <c r="F163" s="1"/>
      <c r="G163" s="1"/>
      <c r="H163" s="1"/>
      <c r="I163" s="6"/>
      <c r="J163" s="5"/>
      <c r="K163" s="5"/>
      <c r="L163" s="6"/>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T163" s="69"/>
      <c r="AV163" s="70"/>
      <c r="AW163" s="2"/>
      <c r="AX163" s="2"/>
      <c r="AY163" s="2"/>
      <c r="AZ163" s="2"/>
      <c r="BA163" s="2"/>
      <c r="BB163" s="2"/>
      <c r="BC163" s="2"/>
      <c r="BD163" s="2"/>
      <c r="BE163" s="2"/>
      <c r="BF163" s="2"/>
    </row>
    <row r="164" spans="2:58" x14ac:dyDescent="0.25">
      <c r="B164" s="31"/>
      <c r="C164" s="1"/>
      <c r="D164" s="1"/>
      <c r="E164" s="1"/>
      <c r="F164" s="1"/>
      <c r="G164" s="1"/>
      <c r="H164" s="1"/>
      <c r="I164" s="6"/>
      <c r="J164" s="5"/>
      <c r="K164" s="5"/>
      <c r="L164" s="6"/>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T164" s="69"/>
      <c r="AV164" s="70"/>
      <c r="AW164" s="2"/>
      <c r="AX164" s="2"/>
      <c r="AY164" s="2"/>
      <c r="AZ164" s="2"/>
      <c r="BA164" s="2"/>
      <c r="BB164" s="2"/>
      <c r="BC164" s="2"/>
      <c r="BD164" s="2"/>
      <c r="BE164" s="2"/>
      <c r="BF164" s="2"/>
    </row>
    <row r="165" spans="2:58" x14ac:dyDescent="0.25">
      <c r="B165" s="31"/>
      <c r="C165" s="1"/>
      <c r="D165" s="1"/>
      <c r="E165" s="1"/>
      <c r="F165" s="1"/>
      <c r="G165" s="1"/>
      <c r="H165" s="1"/>
      <c r="I165" s="6"/>
      <c r="J165" s="5"/>
      <c r="K165" s="5"/>
      <c r="L165" s="6"/>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T165" s="69"/>
      <c r="AV165" s="70"/>
      <c r="AW165" s="2"/>
      <c r="AX165" s="2"/>
      <c r="AY165" s="2"/>
      <c r="AZ165" s="2"/>
      <c r="BA165" s="2"/>
      <c r="BB165" s="2"/>
      <c r="BC165" s="2"/>
      <c r="BD165" s="2"/>
      <c r="BE165" s="2"/>
      <c r="BF165" s="2"/>
    </row>
    <row r="166" spans="2:58" x14ac:dyDescent="0.25">
      <c r="B166" s="31"/>
      <c r="C166" s="1"/>
      <c r="D166" s="1"/>
      <c r="E166" s="1"/>
      <c r="F166" s="1"/>
      <c r="G166" s="1"/>
      <c r="H166" s="1"/>
      <c r="I166" s="6"/>
      <c r="J166" s="5"/>
      <c r="K166" s="5"/>
      <c r="L166" s="6"/>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T166" s="69"/>
      <c r="AV166" s="70"/>
      <c r="AW166" s="2"/>
      <c r="AX166" s="2"/>
      <c r="AY166" s="2"/>
      <c r="AZ166" s="2"/>
      <c r="BA166" s="2"/>
      <c r="BB166" s="2"/>
      <c r="BC166" s="2"/>
      <c r="BD166" s="2"/>
      <c r="BE166" s="2"/>
      <c r="BF166" s="2"/>
    </row>
    <row r="167" spans="2:58" x14ac:dyDescent="0.25">
      <c r="B167" s="31"/>
      <c r="C167" s="1"/>
      <c r="D167" s="1"/>
      <c r="E167" s="1"/>
      <c r="F167" s="1"/>
      <c r="G167" s="1"/>
      <c r="H167" s="1"/>
      <c r="I167" s="6"/>
      <c r="J167" s="5"/>
      <c r="K167" s="5"/>
      <c r="L167" s="6"/>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T167" s="69"/>
      <c r="AV167" s="70"/>
      <c r="AW167" s="2"/>
      <c r="AX167" s="2"/>
      <c r="AY167" s="2"/>
      <c r="AZ167" s="2"/>
      <c r="BA167" s="2"/>
      <c r="BB167" s="2"/>
      <c r="BC167" s="2"/>
      <c r="BD167" s="2"/>
      <c r="BE167" s="2"/>
      <c r="BF167" s="2"/>
    </row>
    <row r="168" spans="2:58" x14ac:dyDescent="0.25">
      <c r="B168" s="31"/>
      <c r="C168" s="1"/>
      <c r="D168" s="1"/>
      <c r="E168" s="1"/>
      <c r="F168" s="1"/>
      <c r="G168" s="1"/>
      <c r="H168" s="1"/>
      <c r="I168" s="6"/>
      <c r="J168" s="5"/>
      <c r="K168" s="5"/>
      <c r="L168" s="6"/>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T168" s="69"/>
      <c r="AV168" s="70"/>
      <c r="AW168" s="2"/>
      <c r="AX168" s="2"/>
      <c r="AY168" s="2"/>
      <c r="AZ168" s="2"/>
      <c r="BA168" s="2"/>
      <c r="BB168" s="2"/>
      <c r="BC168" s="2"/>
      <c r="BD168" s="2"/>
      <c r="BE168" s="2"/>
      <c r="BF168" s="2"/>
    </row>
    <row r="169" spans="2:58" x14ac:dyDescent="0.25">
      <c r="B169" s="31"/>
      <c r="C169" s="1"/>
      <c r="D169" s="1"/>
      <c r="E169" s="1"/>
      <c r="F169" s="1"/>
      <c r="G169" s="1"/>
      <c r="H169" s="1"/>
      <c r="I169" s="6"/>
      <c r="J169" s="5"/>
      <c r="K169" s="5"/>
      <c r="L169" s="6"/>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T169" s="69"/>
      <c r="AV169" s="70"/>
      <c r="AW169" s="2"/>
      <c r="AX169" s="2"/>
      <c r="AY169" s="2"/>
      <c r="AZ169" s="2"/>
      <c r="BA169" s="2"/>
      <c r="BB169" s="2"/>
      <c r="BC169" s="2"/>
      <c r="BD169" s="2"/>
      <c r="BE169" s="2"/>
      <c r="BF169" s="2"/>
    </row>
    <row r="170" spans="2:58" x14ac:dyDescent="0.25">
      <c r="B170" s="31"/>
      <c r="C170" s="1"/>
      <c r="D170" s="1"/>
      <c r="E170" s="1"/>
      <c r="F170" s="1"/>
      <c r="G170" s="1"/>
      <c r="H170" s="1"/>
      <c r="I170" s="6"/>
      <c r="J170" s="5"/>
      <c r="K170" s="5"/>
      <c r="L170" s="6"/>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T170" s="69"/>
      <c r="AV170" s="70"/>
      <c r="AW170" s="2"/>
      <c r="AX170" s="2"/>
      <c r="AY170" s="2"/>
      <c r="AZ170" s="2"/>
      <c r="BA170" s="2"/>
      <c r="BB170" s="2"/>
      <c r="BC170" s="2"/>
      <c r="BD170" s="2"/>
      <c r="BE170" s="2"/>
      <c r="BF170" s="2"/>
    </row>
    <row r="171" spans="2:58" x14ac:dyDescent="0.25">
      <c r="B171" s="31"/>
      <c r="C171" s="1"/>
      <c r="D171" s="1"/>
      <c r="E171" s="1"/>
      <c r="F171" s="1"/>
      <c r="G171" s="1"/>
      <c r="H171" s="1"/>
      <c r="I171" s="6"/>
      <c r="J171" s="5"/>
      <c r="K171" s="5"/>
      <c r="L171" s="6"/>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T171" s="69"/>
      <c r="AV171" s="70"/>
      <c r="AW171" s="2"/>
      <c r="AX171" s="2"/>
      <c r="AY171" s="2"/>
      <c r="AZ171" s="2"/>
      <c r="BA171" s="2"/>
      <c r="BB171" s="2"/>
      <c r="BC171" s="2"/>
      <c r="BD171" s="2"/>
      <c r="BE171" s="2"/>
      <c r="BF171" s="2"/>
    </row>
    <row r="172" spans="2:58" x14ac:dyDescent="0.25">
      <c r="B172" s="31"/>
      <c r="C172" s="1"/>
      <c r="D172" s="1"/>
      <c r="E172" s="1"/>
      <c r="F172" s="1"/>
      <c r="G172" s="1"/>
      <c r="H172" s="1"/>
      <c r="I172" s="6"/>
      <c r="J172" s="5"/>
      <c r="K172" s="5"/>
      <c r="L172" s="6"/>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T172" s="69"/>
      <c r="AV172" s="70"/>
      <c r="AW172" s="2"/>
      <c r="AX172" s="2"/>
      <c r="AY172" s="2"/>
      <c r="AZ172" s="2"/>
      <c r="BA172" s="2"/>
      <c r="BB172" s="2"/>
      <c r="BC172" s="2"/>
      <c r="BD172" s="2"/>
      <c r="BE172" s="2"/>
      <c r="BF172" s="2"/>
    </row>
    <row r="173" spans="2:58" x14ac:dyDescent="0.25">
      <c r="B173" s="31"/>
      <c r="C173" s="1"/>
      <c r="D173" s="1"/>
      <c r="E173" s="1"/>
      <c r="F173" s="1"/>
      <c r="G173" s="1"/>
      <c r="H173" s="1"/>
      <c r="I173" s="6"/>
      <c r="J173" s="5"/>
      <c r="K173" s="5"/>
      <c r="L173" s="6"/>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2"/>
      <c r="AT173" s="69"/>
      <c r="AV173" s="70"/>
      <c r="AW173" s="2"/>
      <c r="AX173" s="2"/>
      <c r="AY173" s="2"/>
      <c r="AZ173" s="2"/>
      <c r="BA173" s="2"/>
      <c r="BB173" s="2"/>
      <c r="BC173" s="2"/>
      <c r="BD173" s="2"/>
      <c r="BE173" s="2"/>
      <c r="BF173" s="2"/>
    </row>
    <row r="174" spans="2:58" x14ac:dyDescent="0.25">
      <c r="B174" s="31"/>
      <c r="C174" s="1"/>
      <c r="D174" s="1"/>
      <c r="E174" s="1"/>
      <c r="F174" s="1"/>
      <c r="G174" s="1"/>
      <c r="H174" s="1"/>
      <c r="I174" s="6"/>
      <c r="J174" s="5"/>
      <c r="K174" s="5"/>
      <c r="L174" s="6"/>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T174" s="69"/>
      <c r="AV174" s="70"/>
      <c r="AW174" s="2"/>
      <c r="AX174" s="2"/>
      <c r="AY174" s="2"/>
      <c r="AZ174" s="2"/>
      <c r="BA174" s="2"/>
      <c r="BB174" s="2"/>
      <c r="BC174" s="2"/>
      <c r="BD174" s="2"/>
      <c r="BE174" s="2"/>
      <c r="BF174" s="2"/>
    </row>
    <row r="175" spans="2:58" x14ac:dyDescent="0.25">
      <c r="B175" s="31"/>
      <c r="C175" s="1"/>
      <c r="D175" s="1"/>
      <c r="E175" s="1"/>
      <c r="F175" s="1"/>
      <c r="G175" s="1"/>
      <c r="H175" s="1"/>
      <c r="I175" s="6"/>
      <c r="J175" s="5"/>
      <c r="K175" s="5"/>
      <c r="L175" s="6"/>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T175" s="69"/>
      <c r="AV175" s="70"/>
      <c r="AW175" s="2"/>
      <c r="AX175" s="2"/>
      <c r="AY175" s="2"/>
      <c r="AZ175" s="2"/>
      <c r="BA175" s="2"/>
      <c r="BB175" s="2"/>
      <c r="BC175" s="2"/>
      <c r="BD175" s="2"/>
      <c r="BE175" s="2"/>
      <c r="BF175" s="2"/>
    </row>
    <row r="176" spans="2:58" x14ac:dyDescent="0.25">
      <c r="B176" s="31"/>
      <c r="C176" s="1"/>
      <c r="D176" s="1"/>
      <c r="E176" s="1"/>
      <c r="F176" s="1"/>
      <c r="G176" s="1"/>
      <c r="H176" s="1"/>
      <c r="I176" s="6"/>
      <c r="J176" s="5"/>
      <c r="K176" s="5"/>
      <c r="L176" s="6"/>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T176" s="69"/>
      <c r="AV176" s="70"/>
      <c r="AW176" s="2"/>
      <c r="AX176" s="2"/>
      <c r="AY176" s="2"/>
      <c r="AZ176" s="2"/>
      <c r="BA176" s="2"/>
      <c r="BB176" s="2"/>
      <c r="BC176" s="2"/>
      <c r="BD176" s="2"/>
      <c r="BE176" s="2"/>
      <c r="BF176" s="2"/>
    </row>
    <row r="177" spans="2:58" x14ac:dyDescent="0.25">
      <c r="B177" s="31"/>
      <c r="C177" s="1"/>
      <c r="D177" s="1"/>
      <c r="E177" s="1"/>
      <c r="F177" s="1"/>
      <c r="G177" s="1"/>
      <c r="H177" s="1"/>
      <c r="I177" s="6"/>
      <c r="J177" s="5"/>
      <c r="K177" s="5"/>
      <c r="L177" s="6"/>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T177" s="69"/>
      <c r="AV177" s="70"/>
      <c r="AW177" s="2"/>
      <c r="AX177" s="2"/>
      <c r="AY177" s="2"/>
      <c r="AZ177" s="2"/>
      <c r="BA177" s="2"/>
      <c r="BB177" s="2"/>
      <c r="BC177" s="2"/>
      <c r="BD177" s="2"/>
      <c r="BE177" s="2"/>
      <c r="BF177" s="2"/>
    </row>
    <row r="178" spans="2:58" x14ac:dyDescent="0.25">
      <c r="B178" s="31"/>
      <c r="C178" s="1"/>
      <c r="D178" s="1"/>
      <c r="E178" s="1"/>
      <c r="F178" s="1"/>
      <c r="G178" s="1"/>
      <c r="H178" s="1"/>
      <c r="I178" s="6"/>
      <c r="J178" s="5"/>
      <c r="K178" s="5"/>
      <c r="L178" s="6"/>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T178" s="69"/>
      <c r="AV178" s="70"/>
      <c r="AW178" s="2"/>
      <c r="AX178" s="2"/>
      <c r="AY178" s="2"/>
      <c r="AZ178" s="2"/>
      <c r="BA178" s="2"/>
      <c r="BB178" s="2"/>
      <c r="BC178" s="2"/>
      <c r="BD178" s="2"/>
      <c r="BE178" s="2"/>
      <c r="BF178" s="2"/>
    </row>
    <row r="179" spans="2:58" x14ac:dyDescent="0.25">
      <c r="B179" s="31"/>
      <c r="C179" s="1"/>
      <c r="D179" s="1"/>
      <c r="E179" s="1"/>
      <c r="F179" s="1"/>
      <c r="G179" s="1"/>
      <c r="H179" s="1"/>
      <c r="I179" s="6"/>
      <c r="J179" s="5"/>
      <c r="K179" s="5"/>
      <c r="L179" s="6"/>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T179" s="69"/>
      <c r="AV179" s="70"/>
      <c r="AW179" s="2"/>
      <c r="AX179" s="2"/>
      <c r="AY179" s="2"/>
      <c r="AZ179" s="2"/>
      <c r="BA179" s="2"/>
      <c r="BB179" s="2"/>
      <c r="BC179" s="2"/>
      <c r="BD179" s="2"/>
      <c r="BE179" s="2"/>
      <c r="BF179" s="2"/>
    </row>
    <row r="180" spans="2:58" x14ac:dyDescent="0.25">
      <c r="B180" s="31"/>
      <c r="C180" s="1"/>
      <c r="D180" s="1"/>
      <c r="E180" s="1"/>
      <c r="F180" s="1"/>
      <c r="G180" s="1"/>
      <c r="H180" s="1"/>
      <c r="I180" s="6"/>
      <c r="J180" s="5"/>
      <c r="K180" s="5"/>
      <c r="L180" s="6"/>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T180" s="69"/>
      <c r="AV180" s="70"/>
      <c r="AW180" s="2"/>
      <c r="AX180" s="2"/>
      <c r="AY180" s="2"/>
      <c r="AZ180" s="2"/>
      <c r="BA180" s="2"/>
      <c r="BB180" s="2"/>
      <c r="BC180" s="2"/>
      <c r="BD180" s="2"/>
      <c r="BE180" s="2"/>
      <c r="BF180" s="2"/>
    </row>
    <row r="181" spans="2:58" x14ac:dyDescent="0.25">
      <c r="B181" s="31"/>
      <c r="C181" s="1"/>
      <c r="D181" s="1"/>
      <c r="E181" s="1"/>
      <c r="F181" s="1"/>
      <c r="G181" s="1"/>
      <c r="H181" s="1"/>
      <c r="I181" s="6"/>
      <c r="J181" s="5"/>
      <c r="K181" s="5"/>
      <c r="L181" s="6"/>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T181" s="69"/>
      <c r="AV181" s="70"/>
      <c r="AW181" s="2"/>
      <c r="AX181" s="2"/>
      <c r="AY181" s="2"/>
      <c r="AZ181" s="2"/>
      <c r="BA181" s="2"/>
      <c r="BB181" s="2"/>
      <c r="BC181" s="2"/>
      <c r="BD181" s="2"/>
      <c r="BE181" s="2"/>
      <c r="BF181" s="2"/>
    </row>
    <row r="182" spans="2:58" x14ac:dyDescent="0.25">
      <c r="B182" s="31"/>
      <c r="C182" s="1"/>
      <c r="D182" s="1"/>
      <c r="E182" s="1"/>
      <c r="F182" s="1"/>
      <c r="G182" s="1"/>
      <c r="H182" s="1"/>
      <c r="I182" s="6"/>
      <c r="J182" s="5"/>
      <c r="K182" s="5"/>
      <c r="L182" s="6"/>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T182" s="69"/>
      <c r="AV182" s="70"/>
      <c r="AW182" s="2"/>
      <c r="AX182" s="2"/>
      <c r="AY182" s="2"/>
      <c r="AZ182" s="2"/>
      <c r="BA182" s="2"/>
      <c r="BB182" s="2"/>
      <c r="BC182" s="2"/>
      <c r="BD182" s="2"/>
      <c r="BE182" s="2"/>
      <c r="BF182" s="2"/>
    </row>
    <row r="183" spans="2:58" x14ac:dyDescent="0.25">
      <c r="B183" s="31"/>
      <c r="C183" s="1"/>
      <c r="D183" s="1"/>
      <c r="E183" s="1"/>
      <c r="F183" s="1"/>
      <c r="G183" s="1"/>
      <c r="H183" s="1"/>
      <c r="I183" s="6"/>
      <c r="J183" s="5"/>
      <c r="K183" s="5"/>
      <c r="L183" s="6"/>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T183" s="69"/>
      <c r="AV183" s="70"/>
      <c r="AW183" s="2"/>
      <c r="AX183" s="2"/>
      <c r="AY183" s="2"/>
      <c r="AZ183" s="2"/>
      <c r="BA183" s="2"/>
      <c r="BB183" s="2"/>
      <c r="BC183" s="2"/>
      <c r="BD183" s="2"/>
      <c r="BE183" s="2"/>
      <c r="BF183" s="2"/>
    </row>
    <row r="184" spans="2:58" x14ac:dyDescent="0.25">
      <c r="B184" s="31"/>
      <c r="C184" s="1"/>
      <c r="D184" s="1"/>
      <c r="E184" s="1"/>
      <c r="F184" s="1"/>
      <c r="G184" s="1"/>
      <c r="H184" s="1"/>
      <c r="I184" s="6"/>
      <c r="J184" s="5"/>
      <c r="K184" s="5"/>
      <c r="L184" s="6"/>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T184" s="69"/>
      <c r="AV184" s="70"/>
      <c r="AW184" s="2"/>
      <c r="AX184" s="2"/>
      <c r="AY184" s="2"/>
      <c r="AZ184" s="2"/>
      <c r="BA184" s="2"/>
      <c r="BB184" s="2"/>
      <c r="BC184" s="2"/>
      <c r="BD184" s="2"/>
      <c r="BE184" s="2"/>
      <c r="BF184" s="2"/>
    </row>
    <row r="185" spans="2:58" x14ac:dyDescent="0.25">
      <c r="B185" s="31"/>
      <c r="C185" s="1"/>
      <c r="D185" s="1"/>
      <c r="E185" s="1"/>
      <c r="F185" s="1"/>
      <c r="G185" s="1"/>
      <c r="H185" s="1"/>
      <c r="I185" s="6"/>
      <c r="J185" s="5"/>
      <c r="K185" s="5"/>
      <c r="L185" s="6"/>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T185" s="69"/>
      <c r="AV185" s="70"/>
      <c r="AW185" s="2"/>
      <c r="AX185" s="2"/>
      <c r="AY185" s="2"/>
      <c r="AZ185" s="2"/>
      <c r="BA185" s="2"/>
      <c r="BB185" s="2"/>
      <c r="BC185" s="2"/>
      <c r="BD185" s="2"/>
      <c r="BE185" s="2"/>
      <c r="BF185" s="2"/>
    </row>
  </sheetData>
  <autoFilter ref="B7:BC180" xr:uid="{00000000-0001-0000-0000-000000000000}">
    <sortState xmlns:xlrd2="http://schemas.microsoft.com/office/spreadsheetml/2017/richdata2" ref="B8:BC180">
      <sortCondition ref="F7:F180"/>
    </sortState>
  </autoFilter>
  <conditionalFormatting sqref="G1:H6 G7 G8:H1048576">
    <cfRule type="cellIs" dxfId="9" priority="15" operator="equal">
      <formula>"ISSUED"</formula>
    </cfRule>
  </conditionalFormatting>
  <conditionalFormatting sqref="N10:P1048576">
    <cfRule type="cellIs" dxfId="8" priority="19" operator="greaterThan">
      <formula>0.5</formula>
    </cfRule>
  </conditionalFormatting>
  <conditionalFormatting sqref="O9">
    <cfRule type="cellIs" dxfId="7" priority="14" operator="greaterThan">
      <formula>0.5</formula>
    </cfRule>
  </conditionalFormatting>
  <conditionalFormatting sqref="R1:R1048576">
    <cfRule type="cellIs" dxfId="6" priority="17" operator="equal">
      <formula>"WARM"</formula>
    </cfRule>
  </conditionalFormatting>
  <conditionalFormatting sqref="S1:X1048576 Z8 Z10:Z12">
    <cfRule type="cellIs" dxfId="5" priority="6" operator="equal">
      <formula>"YES"</formula>
    </cfRule>
  </conditionalFormatting>
  <conditionalFormatting sqref="X10:X1048576">
    <cfRule type="cellIs" dxfId="4" priority="18" operator="notEqual">
      <formula>0</formula>
    </cfRule>
  </conditionalFormatting>
  <conditionalFormatting sqref="Z1:AR2 Z13:AG13 Z14 Z15:AG15 Z16:AC16 Z17:Z22 Z23:AC24 Z25:AG26 Z32:AL40 Z41:AR1048576 Z29:AG31 AI25:AL31 AI15:AL15 AI13:AL13 Z27:Z28 AB27:AG27 AC28:AG28">
    <cfRule type="cellIs" dxfId="3" priority="21" operator="equal">
      <formula>"YES"</formula>
    </cfRule>
  </conditionalFormatting>
  <conditionalFormatting sqref="AD8:AL10 AN8:AR40 Z9:AC9 AD11:AG12 AI11:AL12 AH11:AH31">
    <cfRule type="cellIs" dxfId="2" priority="3" operator="equal">
      <formula>"YES"</formula>
    </cfRule>
  </conditionalFormatting>
  <conditionalFormatting sqref="AD14:AG14 AI14:AL14">
    <cfRule type="cellIs" dxfId="1" priority="2" operator="equal">
      <formula>"YES"</formula>
    </cfRule>
  </conditionalFormatting>
  <conditionalFormatting sqref="AD16:AG24 AI16:AL24">
    <cfRule type="cellIs" dxfId="0" priority="1" operator="equal">
      <formula>"YES"</formula>
    </cfRule>
  </conditionalFormatting>
  <hyperlinks>
    <hyperlink ref="AV10" r:id="rId1" display="../../../../../../../../../:f:/s/02.Projects/IgDSe2H7zLFPTI_qWKLCXnBXAcq8FmwyAUOw6bK562PaFzM?e=577mAM" xr:uid="{05C88F2F-8D40-4905-9ADB-8D21DFDCEAE5}"/>
    <hyperlink ref="AV20" r:id="rId2" display="../../../../../../../../../:f:/s/02.Projects/IgDgjQTLbudASq3mUxmDgkG7AWQGTo4A6kSTXdhXFKnKSBU?e=s8QAZT" xr:uid="{2F35573C-0E49-4751-8760-0B5913A22857}"/>
    <hyperlink ref="AU8" r:id="rId3" display="../../../../../../../../../:f:/s/02.Projects/IgBUvnRfoWNqTZ4ZrLSW6lOEAYLrgSrGHk1ikohW0A6349Y?e=IuUnqc" xr:uid="{2D1AAAF2-C2D2-4326-9C38-4A0E7FCDDBD1}"/>
    <hyperlink ref="AU10" r:id="rId4" display="../../../../../../../../../:f:/s/02.Projects/IgCts-pjIZazTIqzXSYDcgfnAd5ey9JdxsYKXpeAQ3xYgRM?e=A2y4lf" xr:uid="{3F28AED1-0007-4CDD-BED8-17071DCAAA06}"/>
    <hyperlink ref="AU11" r:id="rId5" display="../../../../../../../../../:f:/s/02.Projects/IgCts-pjIZazTIqzXSYDcgfnAd5ey9JdxsYKXpeAQ3xYgRM?e=A2y4lf" xr:uid="{BEC42B41-5734-4AFB-B294-FD0A9FD318E7}"/>
    <hyperlink ref="AU17" r:id="rId6" display="../../../../../../../../../:f:/s/02.Projects/IgAGSowfmzAtSZBVIBZA0LXeASiqn25aMmTrTiywxnr1SH0?e=dboKRp" xr:uid="{6E4355F2-CC76-411B-80E8-773B28D31A20}"/>
    <hyperlink ref="AU12" r:id="rId7" display="../../../../../../../../../:f:/s/02.Projects/IgDdeGe7T7x6R4sT0MKZU2vkAVwKExxAp7uEsd3-OE9vJNQ?e=MSRqtf" xr:uid="{7DAFE8C2-F1B2-448D-9F41-AF1794755509}"/>
    <hyperlink ref="AU20" r:id="rId8" display="../../../../../../../../../:f:/s/02.Projects/IgDmWd0bf_lWQ5QLuRL6OyJXAbgtBoLN1Z_e6VAm1VQtwdI?e=e5vpH6" xr:uid="{66F67272-9E7A-4433-A46E-D47FBDB1F074}"/>
    <hyperlink ref="AU13" r:id="rId9" display="../../../../../../../../../:f:/s/02.Projects/IgCvzk08e6b0QK6VKVxy3qALAR2zLcztA_38FGzl48IothU?e=CjzgSh" xr:uid="{F49877A7-CC5D-4489-82D2-2C1D369B5567}"/>
    <hyperlink ref="AU21" r:id="rId10" display="../../../../../../../../../:f:/s/02.Projects/IgD1MRlpLEVTTZ-Ls6bnn9TtAVuyhAjFGiiMISEnrrDB2JQ?e=iFAJhB" xr:uid="{F5A3E882-CF7E-49DD-9120-5745C8AD5596}"/>
    <hyperlink ref="AU22" r:id="rId11" display="../../../../../../../../../:f:/s/02.Projects/IgDFP52OzY1bRYAxoArNl5H4AU5rzp0VjLURdjSX78gggHs?e=HCjBWo" xr:uid="{A3F13C2A-8E61-45E2-8494-163DC0653EDF}"/>
    <hyperlink ref="AU23" r:id="rId12" display="../../../../../../../../../:f:/s/02.Projects/IgCnF1AbuplIT7Wadl930VifAdj55ZnEdIdrlmwagaUeBNM?e=ZekDUh" xr:uid="{3D2AAB79-B97C-47CE-B9A9-8FD1E319BBF0}"/>
    <hyperlink ref="AU14" r:id="rId13" display="../../../../../../../../../:f:/s/02.Projects/IgDx6Ba7dAKuTJ-bxn1Y00hLAbKtNB-omyRN-kUKlTOtxOM?e=C5AtXK" xr:uid="{67FB3CC4-53A7-4050-B07D-55932958043B}"/>
    <hyperlink ref="AV17" r:id="rId14" display="../../../../../../../../../:f:/s/02.Projects/IgC20Kw53YIoSqi0UZVEaec9AWTM5Xg4FsxHaL8_BB2WLJ4?e=gTowZE" xr:uid="{79899CA6-0A7E-4062-B02B-3DB744390D69}"/>
  </hyperlinks>
  <pageMargins left="0.7" right="0.7" top="0.75" bottom="0.75" header="0.3" footer="0.3"/>
  <pageSetup paperSize="9" scale="11" fitToHeight="0" orientation="landscape" r:id="rId15"/>
  <legacyDrawing r:id="rId16"/>
  <extLst>
    <ext xmlns:x14="http://schemas.microsoft.com/office/spreadsheetml/2009/9/main" uri="{CCE6A557-97BC-4b89-ADB6-D9C93CAAB3DF}">
      <x14:dataValidations xmlns:xm="http://schemas.microsoft.com/office/excel/2006/main" count="1">
        <x14:dataValidation type="list" allowBlank="1" showInputMessage="1" showErrorMessage="1" xr:uid="{0CD7181A-D7A7-45B4-BE77-C689FA131091}">
          <x14:formula1>
            <xm:f>Sheet1!$A$1:$A$19</xm:f>
          </x14:formula1>
          <xm:sqref>Y8:Y38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AD4CE-EF39-4DAB-BA2B-5118F8A49E13}">
  <sheetPr>
    <tabColor rgb="FFFFFF00"/>
  </sheetPr>
  <dimension ref="B1:U34"/>
  <sheetViews>
    <sheetView workbookViewId="0">
      <selection activeCell="D1" sqref="D1"/>
    </sheetView>
  </sheetViews>
  <sheetFormatPr defaultRowHeight="15" x14ac:dyDescent="0.25"/>
  <cols>
    <col min="1" max="1" width="5.28515625" customWidth="1"/>
    <col min="3" max="3" width="17" customWidth="1"/>
    <col min="4" max="4" width="12.7109375" customWidth="1"/>
    <col min="5" max="5" width="12.5703125" bestFit="1" customWidth="1"/>
  </cols>
  <sheetData>
    <row r="1" spans="2:21" ht="15.75" thickBot="1" x14ac:dyDescent="0.3"/>
    <row r="2" spans="2:21" x14ac:dyDescent="0.25">
      <c r="B2" s="91"/>
      <c r="C2" s="92" t="s">
        <v>240</v>
      </c>
      <c r="D2" s="93" t="s">
        <v>241</v>
      </c>
      <c r="E2" s="93" t="s">
        <v>242</v>
      </c>
      <c r="F2" s="93" t="s">
        <v>243</v>
      </c>
      <c r="G2" s="93" t="s">
        <v>243</v>
      </c>
      <c r="H2" s="93" t="s">
        <v>243</v>
      </c>
      <c r="I2" s="93" t="s">
        <v>243</v>
      </c>
      <c r="J2" s="93" t="s">
        <v>243</v>
      </c>
      <c r="K2" s="93" t="s">
        <v>243</v>
      </c>
      <c r="L2" s="93" t="s">
        <v>243</v>
      </c>
      <c r="M2" s="93" t="s">
        <v>243</v>
      </c>
      <c r="N2" s="93" t="s">
        <v>243</v>
      </c>
      <c r="O2" s="93" t="s">
        <v>243</v>
      </c>
      <c r="P2" s="93" t="s">
        <v>243</v>
      </c>
      <c r="Q2" s="93" t="s">
        <v>243</v>
      </c>
      <c r="R2" s="93" t="s">
        <v>243</v>
      </c>
      <c r="S2" s="93" t="s">
        <v>243</v>
      </c>
      <c r="T2" s="93" t="s">
        <v>243</v>
      </c>
      <c r="U2" s="94" t="s">
        <v>243</v>
      </c>
    </row>
    <row r="3" spans="2:21" x14ac:dyDescent="0.25">
      <c r="B3" s="95"/>
      <c r="C3" s="86"/>
      <c r="D3" s="87">
        <v>46121</v>
      </c>
      <c r="E3" s="87">
        <v>46173</v>
      </c>
      <c r="F3" s="88" t="s">
        <v>244</v>
      </c>
      <c r="G3" s="88" t="s">
        <v>244</v>
      </c>
      <c r="H3" s="88" t="s">
        <v>244</v>
      </c>
      <c r="I3" s="88" t="s">
        <v>244</v>
      </c>
      <c r="J3" s="88" t="s">
        <v>244</v>
      </c>
      <c r="K3" s="88" t="s">
        <v>244</v>
      </c>
      <c r="L3" s="88" t="s">
        <v>244</v>
      </c>
      <c r="M3" s="88" t="s">
        <v>244</v>
      </c>
      <c r="N3" s="88" t="s">
        <v>244</v>
      </c>
      <c r="O3" s="88" t="s">
        <v>244</v>
      </c>
      <c r="P3" s="88" t="s">
        <v>244</v>
      </c>
      <c r="Q3" s="88" t="s">
        <v>244</v>
      </c>
      <c r="R3" s="88" t="s">
        <v>244</v>
      </c>
      <c r="S3" s="88" t="s">
        <v>244</v>
      </c>
      <c r="T3" s="88" t="s">
        <v>244</v>
      </c>
      <c r="U3" s="96" t="s">
        <v>244</v>
      </c>
    </row>
    <row r="4" spans="2:21" x14ac:dyDescent="0.25">
      <c r="B4" s="97" t="s">
        <v>123</v>
      </c>
      <c r="C4" s="89">
        <f t="shared" ref="C4" si="0">SUM(D4:U4)</f>
        <v>5176.25</v>
      </c>
      <c r="D4" s="90"/>
      <c r="E4" s="90">
        <v>5176.25</v>
      </c>
      <c r="F4" s="90"/>
      <c r="G4" s="90"/>
      <c r="H4" s="90"/>
      <c r="I4" s="90"/>
      <c r="J4" s="90"/>
      <c r="K4" s="90"/>
      <c r="L4" s="90"/>
      <c r="M4" s="90"/>
      <c r="N4" s="90"/>
      <c r="O4" s="90"/>
      <c r="P4" s="90"/>
      <c r="Q4" s="90"/>
      <c r="R4" s="90"/>
      <c r="S4" s="90"/>
      <c r="T4" s="90"/>
      <c r="U4" s="98"/>
    </row>
    <row r="5" spans="2:21" x14ac:dyDescent="0.25">
      <c r="B5" s="97" t="s">
        <v>192</v>
      </c>
      <c r="C5" s="89">
        <f>SUM(D5:U5)</f>
        <v>26461.25</v>
      </c>
      <c r="D5" s="90">
        <v>19052.5</v>
      </c>
      <c r="E5" s="90">
        <v>7408.75</v>
      </c>
      <c r="F5" s="90"/>
      <c r="G5" s="90"/>
      <c r="H5" s="90"/>
      <c r="I5" s="90"/>
      <c r="J5" s="90"/>
      <c r="K5" s="90"/>
      <c r="L5" s="90"/>
      <c r="M5" s="90"/>
      <c r="N5" s="90"/>
      <c r="O5" s="90"/>
      <c r="P5" s="90"/>
      <c r="Q5" s="90"/>
      <c r="R5" s="90"/>
      <c r="S5" s="90"/>
      <c r="T5" s="90"/>
      <c r="U5" s="98"/>
    </row>
    <row r="6" spans="2:21" x14ac:dyDescent="0.25">
      <c r="B6" s="97" t="s">
        <v>245</v>
      </c>
      <c r="C6" s="89">
        <f t="shared" ref="C6:C8" si="1">SUM(D6:U6)</f>
        <v>3056.25</v>
      </c>
      <c r="D6" s="90"/>
      <c r="E6" s="90">
        <v>3056.25</v>
      </c>
      <c r="F6" s="90"/>
      <c r="G6" s="90"/>
      <c r="H6" s="90"/>
      <c r="I6" s="90"/>
      <c r="J6" s="90"/>
      <c r="K6" s="90"/>
      <c r="L6" s="90"/>
      <c r="M6" s="90"/>
      <c r="N6" s="90"/>
      <c r="O6" s="90"/>
      <c r="P6" s="90"/>
      <c r="Q6" s="90"/>
      <c r="R6" s="90"/>
      <c r="S6" s="90"/>
      <c r="T6" s="90"/>
      <c r="U6" s="98"/>
    </row>
    <row r="7" spans="2:21" x14ac:dyDescent="0.25">
      <c r="B7" s="97" t="s">
        <v>246</v>
      </c>
      <c r="C7" s="89">
        <f t="shared" si="1"/>
        <v>2197.5</v>
      </c>
      <c r="D7" s="90"/>
      <c r="E7" s="90">
        <v>2197.5</v>
      </c>
      <c r="F7" s="90"/>
      <c r="G7" s="90"/>
      <c r="H7" s="90"/>
      <c r="I7" s="90"/>
      <c r="J7" s="90"/>
      <c r="K7" s="90"/>
      <c r="L7" s="90"/>
      <c r="M7" s="90"/>
      <c r="N7" s="90"/>
      <c r="O7" s="90"/>
      <c r="P7" s="90"/>
      <c r="Q7" s="90"/>
      <c r="R7" s="90"/>
      <c r="S7" s="90"/>
      <c r="T7" s="90"/>
      <c r="U7" s="98"/>
    </row>
    <row r="8" spans="2:21" x14ac:dyDescent="0.25">
      <c r="B8" s="97" t="s">
        <v>247</v>
      </c>
      <c r="C8" s="89">
        <f t="shared" si="1"/>
        <v>2861.25</v>
      </c>
      <c r="D8" s="90"/>
      <c r="E8" s="90">
        <v>2861.25</v>
      </c>
      <c r="F8" s="90"/>
      <c r="G8" s="90"/>
      <c r="H8" s="90"/>
      <c r="I8" s="90"/>
      <c r="J8" s="90"/>
      <c r="K8" s="90"/>
      <c r="L8" s="90"/>
      <c r="M8" s="90"/>
      <c r="N8" s="90"/>
      <c r="O8" s="90"/>
      <c r="P8" s="90"/>
      <c r="Q8" s="90"/>
      <c r="R8" s="90"/>
      <c r="S8" s="90"/>
      <c r="T8" s="90"/>
      <c r="U8" s="98"/>
    </row>
    <row r="9" spans="2:21" x14ac:dyDescent="0.25">
      <c r="B9" s="97"/>
      <c r="C9" s="86"/>
      <c r="U9" s="99"/>
    </row>
    <row r="10" spans="2:21" x14ac:dyDescent="0.25">
      <c r="B10" s="97"/>
      <c r="C10" s="86"/>
      <c r="U10" s="99"/>
    </row>
    <row r="11" spans="2:21" x14ac:dyDescent="0.25">
      <c r="B11" s="97"/>
      <c r="C11" s="86"/>
      <c r="U11" s="99"/>
    </row>
    <row r="12" spans="2:21" x14ac:dyDescent="0.25">
      <c r="B12" s="97"/>
      <c r="C12" s="86"/>
      <c r="U12" s="99"/>
    </row>
    <row r="13" spans="2:21" x14ac:dyDescent="0.25">
      <c r="B13" s="97"/>
      <c r="C13" s="86"/>
      <c r="U13" s="99"/>
    </row>
    <row r="14" spans="2:21" x14ac:dyDescent="0.25">
      <c r="B14" s="97"/>
      <c r="C14" s="86"/>
      <c r="U14" s="99"/>
    </row>
    <row r="15" spans="2:21" x14ac:dyDescent="0.25">
      <c r="B15" s="97"/>
      <c r="C15" s="86"/>
      <c r="U15" s="99"/>
    </row>
    <row r="16" spans="2:21" x14ac:dyDescent="0.25">
      <c r="B16" s="97"/>
      <c r="C16" s="86"/>
      <c r="U16" s="99"/>
    </row>
    <row r="17" spans="2:21" x14ac:dyDescent="0.25">
      <c r="B17" s="97"/>
      <c r="C17" s="86"/>
      <c r="U17" s="99"/>
    </row>
    <row r="18" spans="2:21" x14ac:dyDescent="0.25">
      <c r="B18" s="97"/>
      <c r="C18" s="86"/>
      <c r="U18" s="99"/>
    </row>
    <row r="19" spans="2:21" x14ac:dyDescent="0.25">
      <c r="B19" s="97"/>
      <c r="C19" s="86"/>
      <c r="U19" s="99"/>
    </row>
    <row r="20" spans="2:21" x14ac:dyDescent="0.25">
      <c r="B20" s="97"/>
      <c r="C20" s="86"/>
      <c r="U20" s="99"/>
    </row>
    <row r="21" spans="2:21" x14ac:dyDescent="0.25">
      <c r="B21" s="97"/>
      <c r="C21" s="86"/>
      <c r="U21" s="99"/>
    </row>
    <row r="22" spans="2:21" x14ac:dyDescent="0.25">
      <c r="B22" s="97"/>
      <c r="C22" s="86"/>
      <c r="U22" s="99"/>
    </row>
    <row r="23" spans="2:21" x14ac:dyDescent="0.25">
      <c r="B23" s="97"/>
      <c r="C23" s="86"/>
      <c r="U23" s="99"/>
    </row>
    <row r="24" spans="2:21" x14ac:dyDescent="0.25">
      <c r="B24" s="97"/>
      <c r="C24" s="86"/>
      <c r="U24" s="99"/>
    </row>
    <row r="25" spans="2:21" x14ac:dyDescent="0.25">
      <c r="B25" s="97"/>
      <c r="C25" s="86"/>
      <c r="U25" s="99"/>
    </row>
    <row r="26" spans="2:21" x14ac:dyDescent="0.25">
      <c r="B26" s="97"/>
      <c r="C26" s="86"/>
      <c r="U26" s="99"/>
    </row>
    <row r="27" spans="2:21" x14ac:dyDescent="0.25">
      <c r="B27" s="97"/>
      <c r="C27" s="86"/>
      <c r="U27" s="99"/>
    </row>
    <row r="28" spans="2:21" x14ac:dyDescent="0.25">
      <c r="B28" s="97"/>
      <c r="C28" s="86"/>
      <c r="U28" s="99"/>
    </row>
    <row r="29" spans="2:21" x14ac:dyDescent="0.25">
      <c r="B29" s="97"/>
      <c r="C29" s="86"/>
      <c r="U29" s="99"/>
    </row>
    <row r="30" spans="2:21" x14ac:dyDescent="0.25">
      <c r="B30" s="97"/>
      <c r="C30" s="86"/>
      <c r="U30" s="99"/>
    </row>
    <row r="31" spans="2:21" x14ac:dyDescent="0.25">
      <c r="B31" s="97"/>
      <c r="C31" s="86"/>
      <c r="U31" s="99"/>
    </row>
    <row r="32" spans="2:21" x14ac:dyDescent="0.25">
      <c r="B32" s="97"/>
      <c r="C32" s="86"/>
      <c r="U32" s="99"/>
    </row>
    <row r="33" spans="2:21" x14ac:dyDescent="0.25">
      <c r="B33" s="97"/>
      <c r="C33" s="86"/>
      <c r="U33" s="99"/>
    </row>
    <row r="34" spans="2:21" ht="15.75" thickBot="1" x14ac:dyDescent="0.3">
      <c r="B34" s="100"/>
      <c r="C34" s="101"/>
      <c r="D34" s="102"/>
      <c r="E34" s="102"/>
      <c r="F34" s="102"/>
      <c r="G34" s="102"/>
      <c r="H34" s="102"/>
      <c r="I34" s="102"/>
      <c r="J34" s="102"/>
      <c r="K34" s="102"/>
      <c r="L34" s="102"/>
      <c r="M34" s="102"/>
      <c r="N34" s="102"/>
      <c r="O34" s="102"/>
      <c r="P34" s="102"/>
      <c r="Q34" s="102"/>
      <c r="R34" s="102"/>
      <c r="S34" s="102"/>
      <c r="T34" s="102"/>
      <c r="U34" s="10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10C60-ABAE-4A1E-A0D3-3412A3907FDD}">
  <dimension ref="A1:U18"/>
  <sheetViews>
    <sheetView workbookViewId="0">
      <selection sqref="A1:D1"/>
    </sheetView>
  </sheetViews>
  <sheetFormatPr defaultRowHeight="15" x14ac:dyDescent="0.25"/>
  <cols>
    <col min="1" max="18" width="12.28515625" style="36" customWidth="1"/>
  </cols>
  <sheetData>
    <row r="1" spans="1:21" x14ac:dyDescent="0.25">
      <c r="A1" s="104" t="s">
        <v>248</v>
      </c>
      <c r="B1" s="104"/>
      <c r="C1" s="104"/>
      <c r="D1" s="104"/>
      <c r="E1" s="40"/>
      <c r="F1" s="35"/>
      <c r="G1" s="35"/>
      <c r="H1" s="35"/>
      <c r="I1" s="35"/>
      <c r="J1" s="35"/>
      <c r="K1" s="35"/>
      <c r="L1" s="35"/>
      <c r="M1" s="35"/>
      <c r="N1" s="35"/>
      <c r="O1" s="35"/>
      <c r="P1" s="35"/>
      <c r="Q1" s="35"/>
      <c r="R1" s="35"/>
      <c r="S1" s="11"/>
      <c r="T1" s="11"/>
      <c r="U1" s="11"/>
    </row>
    <row r="2" spans="1:21" x14ac:dyDescent="0.25">
      <c r="A2" s="37" t="s">
        <v>249</v>
      </c>
      <c r="B2" s="37"/>
      <c r="C2" s="37"/>
      <c r="D2" s="38"/>
      <c r="E2" s="38"/>
    </row>
    <row r="3" spans="1:21" x14ac:dyDescent="0.25">
      <c r="A3" t="s">
        <v>250</v>
      </c>
      <c r="B3"/>
      <c r="C3"/>
      <c r="D3"/>
      <c r="E3"/>
    </row>
    <row r="4" spans="1:21" x14ac:dyDescent="0.25">
      <c r="A4"/>
      <c r="B4"/>
      <c r="C4"/>
      <c r="D4"/>
      <c r="E4"/>
    </row>
    <row r="5" spans="1:21" x14ac:dyDescent="0.25">
      <c r="A5"/>
      <c r="B5"/>
      <c r="C5"/>
      <c r="D5"/>
      <c r="E5"/>
    </row>
    <row r="6" spans="1:21" x14ac:dyDescent="0.25">
      <c r="A6"/>
      <c r="B6"/>
      <c r="C6"/>
      <c r="D6"/>
      <c r="E6"/>
    </row>
    <row r="7" spans="1:21" x14ac:dyDescent="0.25">
      <c r="A7" t="s">
        <v>251</v>
      </c>
      <c r="B7"/>
      <c r="C7"/>
      <c r="D7"/>
      <c r="E7"/>
    </row>
    <row r="8" spans="1:21" x14ac:dyDescent="0.25">
      <c r="A8"/>
      <c r="B8"/>
      <c r="C8"/>
      <c r="D8"/>
      <c r="E8"/>
    </row>
    <row r="9" spans="1:21" x14ac:dyDescent="0.25">
      <c r="A9" t="s">
        <v>252</v>
      </c>
      <c r="B9"/>
      <c r="C9"/>
      <c r="D9"/>
      <c r="E9"/>
    </row>
    <row r="10" spans="1:21" x14ac:dyDescent="0.25">
      <c r="A10"/>
      <c r="B10"/>
      <c r="C10"/>
      <c r="D10"/>
      <c r="E10"/>
    </row>
    <row r="11" spans="1:21" x14ac:dyDescent="0.25">
      <c r="A11" s="37" t="s">
        <v>253</v>
      </c>
      <c r="B11" s="37"/>
      <c r="C11" s="37"/>
      <c r="D11" s="38"/>
      <c r="E11" s="38"/>
    </row>
    <row r="12" spans="1:21" x14ac:dyDescent="0.25">
      <c r="A12" t="s">
        <v>250</v>
      </c>
      <c r="B12"/>
      <c r="C12"/>
      <c r="D12"/>
      <c r="E12"/>
    </row>
    <row r="13" spans="1:21" x14ac:dyDescent="0.25">
      <c r="A13"/>
      <c r="B13"/>
      <c r="C13"/>
      <c r="D13"/>
      <c r="E13"/>
    </row>
    <row r="14" spans="1:21" x14ac:dyDescent="0.25">
      <c r="A14"/>
      <c r="B14"/>
      <c r="C14"/>
      <c r="D14"/>
      <c r="E14"/>
    </row>
    <row r="15" spans="1:21" x14ac:dyDescent="0.25">
      <c r="A15"/>
      <c r="B15"/>
      <c r="C15"/>
      <c r="D15"/>
      <c r="E15"/>
    </row>
    <row r="16" spans="1:21" x14ac:dyDescent="0.25">
      <c r="A16" t="s">
        <v>251</v>
      </c>
      <c r="B16"/>
      <c r="C16"/>
      <c r="D16"/>
      <c r="E16"/>
    </row>
    <row r="17" spans="1:5" x14ac:dyDescent="0.25">
      <c r="A17"/>
      <c r="B17"/>
      <c r="C17"/>
      <c r="D17"/>
      <c r="E17"/>
    </row>
    <row r="18" spans="1:5" x14ac:dyDescent="0.25">
      <c r="A18" t="s">
        <v>252</v>
      </c>
      <c r="B18"/>
      <c r="C18"/>
      <c r="D18"/>
      <c r="E18"/>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BCDD-FEEF-477E-A64A-CA6EF9AEE092}">
  <dimension ref="A1:U51"/>
  <sheetViews>
    <sheetView workbookViewId="0">
      <selection activeCell="A16" sqref="A16:B36"/>
    </sheetView>
  </sheetViews>
  <sheetFormatPr defaultRowHeight="15" outlineLevelRow="1" x14ac:dyDescent="0.25"/>
  <cols>
    <col min="1" max="1" width="42.5703125" customWidth="1"/>
    <col min="2" max="2" width="16.5703125" customWidth="1"/>
  </cols>
  <sheetData>
    <row r="1" spans="1:21" ht="28.9" customHeight="1" x14ac:dyDescent="0.25">
      <c r="A1" s="104" t="s">
        <v>254</v>
      </c>
      <c r="B1" s="104"/>
      <c r="C1" s="104"/>
      <c r="D1" s="104"/>
      <c r="E1" s="40"/>
      <c r="F1" s="35"/>
      <c r="G1" s="35"/>
      <c r="H1" s="35"/>
      <c r="I1" s="35"/>
      <c r="J1" s="35"/>
      <c r="K1" s="35"/>
      <c r="L1" s="35"/>
      <c r="M1" s="35"/>
      <c r="N1" s="35"/>
      <c r="O1" s="35"/>
      <c r="P1" s="35"/>
      <c r="Q1" s="35"/>
      <c r="R1" s="35"/>
      <c r="S1" s="11"/>
      <c r="T1" s="35"/>
      <c r="U1" s="35"/>
    </row>
    <row r="2" spans="1:21" x14ac:dyDescent="0.25">
      <c r="A2" s="37" t="s">
        <v>249</v>
      </c>
      <c r="B2" s="37"/>
      <c r="C2" s="37"/>
      <c r="D2" s="38"/>
      <c r="E2" s="38"/>
      <c r="F2" s="36"/>
      <c r="G2" s="36"/>
      <c r="H2" s="36"/>
      <c r="I2" s="36"/>
      <c r="J2" s="36"/>
      <c r="K2" s="36"/>
      <c r="L2" s="36"/>
      <c r="M2" s="36"/>
      <c r="N2" s="36"/>
      <c r="O2" s="36"/>
      <c r="P2" s="36"/>
      <c r="Q2" s="36"/>
      <c r="R2" s="36"/>
      <c r="T2" s="36"/>
      <c r="U2" s="36"/>
    </row>
    <row r="3" spans="1:21" x14ac:dyDescent="0.25">
      <c r="A3" t="s">
        <v>250</v>
      </c>
    </row>
    <row r="8" spans="1:21" x14ac:dyDescent="0.25">
      <c r="A8" s="42" t="s">
        <v>255</v>
      </c>
    </row>
    <row r="9" spans="1:21" x14ac:dyDescent="0.25">
      <c r="A9" s="37" t="s">
        <v>253</v>
      </c>
      <c r="B9" s="37"/>
      <c r="C9" s="37"/>
      <c r="D9" s="38"/>
      <c r="E9" s="38"/>
    </row>
    <row r="10" spans="1:21" x14ac:dyDescent="0.25">
      <c r="A10" t="s">
        <v>250</v>
      </c>
    </row>
    <row r="13" spans="1:21" ht="13.9" hidden="1" customHeight="1" outlineLevel="1" x14ac:dyDescent="0.25">
      <c r="A13" s="55" t="s">
        <v>256</v>
      </c>
      <c r="B13" s="56">
        <v>1016</v>
      </c>
    </row>
    <row r="14" spans="1:21" ht="13.9" hidden="1" customHeight="1" outlineLevel="1" x14ac:dyDescent="0.25">
      <c r="A14" s="55" t="s">
        <v>257</v>
      </c>
      <c r="B14" s="56">
        <v>4158</v>
      </c>
    </row>
    <row r="15" spans="1:21" ht="13.9" hidden="1" customHeight="1" outlineLevel="1" x14ac:dyDescent="0.25">
      <c r="A15" s="55" t="s">
        <v>258</v>
      </c>
      <c r="B15" s="56">
        <v>3000</v>
      </c>
    </row>
    <row r="16" spans="1:21" collapsed="1" x14ac:dyDescent="0.25">
      <c r="A16" s="57" t="s">
        <v>259</v>
      </c>
      <c r="B16" s="58">
        <f>SUM(B13:B15)</f>
        <v>8174</v>
      </c>
    </row>
    <row r="17" spans="1:2" ht="13.9" hidden="1" customHeight="1" x14ac:dyDescent="0.25">
      <c r="A17" s="57" t="s">
        <v>260</v>
      </c>
      <c r="B17" s="59">
        <v>0</v>
      </c>
    </row>
    <row r="18" spans="1:2" ht="13.9" hidden="1" customHeight="1" x14ac:dyDescent="0.25">
      <c r="A18" s="57" t="s">
        <v>261</v>
      </c>
      <c r="B18" s="59">
        <v>0</v>
      </c>
    </row>
    <row r="19" spans="1:2" ht="13.9" hidden="1" customHeight="1" x14ac:dyDescent="0.25">
      <c r="A19" s="57" t="s">
        <v>262</v>
      </c>
      <c r="B19" s="59">
        <v>0</v>
      </c>
    </row>
    <row r="20" spans="1:2" ht="13.9" customHeight="1" x14ac:dyDescent="0.25">
      <c r="A20" s="57" t="s">
        <v>263</v>
      </c>
      <c r="B20" s="60">
        <v>1036</v>
      </c>
    </row>
    <row r="21" spans="1:2" ht="13.9" hidden="1" customHeight="1" outlineLevel="1" x14ac:dyDescent="0.25">
      <c r="A21" s="61" t="s">
        <v>264</v>
      </c>
      <c r="B21" s="62">
        <v>900</v>
      </c>
    </row>
    <row r="22" spans="1:2" ht="13.9" hidden="1" customHeight="1" outlineLevel="1" x14ac:dyDescent="0.25">
      <c r="A22" s="61" t="s">
        <v>265</v>
      </c>
      <c r="B22" s="63">
        <v>2238</v>
      </c>
    </row>
    <row r="23" spans="1:2" ht="13.9" hidden="1" customHeight="1" outlineLevel="1" x14ac:dyDescent="0.25">
      <c r="A23" s="61" t="s">
        <v>266</v>
      </c>
      <c r="B23" s="63">
        <v>7370</v>
      </c>
    </row>
    <row r="24" spans="1:2" ht="13.9" customHeight="1" collapsed="1" x14ac:dyDescent="0.25">
      <c r="A24" s="57" t="s">
        <v>267</v>
      </c>
      <c r="B24" s="58">
        <f>SUM(B21:B23)</f>
        <v>10508</v>
      </c>
    </row>
    <row r="25" spans="1:2" ht="13.9" hidden="1" customHeight="1" outlineLevel="1" x14ac:dyDescent="0.25">
      <c r="A25" s="57" t="s">
        <v>268</v>
      </c>
      <c r="B25" s="60">
        <v>5000</v>
      </c>
    </row>
    <row r="26" spans="1:2" ht="13.9" hidden="1" customHeight="1" outlineLevel="1" x14ac:dyDescent="0.25">
      <c r="A26" s="57" t="s">
        <v>269</v>
      </c>
      <c r="B26" s="60">
        <v>5000</v>
      </c>
    </row>
    <row r="27" spans="1:2" ht="13.9" hidden="1" customHeight="1" outlineLevel="1" x14ac:dyDescent="0.25">
      <c r="A27" s="57" t="s">
        <v>270</v>
      </c>
      <c r="B27" s="60">
        <v>1500</v>
      </c>
    </row>
    <row r="28" spans="1:2" ht="13.9" customHeight="1" collapsed="1" x14ac:dyDescent="0.25">
      <c r="A28" s="57" t="s">
        <v>271</v>
      </c>
      <c r="B28" s="60">
        <f>SUM(B25:B27)</f>
        <v>11500</v>
      </c>
    </row>
    <row r="29" spans="1:2" ht="13.9" customHeight="1" x14ac:dyDescent="0.25">
      <c r="A29" s="64" t="s">
        <v>272</v>
      </c>
      <c r="B29" s="65">
        <v>31217</v>
      </c>
    </row>
    <row r="30" spans="1:2" ht="13.9" customHeight="1" x14ac:dyDescent="0.25">
      <c r="A30" s="57" t="s">
        <v>273</v>
      </c>
      <c r="B30" s="60">
        <f>B29*0.2</f>
        <v>6243.4000000000005</v>
      </c>
    </row>
    <row r="31" spans="1:2" ht="13.9" customHeight="1" x14ac:dyDescent="0.25">
      <c r="A31" s="57" t="s">
        <v>274</v>
      </c>
      <c r="B31" s="60">
        <v>3083</v>
      </c>
    </row>
    <row r="32" spans="1:2" ht="13.9" customHeight="1" x14ac:dyDescent="0.25">
      <c r="A32" s="64" t="s">
        <v>255</v>
      </c>
      <c r="B32" s="65">
        <f>SUM(B29:B31)</f>
        <v>40543.4</v>
      </c>
    </row>
    <row r="33" spans="1:2" ht="13.9" customHeight="1" x14ac:dyDescent="0.25">
      <c r="A33" s="57" t="s">
        <v>275</v>
      </c>
      <c r="B33" s="60">
        <f>B32*0.2</f>
        <v>8108.68</v>
      </c>
    </row>
    <row r="34" spans="1:2" ht="13.9" customHeight="1" x14ac:dyDescent="0.25">
      <c r="A34" s="57" t="s">
        <v>276</v>
      </c>
      <c r="B34" s="60">
        <v>10000</v>
      </c>
    </row>
    <row r="35" spans="1:2" ht="10.9" customHeight="1" x14ac:dyDescent="0.25">
      <c r="A35" s="57"/>
      <c r="B35" s="60"/>
    </row>
    <row r="36" spans="1:2" ht="13.9" customHeight="1" x14ac:dyDescent="0.25">
      <c r="A36" s="66" t="s">
        <v>255</v>
      </c>
      <c r="B36" s="67">
        <f>SUM(B32:B34)</f>
        <v>58652.08</v>
      </c>
    </row>
    <row r="47" spans="1:2" x14ac:dyDescent="0.25">
      <c r="A47" t="s">
        <v>251</v>
      </c>
    </row>
    <row r="49" spans="1:1" x14ac:dyDescent="0.25">
      <c r="A49" t="s">
        <v>252</v>
      </c>
    </row>
    <row r="51" spans="1:1" x14ac:dyDescent="0.25">
      <c r="A51" s="42" t="s">
        <v>255</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DA0C-3C26-4AF3-9A7C-8D2F617DF4DE}">
  <dimension ref="A1:U18"/>
  <sheetViews>
    <sheetView workbookViewId="0">
      <selection sqref="A1:E1"/>
    </sheetView>
  </sheetViews>
  <sheetFormatPr defaultRowHeight="15" x14ac:dyDescent="0.25"/>
  <sheetData>
    <row r="1" spans="1:21" ht="14.45" customHeight="1" x14ac:dyDescent="0.25">
      <c r="A1" s="104" t="s">
        <v>277</v>
      </c>
      <c r="B1" s="104"/>
      <c r="C1" s="104"/>
      <c r="D1" s="104"/>
      <c r="E1" s="39"/>
      <c r="F1" s="35"/>
      <c r="G1" s="35"/>
      <c r="H1" s="35"/>
      <c r="I1" s="35"/>
      <c r="J1" s="35"/>
      <c r="K1" s="35"/>
      <c r="L1" s="35"/>
      <c r="M1" s="35"/>
      <c r="N1" s="35"/>
      <c r="O1" s="35"/>
      <c r="P1" s="35"/>
      <c r="Q1" s="35"/>
      <c r="R1" s="35"/>
      <c r="S1" s="11"/>
      <c r="T1" s="11"/>
      <c r="U1" s="11"/>
    </row>
    <row r="2" spans="1:21" x14ac:dyDescent="0.25">
      <c r="A2" s="37" t="s">
        <v>249</v>
      </c>
      <c r="B2" s="37"/>
      <c r="C2" s="37"/>
      <c r="D2" s="38"/>
      <c r="E2" s="38"/>
      <c r="F2" s="36"/>
      <c r="G2" s="36"/>
      <c r="H2" s="36"/>
      <c r="I2" s="36"/>
      <c r="J2" s="36"/>
      <c r="K2" s="36"/>
      <c r="L2" s="36"/>
      <c r="M2" s="36"/>
      <c r="N2" s="36"/>
      <c r="O2" s="36"/>
      <c r="P2" s="36"/>
      <c r="Q2" s="36"/>
      <c r="R2" s="36"/>
    </row>
    <row r="3" spans="1:21" x14ac:dyDescent="0.25">
      <c r="A3" t="s">
        <v>250</v>
      </c>
    </row>
    <row r="7" spans="1:21" x14ac:dyDescent="0.25">
      <c r="A7" t="s">
        <v>251</v>
      </c>
    </row>
    <row r="9" spans="1:21" x14ac:dyDescent="0.25">
      <c r="A9" t="s">
        <v>252</v>
      </c>
    </row>
    <row r="11" spans="1:21" x14ac:dyDescent="0.25">
      <c r="A11" s="37" t="s">
        <v>253</v>
      </c>
      <c r="B11" s="37"/>
      <c r="C11" s="37"/>
      <c r="D11" s="38"/>
      <c r="E11" s="38"/>
    </row>
    <row r="12" spans="1:21" x14ac:dyDescent="0.25">
      <c r="A12" t="s">
        <v>250</v>
      </c>
    </row>
    <row r="16" spans="1:21" x14ac:dyDescent="0.25">
      <c r="A16" t="s">
        <v>251</v>
      </c>
    </row>
    <row r="18" spans="1:1" x14ac:dyDescent="0.25">
      <c r="A18" t="s">
        <v>252</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06CEA-3A80-400E-AD87-E71096857112}">
  <dimension ref="A1:U18"/>
  <sheetViews>
    <sheetView workbookViewId="0">
      <selection activeCell="I10" sqref="I10"/>
    </sheetView>
  </sheetViews>
  <sheetFormatPr defaultRowHeight="15" x14ac:dyDescent="0.25"/>
  <cols>
    <col min="20" max="21" width="8.85546875" style="36"/>
  </cols>
  <sheetData>
    <row r="1" spans="1:21" ht="14.45" customHeight="1" x14ac:dyDescent="0.25">
      <c r="A1" s="41" t="s">
        <v>278</v>
      </c>
      <c r="B1" s="41"/>
      <c r="C1" s="41"/>
      <c r="D1" s="41"/>
      <c r="E1" s="41"/>
      <c r="F1" s="35"/>
      <c r="G1" s="35"/>
      <c r="H1" s="35"/>
      <c r="I1" s="35"/>
      <c r="J1" s="35"/>
      <c r="K1" s="35"/>
      <c r="L1" s="35"/>
      <c r="M1" s="35"/>
      <c r="N1" s="35"/>
      <c r="O1" s="35"/>
      <c r="P1" s="35"/>
      <c r="Q1" s="35"/>
      <c r="R1" s="35"/>
      <c r="S1" s="11"/>
      <c r="T1" s="35"/>
      <c r="U1" s="35"/>
    </row>
    <row r="2" spans="1:21" x14ac:dyDescent="0.25">
      <c r="A2" s="37" t="s">
        <v>249</v>
      </c>
      <c r="B2" s="37"/>
      <c r="C2" s="37"/>
      <c r="D2" s="38"/>
      <c r="E2" s="38"/>
      <c r="F2" s="36"/>
      <c r="G2" s="36"/>
      <c r="H2" s="36"/>
      <c r="I2" s="36"/>
      <c r="J2" s="36"/>
      <c r="K2" s="36"/>
      <c r="L2" s="36"/>
      <c r="M2" s="36"/>
      <c r="N2" s="36"/>
      <c r="O2" s="36"/>
      <c r="P2" s="36"/>
      <c r="Q2" s="36"/>
      <c r="R2" s="36"/>
    </row>
    <row r="3" spans="1:21" x14ac:dyDescent="0.25">
      <c r="A3" t="s">
        <v>250</v>
      </c>
    </row>
    <row r="7" spans="1:21" x14ac:dyDescent="0.25">
      <c r="A7" t="s">
        <v>251</v>
      </c>
    </row>
    <row r="9" spans="1:21" x14ac:dyDescent="0.25">
      <c r="A9" t="s">
        <v>252</v>
      </c>
    </row>
    <row r="11" spans="1:21" x14ac:dyDescent="0.25">
      <c r="A11" s="37" t="s">
        <v>253</v>
      </c>
      <c r="B11" s="37"/>
      <c r="C11" s="37"/>
      <c r="D11" s="38"/>
      <c r="E11" s="38"/>
    </row>
    <row r="12" spans="1:21" x14ac:dyDescent="0.25">
      <c r="A12" t="s">
        <v>250</v>
      </c>
    </row>
    <row r="16" spans="1:21" x14ac:dyDescent="0.25">
      <c r="A16" t="s">
        <v>251</v>
      </c>
    </row>
    <row r="18" spans="1:1" x14ac:dyDescent="0.25">
      <c r="A18" t="s">
        <v>252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AA00F-2AB1-4144-9FA4-D25C83FFC384}">
  <dimension ref="A1:U21"/>
  <sheetViews>
    <sheetView workbookViewId="0">
      <selection activeCell="I22" sqref="I22"/>
    </sheetView>
  </sheetViews>
  <sheetFormatPr defaultRowHeight="15" x14ac:dyDescent="0.25"/>
  <sheetData>
    <row r="1" spans="1:21" ht="28.9" customHeight="1" x14ac:dyDescent="0.25">
      <c r="A1" s="104" t="s">
        <v>279</v>
      </c>
      <c r="B1" s="104"/>
      <c r="C1" s="104"/>
      <c r="D1" s="104"/>
      <c r="E1" s="40"/>
      <c r="F1" s="35"/>
      <c r="G1" s="35"/>
      <c r="H1" s="35"/>
      <c r="I1" s="35"/>
      <c r="J1" s="35"/>
      <c r="K1" s="35"/>
      <c r="L1" s="35"/>
      <c r="M1" s="35"/>
      <c r="N1" s="35"/>
      <c r="O1" s="35"/>
      <c r="P1" s="35"/>
      <c r="Q1" s="35"/>
      <c r="R1" s="35"/>
      <c r="S1" s="11"/>
      <c r="T1" s="35"/>
      <c r="U1" s="35"/>
    </row>
    <row r="2" spans="1:21" x14ac:dyDescent="0.25">
      <c r="A2" s="37" t="s">
        <v>249</v>
      </c>
      <c r="B2" s="37"/>
      <c r="C2" s="37"/>
      <c r="D2" s="38"/>
      <c r="E2" s="38"/>
      <c r="F2" s="36"/>
      <c r="G2" s="36"/>
      <c r="H2" s="36"/>
      <c r="I2" s="36"/>
      <c r="J2" s="36"/>
      <c r="K2" s="36"/>
      <c r="L2" s="36"/>
      <c r="M2" s="36"/>
      <c r="N2" s="36"/>
      <c r="O2" s="36"/>
      <c r="P2" s="36"/>
      <c r="Q2" s="36"/>
      <c r="R2" s="36"/>
      <c r="T2" s="36"/>
      <c r="U2" s="36"/>
    </row>
    <row r="3" spans="1:21" x14ac:dyDescent="0.25">
      <c r="A3" t="s">
        <v>250</v>
      </c>
    </row>
    <row r="7" spans="1:21" x14ac:dyDescent="0.25">
      <c r="A7" t="s">
        <v>251</v>
      </c>
    </row>
    <row r="9" spans="1:21" x14ac:dyDescent="0.25">
      <c r="A9" t="s">
        <v>252</v>
      </c>
    </row>
    <row r="11" spans="1:21" x14ac:dyDescent="0.25">
      <c r="A11" s="42" t="s">
        <v>255</v>
      </c>
    </row>
    <row r="12" spans="1:21" x14ac:dyDescent="0.25">
      <c r="A12" s="37" t="s">
        <v>253</v>
      </c>
      <c r="B12" s="37"/>
      <c r="C12" s="37"/>
      <c r="D12" s="38"/>
      <c r="E12" s="38"/>
    </row>
    <row r="13" spans="1:21" x14ac:dyDescent="0.25">
      <c r="A13" t="s">
        <v>250</v>
      </c>
    </row>
    <row r="17" spans="1:1" x14ac:dyDescent="0.25">
      <c r="A17" t="s">
        <v>251</v>
      </c>
    </row>
    <row r="19" spans="1:1" x14ac:dyDescent="0.25">
      <c r="A19" t="s">
        <v>252</v>
      </c>
    </row>
    <row r="21" spans="1:1" x14ac:dyDescent="0.25">
      <c r="A21" s="42" t="s">
        <v>255</v>
      </c>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C8E5A-B57A-4966-979F-BFF0F86D8487}">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CB7E4-811F-4D6E-B595-1B884401EF2E}">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1803-3F42-4AEB-8698-8512704E043A}">
  <dimension ref="A1"/>
  <sheetViews>
    <sheetView workbookViewId="0">
      <selection activeCell="A2" sqref="A2"/>
    </sheetView>
  </sheetViews>
  <sheetFormatPr defaultRowHeight="15" x14ac:dyDescent="0.25"/>
  <sheetData>
    <row r="1" spans="1:1" x14ac:dyDescent="0.25">
      <c r="A1" t="s">
        <v>280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72229-4E86-4A2C-A03A-F49AD388BF3B}">
  <dimension ref="A1"/>
  <sheetViews>
    <sheetView workbookViewId="0"/>
  </sheetViews>
  <sheetFormatPr defaultRowHeight="15" x14ac:dyDescent="0.25"/>
  <sheetData>
    <row r="1" spans="1:1" x14ac:dyDescent="0.25">
      <c r="A1" t="s">
        <v>281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91AC-C718-4A4D-B4BD-2F2CF3FA8900}">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1708-8BF3-4E36-B04D-E87D1AC53FE3}">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3A562-7D52-48FF-BAD1-30D19A35E8CB}">
  <dimension ref="A1"/>
  <sheetViews>
    <sheetView workbookViewId="0"/>
  </sheetViews>
  <sheetFormatPr defaultRowHeight="15" x14ac:dyDescent="0.25"/>
  <sheetData>
    <row r="1" spans="1:1" x14ac:dyDescent="0.25">
      <c r="A1" t="s">
        <v>282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A79E5-9D66-49DF-9BCB-4F2EAF0ECC7E}">
  <dimension ref="A1"/>
  <sheetViews>
    <sheetView workbookViewId="0"/>
  </sheetViews>
  <sheetFormatPr defaultRowHeight="15" x14ac:dyDescent="0.25"/>
  <sheetData>
    <row r="1" spans="1:1" x14ac:dyDescent="0.25">
      <c r="A1">
        <v>2101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62CC-E21E-44F8-8924-7AD4BDCBDD44}">
  <dimension ref="A1:A19"/>
  <sheetViews>
    <sheetView workbookViewId="0">
      <selection activeCell="A6" sqref="A6"/>
    </sheetView>
  </sheetViews>
  <sheetFormatPr defaultRowHeight="15" x14ac:dyDescent="0.25"/>
  <cols>
    <col min="1" max="1" width="58.28515625" customWidth="1"/>
  </cols>
  <sheetData>
    <row r="1" spans="1:1" x14ac:dyDescent="0.25">
      <c r="A1" t="s">
        <v>91</v>
      </c>
    </row>
    <row r="2" spans="1:1" s="53" customFormat="1" ht="34.9" customHeight="1" x14ac:dyDescent="0.25">
      <c r="A2" s="52" t="s">
        <v>283</v>
      </c>
    </row>
    <row r="3" spans="1:1" s="53" customFormat="1" ht="34.9" customHeight="1" x14ac:dyDescent="0.25">
      <c r="A3" s="54" t="s">
        <v>50</v>
      </c>
    </row>
    <row r="4" spans="1:1" s="53" customFormat="1" ht="34.9" customHeight="1" x14ac:dyDescent="0.25">
      <c r="A4" s="54" t="s">
        <v>51</v>
      </c>
    </row>
    <row r="5" spans="1:1" s="53" customFormat="1" ht="34.9" customHeight="1" x14ac:dyDescent="0.25">
      <c r="A5" s="54" t="s">
        <v>52</v>
      </c>
    </row>
    <row r="6" spans="1:1" s="53" customFormat="1" ht="34.9" customHeight="1" x14ac:dyDescent="0.25">
      <c r="A6" s="54" t="s">
        <v>53</v>
      </c>
    </row>
    <row r="7" spans="1:1" s="53" customFormat="1" ht="34.9" customHeight="1" x14ac:dyDescent="0.25">
      <c r="A7" s="54" t="s">
        <v>54</v>
      </c>
    </row>
    <row r="8" spans="1:1" s="53" customFormat="1" ht="34.9" customHeight="1" x14ac:dyDescent="0.25">
      <c r="A8" s="54" t="s">
        <v>55</v>
      </c>
    </row>
    <row r="9" spans="1:1" s="53" customFormat="1" ht="34.9" customHeight="1" x14ac:dyDescent="0.25">
      <c r="A9" s="54" t="s">
        <v>284</v>
      </c>
    </row>
    <row r="10" spans="1:1" s="53" customFormat="1" ht="34.9" customHeight="1" x14ac:dyDescent="0.25">
      <c r="A10" s="52" t="s">
        <v>56</v>
      </c>
    </row>
    <row r="11" spans="1:1" s="53" customFormat="1" ht="34.9" customHeight="1" x14ac:dyDescent="0.25">
      <c r="A11" s="54" t="s">
        <v>57</v>
      </c>
    </row>
    <row r="12" spans="1:1" s="53" customFormat="1" ht="34.9" customHeight="1" x14ac:dyDescent="0.25">
      <c r="A12" s="54" t="s">
        <v>58</v>
      </c>
    </row>
    <row r="13" spans="1:1" s="53" customFormat="1" ht="34.9" customHeight="1" x14ac:dyDescent="0.25">
      <c r="A13" s="52" t="s">
        <v>59</v>
      </c>
    </row>
    <row r="14" spans="1:1" s="53" customFormat="1" ht="34.9" customHeight="1" x14ac:dyDescent="0.25">
      <c r="A14" s="54" t="s">
        <v>60</v>
      </c>
    </row>
    <row r="15" spans="1:1" s="53" customFormat="1" ht="34.9" customHeight="1" x14ac:dyDescent="0.25">
      <c r="A15" s="52" t="s">
        <v>61</v>
      </c>
    </row>
    <row r="16" spans="1:1" s="53" customFormat="1" ht="34.9" customHeight="1" x14ac:dyDescent="0.25">
      <c r="A16" s="52" t="s">
        <v>62</v>
      </c>
    </row>
    <row r="17" spans="1:1" s="53" customFormat="1" ht="34.9" customHeight="1" x14ac:dyDescent="0.25">
      <c r="A17" s="52" t="s">
        <v>63</v>
      </c>
    </row>
    <row r="18" spans="1:1" s="53" customFormat="1" ht="34.9" customHeight="1" x14ac:dyDescent="0.25">
      <c r="A18" s="52" t="s">
        <v>64</v>
      </c>
    </row>
    <row r="19" spans="1:1" s="53" customFormat="1" ht="34.9" customHeight="1" x14ac:dyDescent="0.25">
      <c r="A19" s="52" t="s">
        <v>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8BA0-44B7-4425-A9B3-CDF3B2A0E1C3}">
  <dimension ref="A1:J19"/>
  <sheetViews>
    <sheetView workbookViewId="0">
      <selection activeCell="G2" sqref="G2"/>
    </sheetView>
  </sheetViews>
  <sheetFormatPr defaultRowHeight="15" x14ac:dyDescent="0.25"/>
  <cols>
    <col min="1" max="1" width="23" customWidth="1"/>
    <col min="2" max="2" width="23.7109375" customWidth="1"/>
    <col min="3" max="3" width="34.28515625" customWidth="1"/>
    <col min="4" max="4" width="35.7109375" customWidth="1"/>
    <col min="5" max="5" width="21.5703125" customWidth="1"/>
    <col min="6" max="6" width="39" customWidth="1"/>
    <col min="7" max="7" width="18.42578125" customWidth="1"/>
  </cols>
  <sheetData>
    <row r="1" spans="1:7" x14ac:dyDescent="0.25">
      <c r="A1" s="84" t="s">
        <v>285</v>
      </c>
      <c r="B1" s="84" t="s">
        <v>286</v>
      </c>
      <c r="C1" s="84" t="s">
        <v>287</v>
      </c>
      <c r="D1" s="84" t="s">
        <v>288</v>
      </c>
      <c r="E1" s="84" t="s">
        <v>289</v>
      </c>
      <c r="F1" s="84" t="s">
        <v>290</v>
      </c>
      <c r="G1" s="84" t="s">
        <v>291</v>
      </c>
    </row>
    <row r="2" spans="1:7" x14ac:dyDescent="0.25">
      <c r="A2" t="s">
        <v>292</v>
      </c>
      <c r="B2" t="s">
        <v>293</v>
      </c>
      <c r="C2" t="s">
        <v>294</v>
      </c>
      <c r="D2" t="s">
        <v>295</v>
      </c>
      <c r="E2" t="s">
        <v>296</v>
      </c>
      <c r="F2" t="s">
        <v>297</v>
      </c>
      <c r="G2" t="s">
        <v>298</v>
      </c>
    </row>
    <row r="3" spans="1:7" x14ac:dyDescent="0.25">
      <c r="A3" t="s">
        <v>245</v>
      </c>
      <c r="B3" t="s">
        <v>299</v>
      </c>
      <c r="C3" t="s">
        <v>300</v>
      </c>
      <c r="D3" t="s">
        <v>301</v>
      </c>
      <c r="E3" t="s">
        <v>302</v>
      </c>
      <c r="F3" t="s">
        <v>303</v>
      </c>
      <c r="G3" t="s">
        <v>304</v>
      </c>
    </row>
    <row r="4" spans="1:7" x14ac:dyDescent="0.25">
      <c r="A4" t="s">
        <v>246</v>
      </c>
      <c r="B4" t="s">
        <v>299</v>
      </c>
      <c r="C4" t="s">
        <v>300</v>
      </c>
      <c r="D4" t="s">
        <v>301</v>
      </c>
      <c r="E4" t="s">
        <v>302</v>
      </c>
      <c r="F4" t="s">
        <v>303</v>
      </c>
      <c r="G4" t="s">
        <v>304</v>
      </c>
    </row>
    <row r="5" spans="1:7" x14ac:dyDescent="0.25">
      <c r="A5" t="s">
        <v>305</v>
      </c>
      <c r="B5" t="s">
        <v>306</v>
      </c>
      <c r="C5" t="s">
        <v>300</v>
      </c>
      <c r="D5" t="s">
        <v>307</v>
      </c>
      <c r="E5" t="s">
        <v>308</v>
      </c>
      <c r="F5" t="s">
        <v>303</v>
      </c>
      <c r="G5" t="s">
        <v>309</v>
      </c>
    </row>
    <row r="6" spans="1:7" x14ac:dyDescent="0.25">
      <c r="A6" t="s">
        <v>310</v>
      </c>
      <c r="B6" t="s">
        <v>311</v>
      </c>
      <c r="C6" t="s">
        <v>312</v>
      </c>
      <c r="D6" t="s">
        <v>313</v>
      </c>
      <c r="E6" t="s">
        <v>302</v>
      </c>
      <c r="F6" t="s">
        <v>303</v>
      </c>
      <c r="G6" t="s">
        <v>211</v>
      </c>
    </row>
    <row r="7" spans="1:7" x14ac:dyDescent="0.25">
      <c r="A7" t="s">
        <v>142</v>
      </c>
      <c r="B7" t="s">
        <v>314</v>
      </c>
      <c r="C7" t="s">
        <v>312</v>
      </c>
      <c r="D7" t="s">
        <v>313</v>
      </c>
      <c r="E7" t="s">
        <v>302</v>
      </c>
      <c r="F7" t="s">
        <v>303</v>
      </c>
      <c r="G7" t="s">
        <v>145</v>
      </c>
    </row>
    <row r="8" spans="1:7" x14ac:dyDescent="0.25">
      <c r="A8" t="s">
        <v>148</v>
      </c>
      <c r="B8" t="s">
        <v>315</v>
      </c>
      <c r="C8" t="s">
        <v>300</v>
      </c>
      <c r="D8" t="s">
        <v>316</v>
      </c>
      <c r="E8" t="s">
        <v>308</v>
      </c>
      <c r="F8" t="s">
        <v>303</v>
      </c>
      <c r="G8" t="s">
        <v>150</v>
      </c>
    </row>
    <row r="9" spans="1:7" x14ac:dyDescent="0.25">
      <c r="A9" t="s">
        <v>157</v>
      </c>
      <c r="B9" t="s">
        <v>317</v>
      </c>
      <c r="C9" t="s">
        <v>300</v>
      </c>
      <c r="D9" t="s">
        <v>318</v>
      </c>
      <c r="E9" t="s">
        <v>308</v>
      </c>
      <c r="F9" t="s">
        <v>303</v>
      </c>
      <c r="G9" t="s">
        <v>160</v>
      </c>
    </row>
    <row r="10" spans="1:7" x14ac:dyDescent="0.25">
      <c r="A10" t="s">
        <v>123</v>
      </c>
      <c r="B10" t="s">
        <v>319</v>
      </c>
      <c r="C10" t="s">
        <v>312</v>
      </c>
      <c r="D10" t="s">
        <v>313</v>
      </c>
      <c r="E10" t="s">
        <v>302</v>
      </c>
      <c r="F10" t="s">
        <v>303</v>
      </c>
      <c r="G10" t="s">
        <v>320</v>
      </c>
    </row>
    <row r="11" spans="1:7" x14ac:dyDescent="0.25">
      <c r="A11" t="s">
        <v>192</v>
      </c>
      <c r="B11" s="6">
        <v>46072</v>
      </c>
      <c r="C11" t="s">
        <v>321</v>
      </c>
      <c r="D11" t="s">
        <v>322</v>
      </c>
      <c r="E11" t="s">
        <v>308</v>
      </c>
      <c r="F11" t="s">
        <v>303</v>
      </c>
      <c r="G11" t="s">
        <v>195</v>
      </c>
    </row>
    <row r="12" spans="1:7" x14ac:dyDescent="0.25">
      <c r="A12" t="s">
        <v>221</v>
      </c>
      <c r="B12" t="s">
        <v>311</v>
      </c>
      <c r="C12" t="s">
        <v>321</v>
      </c>
      <c r="D12" t="s">
        <v>323</v>
      </c>
      <c r="E12" t="s">
        <v>308</v>
      </c>
      <c r="F12" t="s">
        <v>303</v>
      </c>
      <c r="G12" t="s">
        <v>211</v>
      </c>
    </row>
    <row r="13" spans="1:7" x14ac:dyDescent="0.25">
      <c r="A13" t="s">
        <v>324</v>
      </c>
      <c r="B13" t="s">
        <v>325</v>
      </c>
      <c r="C13" t="s">
        <v>326</v>
      </c>
      <c r="D13" t="s">
        <v>327</v>
      </c>
      <c r="E13" t="s">
        <v>302</v>
      </c>
      <c r="F13" t="s">
        <v>303</v>
      </c>
      <c r="G13" t="s">
        <v>173</v>
      </c>
    </row>
    <row r="14" spans="1:7" x14ac:dyDescent="0.25">
      <c r="A14" t="s">
        <v>328</v>
      </c>
      <c r="B14" t="s">
        <v>329</v>
      </c>
      <c r="C14" t="s">
        <v>326</v>
      </c>
      <c r="D14" t="s">
        <v>327</v>
      </c>
      <c r="E14" t="s">
        <v>302</v>
      </c>
      <c r="F14" t="s">
        <v>303</v>
      </c>
      <c r="G14" t="s">
        <v>181</v>
      </c>
    </row>
    <row r="15" spans="1:7" x14ac:dyDescent="0.25">
      <c r="A15" t="s">
        <v>330</v>
      </c>
      <c r="B15" t="s">
        <v>331</v>
      </c>
      <c r="C15" t="s">
        <v>326</v>
      </c>
      <c r="D15" t="s">
        <v>327</v>
      </c>
      <c r="E15" t="s">
        <v>302</v>
      </c>
      <c r="F15" t="s">
        <v>303</v>
      </c>
      <c r="G15" t="s">
        <v>189</v>
      </c>
    </row>
    <row r="19" spans="10:10" x14ac:dyDescent="0.25">
      <c r="J19" s="85"/>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340b90-bc16-42e8-ab9a-9c306c088e69" xsi:nil="true"/>
    <lcf76f155ced4ddcb4097134ff3c332f xmlns="d60970bc-fcfd-4a62-b203-a7774ec05f3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C529280636BB4BB3E85F0136B357C0" ma:contentTypeVersion="16" ma:contentTypeDescription="Create a new document." ma:contentTypeScope="" ma:versionID="0e770fca18027d288c5355f4faeb7050">
  <xsd:schema xmlns:xsd="http://www.w3.org/2001/XMLSchema" xmlns:xs="http://www.w3.org/2001/XMLSchema" xmlns:p="http://schemas.microsoft.com/office/2006/metadata/properties" xmlns:ns2="d60970bc-fcfd-4a62-b203-a7774ec05f36" xmlns:ns3="96340b90-bc16-42e8-ab9a-9c306c088e69" targetNamespace="http://schemas.microsoft.com/office/2006/metadata/properties" ma:root="true" ma:fieldsID="c9a1c8520d31603f5d058101b808ea3d" ns2:_="" ns3:_="">
    <xsd:import namespace="d60970bc-fcfd-4a62-b203-a7774ec05f36"/>
    <xsd:import namespace="96340b90-bc16-42e8-ab9a-9c306c088e6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970bc-fcfd-4a62-b203-a7774ec05f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20f7d1b-0912-44ee-b13f-5df0a9e9ecc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340b90-bc16-42e8-ab9a-9c306c088e6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7f50c53-4344-4e9f-a216-5f83dffe739f}" ma:internalName="TaxCatchAll" ma:showField="CatchAllData" ma:web="96340b90-bc16-42e8-ab9a-9c306c088e6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0A1D84-F9EC-495B-8180-FA01982AF2DD}">
  <ds:schemaRefs>
    <ds:schemaRef ds:uri="http://schemas.microsoft.com/office/2006/metadata/properties"/>
    <ds:schemaRef ds:uri="http://schemas.microsoft.com/office/infopath/2007/PartnerControls"/>
    <ds:schemaRef ds:uri="96340b90-bc16-42e8-ab9a-9c306c088e69"/>
    <ds:schemaRef ds:uri="d60970bc-fcfd-4a62-b203-a7774ec05f36"/>
  </ds:schemaRefs>
</ds:datastoreItem>
</file>

<file path=customXml/itemProps2.xml><?xml version="1.0" encoding="utf-8"?>
<ds:datastoreItem xmlns:ds="http://schemas.openxmlformats.org/officeDocument/2006/customXml" ds:itemID="{1ACF9344-7952-420C-B415-7035486EAD8A}">
  <ds:schemaRefs>
    <ds:schemaRef ds:uri="http://schemas.microsoft.com/sharepoint/v3/contenttype/forms"/>
  </ds:schemaRefs>
</ds:datastoreItem>
</file>

<file path=customXml/itemProps3.xml><?xml version="1.0" encoding="utf-8"?>
<ds:datastoreItem xmlns:ds="http://schemas.openxmlformats.org/officeDocument/2006/customXml" ds:itemID="{423109DC-DFF8-4E0A-B663-CC8B3BF592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0970bc-fcfd-4a62-b203-a7774ec05f36"/>
    <ds:schemaRef ds:uri="96340b90-bc16-42e8-ab9a-9c306c088e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CoS Tracker</vt:lpstr>
      <vt:lpstr>Design Fees</vt:lpstr>
      <vt:lpstr>0701S</vt:lpstr>
      <vt:lpstr>1001N </vt:lpstr>
      <vt:lpstr>801S&amp;802S</vt:lpstr>
      <vt:lpstr>0901S</vt:lpstr>
      <vt:lpstr>1002S</vt:lpstr>
      <vt:lpstr>1202S</vt:lpstr>
      <vt:lpstr>1402N</vt:lpstr>
      <vt:lpstr>1701S</vt:lpstr>
      <vt:lpstr>1901S&amp;1902S</vt:lpstr>
      <vt:lpstr>1901N</vt:lpstr>
      <vt:lpstr>2001S&amp;2002S</vt:lpstr>
      <vt:lpstr>2101S&amp;2102S</vt:lpstr>
      <vt:lpstr>2101N</vt:lpstr>
      <vt:lpstr>Sheet1</vt:lpstr>
      <vt:lpstr>Sunset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Damon Wan</dc:creator>
  <cp:keywords/>
  <dc:description/>
  <cp:lastModifiedBy>William Morris</cp:lastModifiedBy>
  <cp:revision/>
  <dcterms:created xsi:type="dcterms:W3CDTF">2015-06-05T18:17:20Z</dcterms:created>
  <dcterms:modified xsi:type="dcterms:W3CDTF">2026-08-14T01:02:45Z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0x0101005CC529280636BB4BB3E85F0136B357C0</vt:lpwstr>
  </property>
  <property fmtid="{D5CDD505-2E9C-101B-9397-08002B2CF9AE}" pid="3" name="MediaServiceImageTags">
    <vt:lpwstr/>
  </property>
</Properties>
</file>