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019" documentId="11_1BA9407CD2390B7D48FF1A6501FCABEB1023A06B" xr6:coauthVersionLast="47" xr6:coauthVersionMax="47" xr10:uidLastSave="{FCA55FB5-DE4A-4CB1-811F-7592A85A44C5}"/>
  <bookViews>
    <workbookView xWindow="-108" yWindow="-108" windowWidth="41496" windowHeight="16776" tabRatio="866" xr2:uid="{00000000-000D-0000-FFFF-FFFF00000000}"/>
  </bookViews>
  <sheets>
    <sheet name="CoS Tracker" sheetId="1" r:id="rId1"/>
    <sheet name="GANTT " sheetId="3" r:id="rId2"/>
    <sheet name="0701S" sheetId="4" r:id="rId3"/>
    <sheet name="801S&amp;802S" sheetId="5" r:id="rId4"/>
    <sheet name="0901S" sheetId="6" r:id="rId5"/>
    <sheet name="1002S" sheetId="7" r:id="rId6"/>
    <sheet name="1202S" sheetId="8" r:id="rId7"/>
    <sheet name="1402N" sheetId="9" r:id="rId8"/>
    <sheet name="1701S" sheetId="10" r:id="rId9"/>
    <sheet name="1901S&amp;1902S" sheetId="11" r:id="rId10"/>
    <sheet name="1901N" sheetId="12" r:id="rId11"/>
    <sheet name="2001S&amp;2002S" sheetId="13" r:id="rId12"/>
    <sheet name="2101S&amp;2102S" sheetId="14" r:id="rId13"/>
    <sheet name="2101N" sheetId="15" r:id="rId14"/>
    <sheet name="Sheet1" sheetId="16" r:id="rId15"/>
  </sheets>
  <definedNames>
    <definedName name="_xlnm._FilterDatabase" localSheetId="0" hidden="1">'CoS Tracker'!$B$7:$AZ$180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8" i="1" l="1"/>
  <c r="Y21" i="1" l="1"/>
  <c r="AF21" i="1"/>
  <c r="AI21" i="1" s="1"/>
  <c r="AK21" i="1" s="1"/>
  <c r="AL21" i="1" s="1"/>
  <c r="Y8" i="1"/>
  <c r="AI28" i="1"/>
  <c r="AK28" i="1" s="1"/>
  <c r="AL28" i="1" s="1"/>
  <c r="AN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F11" i="1"/>
  <c r="AI11" i="1" s="1"/>
  <c r="AK11" i="1" s="1"/>
  <c r="AL11" i="1" s="1"/>
  <c r="AN11" i="1" s="1"/>
  <c r="AF12" i="1"/>
  <c r="AI12" i="1" s="1"/>
  <c r="AK12" i="1" s="1"/>
  <c r="AL12" i="1" s="1"/>
  <c r="AN12" i="1" s="1"/>
  <c r="AF14" i="1"/>
  <c r="AI14" i="1" s="1"/>
  <c r="AK14" i="1" s="1"/>
  <c r="AL14" i="1" s="1"/>
  <c r="AN14" i="1" s="1"/>
  <c r="AF16" i="1"/>
  <c r="AI16" i="1" s="1"/>
  <c r="AK16" i="1" s="1"/>
  <c r="AL16" i="1" s="1"/>
  <c r="AN16" i="1" s="1"/>
  <c r="AF17" i="1"/>
  <c r="AI17" i="1" s="1"/>
  <c r="AK17" i="1" s="1"/>
  <c r="AL17" i="1" s="1"/>
  <c r="AN17" i="1" s="1"/>
  <c r="AF18" i="1"/>
  <c r="AI18" i="1" s="1"/>
  <c r="AK18" i="1" s="1"/>
  <c r="AL18" i="1" s="1"/>
  <c r="AN18" i="1" s="1"/>
  <c r="AF19" i="1"/>
  <c r="AI19" i="1" s="1"/>
  <c r="AK19" i="1" s="1"/>
  <c r="AL19" i="1" s="1"/>
  <c r="AN19" i="1" s="1"/>
  <c r="AF20" i="1"/>
  <c r="AF10" i="1"/>
  <c r="AI10" i="1" s="1"/>
  <c r="AK10" i="1" s="1"/>
  <c r="AL10" i="1" s="1"/>
  <c r="Y11" i="1"/>
  <c r="G42" i="3" s="1"/>
  <c r="H42" i="3" s="1"/>
  <c r="Y12" i="1"/>
  <c r="Y14" i="1"/>
  <c r="Y16" i="1"/>
  <c r="Y17" i="1"/>
  <c r="Y18" i="1"/>
  <c r="Y19" i="1"/>
  <c r="Y20" i="1"/>
  <c r="Y10" i="1"/>
  <c r="G32" i="3" s="1"/>
  <c r="F37" i="3" l="1"/>
  <c r="AN10" i="1"/>
  <c r="AI20" i="1"/>
  <c r="G43" i="3"/>
  <c r="F44" i="3" s="1"/>
  <c r="H43" i="3"/>
  <c r="F35" i="3"/>
  <c r="G36" i="3"/>
  <c r="G37" i="3"/>
  <c r="H37" i="3" s="1"/>
  <c r="G35" i="3"/>
  <c r="G33" i="3"/>
  <c r="F34" i="3" s="1"/>
  <c r="G34" i="3"/>
  <c r="G38" i="3" l="1"/>
  <c r="F38" i="3"/>
  <c r="AK20" i="1"/>
  <c r="G44" i="3"/>
  <c r="H44" i="3" s="1"/>
  <c r="F36" i="3"/>
  <c r="H36" i="3" s="1"/>
  <c r="H35" i="3"/>
  <c r="H34" i="3"/>
  <c r="H38" i="3" l="1"/>
  <c r="H39" i="3"/>
  <c r="AL20" i="1"/>
  <c r="AN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<sst xmlns="http://schemas.openxmlformats.org/spreadsheetml/2006/main" count="639" uniqueCount="274">
  <si>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</si>
  <si>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</si>
  <si>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</si>
  <si>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</si>
  <si>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</si>
  <si>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</si>
  <si>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</si>
  <si>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</si>
  <si>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</si>
  <si>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</si>
  <si>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</si>
  <si>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</si>
  <si>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</si>
  <si>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</si>
  <si>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</si>
  <si>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</si>
  <si>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</si>
  <si>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</si>
  <si>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</si>
  <si>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</si>
  <si>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</si>
  <si>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</si>
  <si>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</si>
  <si>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</si>
  <si>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</si>
  <si>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</si>
  <si>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</si>
  <si>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</si>
  <si>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</si>
  <si>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</si>
  <si>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</si>
  <si>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</si>
  <si>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</si>
  <si>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</si>
  <si>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</si>
  <si>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</si>
  <si>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</si>
  <si>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</si>
  <si>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</si>
  <si>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</si>
  <si>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</si>
  <si>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</si>
  <si>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</si>
  <si>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</si>
  <si>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</si>
  <si>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</si>
  <si>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</si>
  <si>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1901S &amp; 1902S</t>
  </si>
  <si>
    <t>Finishes - GURNER
Amalgamation - Purchaser</t>
  </si>
  <si>
    <t>2101/2102S</t>
  </si>
  <si>
    <t>76 &amp; 77</t>
  </si>
  <si>
    <t>L18-21 South Amalgamation</t>
  </si>
  <si>
    <t>2001/2002S</t>
  </si>
  <si>
    <t>74 &amp; 75</t>
  </si>
  <si>
    <t>1402N</t>
  </si>
  <si>
    <t>NA</t>
  </si>
  <si>
    <t>No incentives
POS should be 9/9/25
Should include the Mod H back up plan but does not</t>
  </si>
  <si>
    <t>901S</t>
  </si>
  <si>
    <t>Family &amp; Friends ASC
Bespoke Lot ASC</t>
  </si>
  <si>
    <t>1202S</t>
  </si>
  <si>
    <t>Plan has been costed by WT
POS should be 9/9/25
Should include the Mod H back up plan but does not</t>
  </si>
  <si>
    <t xml:space="preserve">Deposit Bond ASC; Deferred Deposit ASC; Bespoke Lot ASC; Mod H not applicable; refer to hand sketches and emails for plan changes proposed </t>
  </si>
  <si>
    <t>801S &amp; 802S</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</si>
  <si>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</si>
  <si>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</si>
  <si>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</si>
  <si>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</si>
  <si>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</si>
  <si>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</si>
  <si>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</si>
  <si>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</si>
  <si>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</si>
  <si>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</si>
  <si>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</si>
  <si>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</si>
  <si>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</si>
  <si>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</si>
  <si>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</si>
  <si>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</si>
  <si>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</si>
  <si>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</si>
  <si>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</si>
  <si>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</si>
  <si>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</si>
  <si>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</si>
  <si>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</si>
  <si>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</si>
  <si>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</si>
  <si>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</si>
  <si>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</si>
  <si>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</si>
  <si>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</si>
  <si>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</si>
  <si>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</si>
  <si>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</si>
  <si>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</si>
  <si>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</si>
  <si>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</si>
  <si>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</si>
  <si>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</si>
  <si>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</si>
  <si>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20 business days</t>
  </si>
  <si>
    <t>SC 67.3 / SC 68.3</t>
  </si>
  <si>
    <t>3 months</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</si>
  <si>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</si>
  <si>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</si>
  <si>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</si>
  <si>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</si>
  <si>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</si>
  <si>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</si>
  <si>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</si>
  <si>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</si>
  <si>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</si>
  <si>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</si>
  <si>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</si>
  <si>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</si>
  <si>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</si>
  <si>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</si>
  <si>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</si>
  <si>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</si>
  <si>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</si>
  <si>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</si>
  <si>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</si>
  <si>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</si>
  <si>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</si>
  <si>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</si>
  <si>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</si>
  <si>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</si>
  <si>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</si>
  <si>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</si>
  <si>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</si>
  <si>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</si>
  <si>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</si>
  <si>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</si>
  <si>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</si>
  <si>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</si>
  <si>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</si>
  <si>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</si>
  <si>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</si>
  <si>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</si>
  <si>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</si>
  <si>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</si>
  <si>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</si>
  <si>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</si>
  <si>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</si>
  <si>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</si>
  <si>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</si>
  <si>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</si>
  <si>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</si>
  <si>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</si>
  <si>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</si>
  <si>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</si>
  <si>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</si>
  <si>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</si>
  <si>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</si>
  <si>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</si>
  <si>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</si>
  <si>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</si>
  <si>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</si>
  <si>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</si>
  <si>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</si>
  <si>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</si>
  <si>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</si>
  <si>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</si>
  <si>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</si>
  <si>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</si>
  <si>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</si>
  <si>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</si>
  <si>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</si>
  <si>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</si>
  <si>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701S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</si>
  <si>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</si>
  <si>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</si>
  <si>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</si>
  <si>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</si>
  <si>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</si>
  <si>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</si>
  <si>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</si>
  <si>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</si>
  <si>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</si>
  <si>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</si>
  <si>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</si>
  <si>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</si>
  <si>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</si>
  <si>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</si>
  <si>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</si>
  <si>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 xml:space="preserve">Revised layout issued, redsign to be priced and included in Contract. </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</si>
  <si>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</si>
  <si>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</si>
  <si>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</si>
  <si>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</si>
  <si>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</si>
  <si>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</si>
  <si>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</si>
  <si>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</si>
  <si>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</si>
  <si>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</si>
  <si>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</si>
  <si>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</si>
  <si>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</si>
  <si>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</si>
  <si>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Peter</t>
  </si>
  <si>
    <t>WM</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</si>
  <si>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</si>
  <si>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</si>
  <si>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</si>
  <si>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</si>
  <si>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</si>
  <si>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</si>
  <si>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</si>
  <si>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</si>
  <si>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</si>
  <si>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</si>
  <si>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</si>
  <si>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</si>
  <si>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</si>
  <si>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</si>
  <si>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</si>
  <si>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</si>
  <si>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</si>
  <si>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</si>
  <si>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</si>
  <si>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</si>
  <si>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</si>
  <si>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</si>
  <si>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</si>
  <si>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</si>
  <si>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</si>
  <si>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</si>
  <si>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</si>
  <si>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</si>
  <si>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</si>
  <si>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</si>
  <si>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</si>
  <si>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</si>
  <si>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With Deb to follow up on Status</t>
  </si>
  <si>
    <t>GD</t>
  </si>
  <si>
    <t>No intention</t>
  </si>
  <si>
    <t>Intention</t>
  </si>
  <si>
    <t>This is an “adaptable” unit which will limit the bespoke lot customisation process somewhat as it must maintain certain corridor, door widths etc. Billiard table not Pool Table</t>
  </si>
  <si>
    <t>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</si>
  <si>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189 Kent St_Floorplans_013b_A3_D.pdf</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</si>
  <si>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</si>
  <si>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</si>
  <si>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</si>
  <si>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</si>
  <si>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2101N Skecth.pdf</t>
  </si>
  <si>
    <t>0. DATE ISSUED</t>
  </si>
  <si>
    <t>WM has issued to WT for pricing - 09/03/26. Awaiting response</t>
  </si>
  <si>
    <t>REQUIRED</t>
  </si>
  <si>
    <t>Lorraine</t>
  </si>
  <si>
    <t>CURRENT STATUS</t>
  </si>
  <si>
    <t>1.3 Sketch Plan Issued to FJC/Consultants for  Feasibility Review</t>
  </si>
  <si>
    <t>1.2 Letter countersigned confirming Layout Approved</t>
  </si>
  <si>
    <t>After Sketch Planning complete</t>
  </si>
  <si>
    <t xml:space="preserve">Letter prepared by Dev Team </t>
  </si>
  <si>
    <t>1.4 FJC CAD Plans issued for pricing</t>
  </si>
  <si>
    <t>1.5 QS Estimate Issued</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</si>
  <si>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</si>
  <si>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</si>
  <si>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</si>
  <si>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</si>
  <si>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</si>
  <si>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</si>
  <si>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</si>
  <si>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</si>
  <si>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</si>
  <si>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</si>
  <si>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WM issued draft letter to Deb (09/03/26)..
Once signed off WM to getpricing/FJC to document</t>
  </si>
  <si>
    <t xml:space="preserve">Gurner design team working through layout design update. Issued to Purchaser 10/03/26. </t>
  </si>
  <si>
    <t>Deb to find out from Evan latest design status</t>
  </si>
  <si>
    <t>ED to Setup Design Session</t>
  </si>
  <si>
    <t>Setup in person design meeting, to finalize finshes and any design issued for signoff. (Elle to cooridnate appointment). Layout issued, awaiting comments</t>
  </si>
  <si>
    <t xml:space="preserve">Deb to follow up with Apex. Layout signoff letter tgo be drafted and then FJC to develop design and coordinate into documentation for Pricing.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</si>
</sst>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2"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s>
  <fills count="28">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47">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4" fillId="0" borderId="1" xfId="1" applyFont="1" applyBorder="1" applyAlignment="1">
      <alignment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22" fillId="0" borderId="12" xfId="0" applyFont="1" applyBorder="1" applyAlignment="1">
      <alignment horizontal="center" vertical="center"/>
    </xf>
    <xf numFmtId="0" fontId="21"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1" fillId="0" borderId="12" xfId="0" applyFont="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30480</xdr:colOff>
          <xdr:row>7</xdr:row>
          <xdr:rowOff>60960</xdr:rowOff>
        </xdr:from>
        <xdr:to>
          <xdr:col>134</xdr:col>
          <xdr:colOff>99060</xdr:colOff>
          <xdr:row>7</xdr:row>
          <xdr:rowOff>236220</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A_XPwWFvURpkwtnjfVlnoAWPO1u-ZGjBbuBkMxy-W7gU?e=fio76x" TargetMode="External"/><Relationship Id="rId13" Type="http://schemas.openxmlformats.org/officeDocument/2006/relationships/hyperlink" Target="../../../../../../../../../:f:/s/02.Projects/IgDgjQTLbudASq3mUxmDgkG7AWQGTo4A6kSTXdhXFKnKSBU?e=s8QAZT" TargetMode="External"/><Relationship Id="rId3" Type="http://schemas.openxmlformats.org/officeDocument/2006/relationships/hyperlink" Target="../../../../../../../../:f:/s/02.Projects/IgDiDTFbwpUlSKdCVCOWqLWAAXpsiVrsp4WcXIlNCWili_M?e=Dw2yPE" TargetMode="External"/><Relationship Id="rId7" Type="http://schemas.openxmlformats.org/officeDocument/2006/relationships/hyperlink" Target="../../../../../../../../:f:/s/02.Projects/IgBNI_XOGu0bRp1RhoUMVtMSAY63Li7gwQizpP0WSEfSwk8?e=aFHPDA" TargetMode="External"/><Relationship Id="rId12" Type="http://schemas.openxmlformats.org/officeDocument/2006/relationships/hyperlink" Target="../../../../../../../../../:f:/s/02.Projects/IgDSe2H7zLFPTI_qWKLCXnBXAcq8FmwyAUOw6bK562PaFzM?e=577mAM" TargetMode="External"/><Relationship Id="rId17" Type="http://schemas.microsoft.com/office/2017/10/relationships/threadedComment" Target="../threadedComments/threadedComment1.xml"/><Relationship Id="rId2" Type="http://schemas.openxmlformats.org/officeDocument/2006/relationships/hyperlink" Target="../../../../../../../../:f:/s/02.Projects/IgDiDTFbwpUlSKdCVCOWqLWAAXpsiVrsp4WcXIlNCWili_M?e=Dw2yPE" TargetMode="External"/><Relationship Id="rId16" Type="http://schemas.openxmlformats.org/officeDocument/2006/relationships/comments" Target="../comments1.xml"/><Relationship Id="rId1" Type="http://schemas.openxmlformats.org/officeDocument/2006/relationships/hyperlink" Target="../../../../../../../../:f:/s/02.Projects/IgDhtdVpXNJbSYoc1y2WwRnfAbuzwiG6Uut1APx78OaSXC8?e=PGJtJs" TargetMode="External"/><Relationship Id="rId6" Type="http://schemas.openxmlformats.org/officeDocument/2006/relationships/hyperlink" Target="../../../../../../../../:f:/s/02.Projects/IgBNI_XOGu0bRp1RhoUMVtMSAY63Li7gwQizpP0WSEfSwk8?e=aFHPDA" TargetMode="External"/><Relationship Id="rId11" Type="http://schemas.openxmlformats.org/officeDocument/2006/relationships/hyperlink" Target="../../../../../../../../:b:/s/02.Projects/IQAkxotu714WQ5iyCXwa8VARAagckT5MPkHaHvExErhxqzk?e=ai5EyW" TargetMode="External"/><Relationship Id="rId5" Type="http://schemas.openxmlformats.org/officeDocument/2006/relationships/hyperlink" Target="../../../../../../../../:f:/s/02.Projects/IgCArctgLiLoRrOcnSZbyaxXAZBNlYC1gxIkc_hxrNt2X1M?e=Q1RShE" TargetMode="External"/><Relationship Id="rId15" Type="http://schemas.openxmlformats.org/officeDocument/2006/relationships/vmlDrawing" Target="../drawings/vmlDrawing1.vml"/><Relationship Id="rId10" Type="http://schemas.openxmlformats.org/officeDocument/2006/relationships/hyperlink" Target="../../../../../../../../:b:/s/02.Projects/IQCvBijrCFiLRLPEKfVshY7hAc3Gxm84rb5JGBW8W-HM7oE?e=ZVQIqy" TargetMode="External"/><Relationship Id="rId4" Type="http://schemas.openxmlformats.org/officeDocument/2006/relationships/hyperlink" Target="../../../../../../../../:f:/s/02.Projects/IgDUKLZy3-0LRbf19n5zy-afASR7RElg1vwhHBTk8H9t1Jw?e=JaO57d" TargetMode="External"/><Relationship Id="rId9" Type="http://schemas.openxmlformats.org/officeDocument/2006/relationships/hyperlink" Target="../../../../../../../../:f:/s/02.Projects/IgCnFB_bxtV0SIVsXyJwsLLrAfIrEoh1jlgzj8h5gaUgnhc?e=plDKjV"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C185"/>
  <sheetViews>
    <sheetView showGridLines="0" tabSelected="1" topLeftCell="A4" zoomScale="93" zoomScaleNormal="70" workbookViewId="0">
      <pane xSplit="2" ySplit="4" topLeftCell="AN17" activePane="bottomRight" state="frozen"/>
      <selection activeCell="A4" sqref="A4"/>
      <selection pane="topRight" activeCell="C4" sqref="C4"/>
      <selection pane="bottomLeft" activeCell="A8" sqref="A8"/>
      <selection pane="bottomRight" activeCell="BB19" sqref="BB19"/>
    </sheetView>
  </sheetViews>
  <sheetFormatPr defaultColWidth="8.88671875" defaultRowHeight="13.2" outlineLevelCol="2" x14ac:dyDescent="0.3"/>
  <cols>
    <col min="1" max="1" width="1.44140625" style="4" customWidth="1"/>
    <col min="2" max="2" width="15.44140625" style="106" customWidth="1"/>
    <col min="3" max="3" width="7.5546875" style="3" customWidth="1"/>
    <col min="4" max="5" width="18.109375" style="3" customWidth="1"/>
    <col min="6" max="6" width="13.44140625" style="3" bestFit="1" customWidth="1"/>
    <col min="7" max="7" width="13.44140625" style="3" customWidth="1"/>
    <col min="8" max="8" width="17.5546875" style="3" customWidth="1"/>
    <col min="9" max="9" width="12" style="3" customWidth="1"/>
    <col min="10" max="10" width="15.33203125" style="3" customWidth="1"/>
    <col min="11" max="11" width="19" style="3" customWidth="1"/>
    <col min="12" max="22" width="12" style="3" customWidth="1"/>
    <col min="23" max="23" width="14.109375" style="3" customWidth="1"/>
    <col min="24" max="24" width="18.88671875" style="3" customWidth="1"/>
    <col min="25" max="25" width="25.33203125" style="3" customWidth="1" outlineLevel="1"/>
    <col min="26" max="31" width="25.33203125" style="3" customWidth="1" outlineLevel="2"/>
    <col min="32" max="32" width="25.33203125" style="3" customWidth="1" outlineLevel="1"/>
    <col min="33" max="34" width="25.33203125" style="3" customWidth="1" outlineLevel="2"/>
    <col min="35" max="35" width="25.33203125" style="3" customWidth="1" outlineLevel="1"/>
    <col min="36" max="36" width="25.33203125" style="3" customWidth="1" outlineLevel="2"/>
    <col min="37" max="38" width="25.33203125" style="3" customWidth="1" outlineLevel="1"/>
    <col min="39" max="40" width="25.33203125" style="3" customWidth="1" outlineLevel="2"/>
    <col min="41" max="41" width="25.33203125" style="3" customWidth="1" outlineLevel="1"/>
    <col min="42" max="42" width="48.88671875" style="4" customWidth="1"/>
    <col min="43" max="43" width="12.5546875" style="4" customWidth="1"/>
    <col min="44" max="50" width="15.109375" style="4" customWidth="1"/>
    <col min="51" max="51" width="27.88671875" style="4" customWidth="1"/>
    <col min="52" max="52" width="38.5546875" style="4" customWidth="1"/>
    <col min="53" max="53" width="21.6640625" style="4" customWidth="1"/>
    <col min="54" max="55" width="38.5546875" style="4" customWidth="1"/>
    <col min="56" max="16384" width="8.88671875" style="4"/>
  </cols>
  <sheetData>
    <row r="2" spans="2:55" ht="18" thickBot="1" x14ac:dyDescent="0.35">
      <c r="B2" s="8" t="s">
        <v>0</v>
      </c>
      <c r="R2" s="3" t="s">
        <v>1</v>
      </c>
      <c r="S2" s="9">
        <f>COUNTIF(S10:S94,"YES")</f>
        <v>10</v>
      </c>
    </row>
    <row r="3" spans="2:55" ht="13.8" x14ac:dyDescent="0.3">
      <c r="B3" s="103"/>
      <c r="C3" s="85"/>
      <c r="D3" s="85"/>
      <c r="E3" s="85"/>
      <c r="F3" s="85"/>
      <c r="G3" s="85"/>
      <c r="H3" s="85"/>
      <c r="I3" s="85"/>
      <c r="J3" s="85"/>
      <c r="K3" s="85"/>
      <c r="L3" s="85"/>
      <c r="M3" s="85"/>
      <c r="N3" s="85"/>
      <c r="O3" s="85"/>
      <c r="P3" s="85"/>
      <c r="Q3" s="85"/>
      <c r="R3" s="85"/>
      <c r="S3" s="85"/>
      <c r="T3" s="85"/>
      <c r="U3" s="85"/>
      <c r="V3" s="85"/>
      <c r="Y3" s="96" t="s">
        <v>144</v>
      </c>
      <c r="Z3" s="97" t="s">
        <v>145</v>
      </c>
      <c r="AA3" s="97"/>
      <c r="AB3" s="97" t="s">
        <v>145</v>
      </c>
      <c r="AC3" s="97"/>
      <c r="AD3" s="97" t="s">
        <v>145</v>
      </c>
      <c r="AE3" s="97" t="s">
        <v>145</v>
      </c>
      <c r="AF3" s="96" t="s">
        <v>144</v>
      </c>
      <c r="AG3" s="101" t="s">
        <v>145</v>
      </c>
      <c r="AH3" s="101" t="s">
        <v>145</v>
      </c>
      <c r="AI3" s="96" t="s">
        <v>144</v>
      </c>
      <c r="AJ3" s="97" t="s">
        <v>145</v>
      </c>
      <c r="AK3" s="96" t="s">
        <v>144</v>
      </c>
      <c r="AL3" s="96" t="s">
        <v>144</v>
      </c>
      <c r="AM3" s="97" t="s">
        <v>145</v>
      </c>
      <c r="AN3" s="97" t="s">
        <v>145</v>
      </c>
      <c r="AO3" s="96" t="s">
        <v>144</v>
      </c>
    </row>
    <row r="4" spans="2:55" ht="129" customHeight="1" x14ac:dyDescent="0.3">
      <c r="B4" s="104"/>
      <c r="C4" s="94"/>
      <c r="D4" s="94"/>
      <c r="E4" s="94"/>
      <c r="F4" s="94"/>
      <c r="G4" s="94"/>
      <c r="H4" s="94"/>
      <c r="I4" s="94"/>
      <c r="J4" s="94"/>
      <c r="K4" s="94"/>
      <c r="L4" s="94"/>
      <c r="M4" s="94"/>
      <c r="N4" s="94"/>
      <c r="O4" s="94"/>
      <c r="P4" s="94"/>
      <c r="Q4" s="94"/>
      <c r="R4" s="94"/>
      <c r="S4" s="94"/>
      <c r="T4" s="121" t="s">
        <v>234</v>
      </c>
      <c r="U4" s="94"/>
      <c r="V4" s="94"/>
      <c r="W4" s="95"/>
      <c r="X4" s="95"/>
      <c r="Y4" s="95" t="s">
        <v>111</v>
      </c>
      <c r="Z4" s="98" t="s">
        <v>157</v>
      </c>
      <c r="AA4" s="98" t="s">
        <v>255</v>
      </c>
      <c r="AB4" s="98" t="s">
        <v>137</v>
      </c>
      <c r="AC4" s="98" t="s">
        <v>163</v>
      </c>
      <c r="AD4" s="98" t="s">
        <v>138</v>
      </c>
      <c r="AE4" s="98" t="s">
        <v>139</v>
      </c>
      <c r="AF4" s="95" t="s">
        <v>112</v>
      </c>
      <c r="AG4" s="98" t="s">
        <v>146</v>
      </c>
      <c r="AH4" s="98" t="s">
        <v>147</v>
      </c>
      <c r="AI4" s="95" t="s">
        <v>113</v>
      </c>
      <c r="AJ4" s="98" t="s">
        <v>152</v>
      </c>
      <c r="AK4" s="95" t="s">
        <v>116</v>
      </c>
      <c r="AL4" s="95" t="s">
        <v>117</v>
      </c>
      <c r="AM4" s="98"/>
      <c r="AN4" s="98" t="s">
        <v>114</v>
      </c>
      <c r="AO4" s="95" t="s">
        <v>115</v>
      </c>
      <c r="AP4" s="95"/>
      <c r="AQ4" s="95"/>
      <c r="AR4" s="95"/>
      <c r="AS4" s="95"/>
      <c r="AT4" s="95"/>
      <c r="AU4" s="95"/>
      <c r="AV4" s="95"/>
      <c r="AW4" s="95"/>
      <c r="AX4" s="95"/>
      <c r="AY4" s="95"/>
      <c r="AZ4" s="95"/>
      <c r="BA4" s="95"/>
      <c r="BB4" s="95"/>
      <c r="BC4" s="95"/>
    </row>
    <row r="5" spans="2:55" ht="27.6" x14ac:dyDescent="0.3">
      <c r="B5" s="104"/>
      <c r="C5" s="94"/>
      <c r="D5" s="94"/>
      <c r="E5" s="94"/>
      <c r="F5" s="94"/>
      <c r="G5" s="94"/>
      <c r="H5" s="94"/>
      <c r="I5" s="94"/>
      <c r="J5" s="94"/>
      <c r="K5" s="94"/>
      <c r="L5" s="94"/>
      <c r="M5" s="94"/>
      <c r="N5" s="94"/>
      <c r="O5" s="94"/>
      <c r="P5" s="94"/>
      <c r="Q5" s="94"/>
      <c r="R5" s="94"/>
      <c r="S5" s="94"/>
      <c r="T5" s="94"/>
      <c r="U5" s="94"/>
      <c r="V5" s="94"/>
      <c r="W5" s="87"/>
      <c r="X5" s="87"/>
      <c r="Y5" s="87" t="s">
        <v>100</v>
      </c>
      <c r="Z5" s="99" t="s">
        <v>140</v>
      </c>
      <c r="AA5" s="99" t="s">
        <v>140</v>
      </c>
      <c r="AB5" s="99" t="s">
        <v>140</v>
      </c>
      <c r="AC5" s="99" t="s">
        <v>140</v>
      </c>
      <c r="AD5" s="99" t="s">
        <v>140</v>
      </c>
      <c r="AE5" s="99" t="s">
        <v>140</v>
      </c>
      <c r="AF5" s="87" t="s">
        <v>102</v>
      </c>
      <c r="AG5" s="99" t="s">
        <v>140</v>
      </c>
      <c r="AH5" s="99" t="s">
        <v>140</v>
      </c>
      <c r="AI5" s="87" t="s">
        <v>104</v>
      </c>
      <c r="AJ5" s="99" t="s">
        <v>140</v>
      </c>
      <c r="AK5" s="87" t="s">
        <v>108</v>
      </c>
      <c r="AL5" s="87" t="s">
        <v>108</v>
      </c>
      <c r="AM5" s="99"/>
      <c r="AN5" s="99" t="s">
        <v>105</v>
      </c>
      <c r="AO5" s="87" t="s">
        <v>106</v>
      </c>
      <c r="AP5" s="87"/>
      <c r="AQ5" s="87"/>
      <c r="AR5" s="87"/>
      <c r="AS5" s="87"/>
      <c r="AT5" s="87"/>
      <c r="AU5" s="87"/>
      <c r="AV5" s="87"/>
      <c r="AW5" s="87"/>
      <c r="AX5" s="87"/>
      <c r="AY5" s="87"/>
      <c r="AZ5" s="87"/>
      <c r="BA5" s="87"/>
      <c r="BB5" s="87"/>
      <c r="BC5" s="87"/>
    </row>
    <row r="6" spans="2:55" ht="81" customHeight="1" x14ac:dyDescent="0.3">
      <c r="B6" s="104"/>
      <c r="C6" s="94"/>
      <c r="D6" s="94"/>
      <c r="E6" s="94"/>
      <c r="F6" s="94"/>
      <c r="G6" s="94"/>
      <c r="H6" s="94"/>
      <c r="I6" s="94"/>
      <c r="J6" s="94"/>
      <c r="K6" s="94"/>
      <c r="L6" s="94"/>
      <c r="M6" s="94"/>
      <c r="N6" s="94"/>
      <c r="O6" s="94"/>
      <c r="P6" s="94"/>
      <c r="Q6" s="94"/>
      <c r="R6" s="94"/>
      <c r="S6" s="94"/>
      <c r="T6" s="94"/>
      <c r="U6" s="94"/>
      <c r="V6" s="94"/>
      <c r="W6" s="87"/>
      <c r="X6" s="87"/>
      <c r="Y6" s="87" t="s">
        <v>101</v>
      </c>
      <c r="Z6" s="99" t="s">
        <v>141</v>
      </c>
      <c r="AA6" s="99" t="s">
        <v>254</v>
      </c>
      <c r="AB6" s="99" t="s">
        <v>141</v>
      </c>
      <c r="AC6" s="99" t="s">
        <v>164</v>
      </c>
      <c r="AD6" s="99" t="s">
        <v>142</v>
      </c>
      <c r="AE6" s="99" t="s">
        <v>143</v>
      </c>
      <c r="AF6" s="87" t="s">
        <v>103</v>
      </c>
      <c r="AG6" s="99" t="s">
        <v>148</v>
      </c>
      <c r="AH6" s="99" t="s">
        <v>149</v>
      </c>
      <c r="AI6" s="87" t="s">
        <v>125</v>
      </c>
      <c r="AJ6" s="99" t="s">
        <v>153</v>
      </c>
      <c r="AK6" s="87" t="s">
        <v>118</v>
      </c>
      <c r="AL6" s="87" t="s">
        <v>119</v>
      </c>
      <c r="AM6" s="99" t="s">
        <v>126</v>
      </c>
      <c r="AN6" s="99" t="s">
        <v>264</v>
      </c>
      <c r="AO6" s="87" t="s">
        <v>107</v>
      </c>
      <c r="AP6" s="87"/>
      <c r="AQ6" s="87"/>
      <c r="AR6" s="87"/>
      <c r="AS6" s="87"/>
      <c r="AT6" s="87"/>
      <c r="AU6" s="87"/>
      <c r="AV6" s="87"/>
      <c r="AW6" s="87"/>
      <c r="AX6" s="87"/>
      <c r="AY6" s="87"/>
      <c r="AZ6" s="87"/>
      <c r="BA6" s="87"/>
      <c r="BB6" s="87"/>
      <c r="BC6" s="87"/>
    </row>
    <row r="7" spans="2:55" ht="87" customHeight="1" x14ac:dyDescent="0.3">
      <c r="B7" s="88" t="s">
        <v>2</v>
      </c>
      <c r="C7" s="89" t="s">
        <v>3</v>
      </c>
      <c r="D7" s="89" t="s">
        <v>187</v>
      </c>
      <c r="E7" s="89" t="s">
        <v>189</v>
      </c>
      <c r="F7" s="89" t="s">
        <v>133</v>
      </c>
      <c r="G7" s="89" t="s">
        <v>247</v>
      </c>
      <c r="H7" s="89" t="s">
        <v>127</v>
      </c>
      <c r="I7" s="89" t="s">
        <v>4</v>
      </c>
      <c r="J7" s="89" t="s">
        <v>155</v>
      </c>
      <c r="K7" s="89" t="s">
        <v>5</v>
      </c>
      <c r="L7" s="89" t="s">
        <v>6</v>
      </c>
      <c r="M7" s="89" t="s">
        <v>7</v>
      </c>
      <c r="N7" s="89" t="s">
        <v>8</v>
      </c>
      <c r="O7" s="89" t="s">
        <v>9</v>
      </c>
      <c r="P7" s="89" t="s">
        <v>10</v>
      </c>
      <c r="Q7" s="89" t="s">
        <v>11</v>
      </c>
      <c r="R7" s="89" t="s">
        <v>12</v>
      </c>
      <c r="S7" s="89" t="s">
        <v>13</v>
      </c>
      <c r="T7" s="89" t="s">
        <v>14</v>
      </c>
      <c r="U7" s="89" t="s">
        <v>99</v>
      </c>
      <c r="V7" s="89" t="s">
        <v>15</v>
      </c>
      <c r="W7" s="89" t="s">
        <v>16</v>
      </c>
      <c r="X7" s="128" t="s">
        <v>251</v>
      </c>
      <c r="Y7" s="86" t="s">
        <v>260</v>
      </c>
      <c r="Z7" s="100" t="s">
        <v>156</v>
      </c>
      <c r="AA7" s="100" t="s">
        <v>253</v>
      </c>
      <c r="AB7" s="100" t="s">
        <v>252</v>
      </c>
      <c r="AC7" s="100" t="s">
        <v>256</v>
      </c>
      <c r="AD7" s="100" t="s">
        <v>257</v>
      </c>
      <c r="AE7" s="100" t="s">
        <v>258</v>
      </c>
      <c r="AF7" s="86" t="s">
        <v>109</v>
      </c>
      <c r="AG7" s="100" t="s">
        <v>150</v>
      </c>
      <c r="AH7" s="100" t="s">
        <v>151</v>
      </c>
      <c r="AI7" s="86" t="s">
        <v>110</v>
      </c>
      <c r="AJ7" s="100" t="s">
        <v>154</v>
      </c>
      <c r="AK7" s="86" t="s">
        <v>128</v>
      </c>
      <c r="AL7" s="86" t="s">
        <v>129</v>
      </c>
      <c r="AM7" s="102" t="s">
        <v>130</v>
      </c>
      <c r="AN7" s="102" t="s">
        <v>131</v>
      </c>
      <c r="AO7" s="86" t="s">
        <v>132</v>
      </c>
      <c r="AP7" s="90" t="s">
        <v>17</v>
      </c>
      <c r="AQ7" s="90" t="s">
        <v>18</v>
      </c>
      <c r="AR7" s="90" t="s">
        <v>19</v>
      </c>
      <c r="AS7" s="90" t="s">
        <v>265</v>
      </c>
      <c r="AT7" s="90" t="s">
        <v>20</v>
      </c>
      <c r="AU7" s="91" t="s">
        <v>21</v>
      </c>
      <c r="AV7" s="91" t="s">
        <v>22</v>
      </c>
      <c r="AW7" s="92" t="s">
        <v>23</v>
      </c>
      <c r="AX7" s="92" t="s">
        <v>24</v>
      </c>
      <c r="AY7" s="93" t="s">
        <v>25</v>
      </c>
      <c r="AZ7" s="93" t="s">
        <v>26</v>
      </c>
      <c r="BA7" s="93" t="s">
        <v>196</v>
      </c>
      <c r="BB7" s="93" t="s">
        <v>159</v>
      </c>
      <c r="BC7" s="93" t="s">
        <v>158</v>
      </c>
    </row>
    <row r="8" spans="2:55" ht="58.2" customHeight="1" x14ac:dyDescent="0.3">
      <c r="B8" s="105" t="s">
        <v>123</v>
      </c>
      <c r="C8" s="1">
        <v>48</v>
      </c>
      <c r="D8" s="1" t="s">
        <v>218</v>
      </c>
      <c r="E8" s="1" t="s">
        <v>219</v>
      </c>
      <c r="F8" s="1" t="s">
        <v>134</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10" t="s">
        <v>227</v>
      </c>
      <c r="X8" s="1" t="s">
        <v>156</v>
      </c>
      <c r="Y8" s="6">
        <f>WORKDAY(H8,20)</f>
        <v>46085</v>
      </c>
      <c r="Z8" s="126" t="s">
        <v>162</v>
      </c>
      <c r="AA8" s="6"/>
      <c r="AB8" s="119"/>
      <c r="AC8" s="119"/>
      <c r="AD8" s="119"/>
      <c r="AE8" s="119"/>
      <c r="AF8" s="119"/>
      <c r="AG8" s="119"/>
      <c r="AH8" s="119"/>
      <c r="AI8" s="119"/>
      <c r="AJ8" s="119"/>
      <c r="AK8" s="119"/>
      <c r="AL8" s="119"/>
      <c r="AM8" s="119"/>
      <c r="AN8" s="119"/>
      <c r="AO8" s="119"/>
      <c r="AP8" s="2"/>
      <c r="AQ8" s="2" t="s">
        <v>225</v>
      </c>
      <c r="AR8" s="108" t="s">
        <v>170</v>
      </c>
      <c r="AS8" s="108"/>
      <c r="AT8" s="2"/>
      <c r="AU8" s="2"/>
      <c r="AV8" s="2"/>
      <c r="AW8" s="2"/>
      <c r="AX8" s="2"/>
      <c r="AY8" s="2"/>
      <c r="AZ8" s="123" t="s">
        <v>229</v>
      </c>
      <c r="BA8" s="123"/>
      <c r="BB8" s="123" t="s">
        <v>272</v>
      </c>
      <c r="BC8" s="123" t="s">
        <v>28</v>
      </c>
    </row>
    <row r="9" spans="2:55" ht="26.4" x14ac:dyDescent="0.3">
      <c r="B9" s="105" t="s">
        <v>124</v>
      </c>
      <c r="C9" s="1">
        <v>49</v>
      </c>
      <c r="D9" s="1" t="s">
        <v>218</v>
      </c>
      <c r="E9" s="1" t="s">
        <v>219</v>
      </c>
      <c r="F9" s="1" t="s">
        <v>134</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10" t="s">
        <v>227</v>
      </c>
      <c r="X9" s="1" t="s">
        <v>259</v>
      </c>
      <c r="Y9" s="119"/>
      <c r="Z9" s="119"/>
      <c r="AA9" s="119"/>
      <c r="AB9" s="119"/>
      <c r="AC9" s="119"/>
      <c r="AD9" s="119"/>
      <c r="AE9" s="119"/>
      <c r="AF9" s="119"/>
      <c r="AG9" s="119"/>
      <c r="AH9" s="119"/>
      <c r="AI9" s="119"/>
      <c r="AJ9" s="119"/>
      <c r="AK9" s="119"/>
      <c r="AL9" s="119"/>
      <c r="AM9" s="119"/>
      <c r="AN9" s="119"/>
      <c r="AO9" s="119"/>
      <c r="AP9" s="2"/>
      <c r="AQ9" s="2" t="s">
        <v>225</v>
      </c>
      <c r="AR9" s="2"/>
      <c r="AS9" s="2"/>
      <c r="AT9" s="2"/>
      <c r="AU9" s="2"/>
      <c r="AV9" s="2"/>
      <c r="AW9" s="2"/>
      <c r="AX9" s="2"/>
      <c r="AY9" s="2"/>
      <c r="AZ9" s="123" t="s">
        <v>230</v>
      </c>
      <c r="BA9" s="123"/>
      <c r="BB9" s="123" t="s">
        <v>171</v>
      </c>
      <c r="BC9" s="123"/>
    </row>
    <row r="10" spans="2:55" ht="39.6" x14ac:dyDescent="0.3">
      <c r="B10" s="105" t="s">
        <v>120</v>
      </c>
      <c r="C10" s="1">
        <v>50</v>
      </c>
      <c r="D10" s="1" t="s">
        <v>220</v>
      </c>
      <c r="E10" s="1" t="s">
        <v>219</v>
      </c>
      <c r="F10" s="1" t="s">
        <v>134</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156</v>
      </c>
      <c r="Y10" s="6">
        <f>WORKDAY(H10,20)</f>
        <v>46023</v>
      </c>
      <c r="Z10" s="107" t="s">
        <v>162</v>
      </c>
      <c r="AA10" s="6"/>
      <c r="AB10" s="6" t="s">
        <v>31</v>
      </c>
      <c r="AC10" s="6"/>
      <c r="AD10" s="6"/>
      <c r="AE10" s="6"/>
      <c r="AF10" s="6">
        <f>EDATE(H10,3)</f>
        <v>46085</v>
      </c>
      <c r="AG10" s="6"/>
      <c r="AH10" s="6"/>
      <c r="AI10" s="6">
        <f>EDATE(AF10,3)</f>
        <v>46177</v>
      </c>
      <c r="AJ10" s="6"/>
      <c r="AK10" s="6">
        <f t="shared" ref="AK10:AK21" si="0">AI10</f>
        <v>46177</v>
      </c>
      <c r="AL10" s="6">
        <f>AK10+14</f>
        <v>46191</v>
      </c>
      <c r="AM10" s="6"/>
      <c r="AN10" s="6">
        <f>AL10+60</f>
        <v>46251</v>
      </c>
      <c r="AO10" s="6">
        <v>46934</v>
      </c>
      <c r="AP10" s="2" t="s">
        <v>61</v>
      </c>
      <c r="AQ10" s="2" t="s">
        <v>225</v>
      </c>
      <c r="AR10" s="7" t="s">
        <v>62</v>
      </c>
      <c r="AS10" s="108" t="s">
        <v>266</v>
      </c>
      <c r="AT10" s="2" t="s">
        <v>35</v>
      </c>
      <c r="AU10" s="2"/>
      <c r="AV10" s="2"/>
      <c r="AW10" s="127" t="s">
        <v>249</v>
      </c>
      <c r="AX10" s="2"/>
      <c r="AY10" s="11" t="s">
        <v>63</v>
      </c>
      <c r="AZ10" s="123" t="s">
        <v>64</v>
      </c>
      <c r="BA10" s="123" t="s">
        <v>206</v>
      </c>
      <c r="BB10" s="123" t="s">
        <v>235</v>
      </c>
      <c r="BC10" s="124" t="s">
        <v>165</v>
      </c>
    </row>
    <row r="11" spans="2:55" ht="52.8" x14ac:dyDescent="0.3">
      <c r="B11" s="105" t="s">
        <v>121</v>
      </c>
      <c r="C11" s="1">
        <v>51</v>
      </c>
      <c r="D11" s="1" t="s">
        <v>220</v>
      </c>
      <c r="E11" s="1" t="s">
        <v>219</v>
      </c>
      <c r="F11" s="1" t="s">
        <v>134</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156</v>
      </c>
      <c r="Y11" s="6">
        <f>WORKDAY(H11,20)</f>
        <v>46023</v>
      </c>
      <c r="Z11" s="107" t="s">
        <v>162</v>
      </c>
      <c r="AA11" s="6"/>
      <c r="AB11" s="6" t="s">
        <v>31</v>
      </c>
      <c r="AC11" s="6"/>
      <c r="AD11" s="6"/>
      <c r="AE11" s="6"/>
      <c r="AF11" s="6">
        <f>EDATE(H11,3)</f>
        <v>46085</v>
      </c>
      <c r="AG11" s="6"/>
      <c r="AH11" s="6"/>
      <c r="AI11" s="6">
        <f t="shared" ref="AI11:AI21" si="1">EDATE(AF11,3)</f>
        <v>46177</v>
      </c>
      <c r="AJ11" s="6"/>
      <c r="AK11" s="6">
        <f t="shared" si="0"/>
        <v>46177</v>
      </c>
      <c r="AL11" s="6">
        <f t="shared" ref="AL11:AL21" si="2">AK11+14</f>
        <v>46191</v>
      </c>
      <c r="AM11" s="6"/>
      <c r="AN11" s="6">
        <f t="shared" ref="AN11:AN28" si="3">AL11+60</f>
        <v>46251</v>
      </c>
      <c r="AO11" s="6">
        <v>46934</v>
      </c>
      <c r="AP11" s="2" t="s">
        <v>65</v>
      </c>
      <c r="AQ11" s="2" t="s">
        <v>225</v>
      </c>
      <c r="AR11" s="7" t="s">
        <v>62</v>
      </c>
      <c r="AS11" s="7"/>
      <c r="AT11" s="2" t="s">
        <v>35</v>
      </c>
      <c r="AU11" s="2"/>
      <c r="AV11" s="2"/>
      <c r="AW11" s="127" t="s">
        <v>249</v>
      </c>
      <c r="AX11" s="2"/>
      <c r="AY11" s="11" t="s">
        <v>63</v>
      </c>
      <c r="AZ11" s="123" t="s">
        <v>64</v>
      </c>
      <c r="BA11" s="123" t="s">
        <v>206</v>
      </c>
      <c r="BB11" s="123" t="s">
        <v>235</v>
      </c>
      <c r="BC11" s="124" t="s">
        <v>165</v>
      </c>
    </row>
    <row r="12" spans="2:55" ht="66" x14ac:dyDescent="0.3">
      <c r="B12" s="105" t="s">
        <v>122</v>
      </c>
      <c r="C12" s="1">
        <v>52</v>
      </c>
      <c r="D12" s="1" t="s">
        <v>188</v>
      </c>
      <c r="E12" s="1" t="s">
        <v>190</v>
      </c>
      <c r="F12" s="1" t="s">
        <v>134</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156</v>
      </c>
      <c r="Y12" s="6">
        <f>WORKDAY(H12,20)</f>
        <v>45986</v>
      </c>
      <c r="Z12" s="107" t="s">
        <v>162</v>
      </c>
      <c r="AA12" s="6"/>
      <c r="AB12" s="6" t="s">
        <v>31</v>
      </c>
      <c r="AC12" s="6"/>
      <c r="AD12" s="6"/>
      <c r="AE12" s="6"/>
      <c r="AF12" s="6">
        <f>EDATE(H12,3)</f>
        <v>46050</v>
      </c>
      <c r="AG12" s="6"/>
      <c r="AH12" s="6"/>
      <c r="AI12" s="6">
        <f t="shared" si="1"/>
        <v>46140</v>
      </c>
      <c r="AJ12" s="6"/>
      <c r="AK12" s="6">
        <f t="shared" si="0"/>
        <v>46140</v>
      </c>
      <c r="AL12" s="6">
        <f t="shared" si="2"/>
        <v>46154</v>
      </c>
      <c r="AM12" s="6"/>
      <c r="AN12" s="6">
        <f t="shared" si="3"/>
        <v>46214</v>
      </c>
      <c r="AO12" s="6">
        <v>46323</v>
      </c>
      <c r="AP12" s="2" t="s">
        <v>58</v>
      </c>
      <c r="AQ12" s="2" t="s">
        <v>225</v>
      </c>
      <c r="AR12" s="7" t="s">
        <v>57</v>
      </c>
      <c r="AS12" s="7"/>
      <c r="AT12" s="2" t="s">
        <v>35</v>
      </c>
      <c r="AU12" s="2"/>
      <c r="AV12" s="2"/>
      <c r="AW12" s="2"/>
      <c r="AX12" s="2"/>
      <c r="AY12" s="2"/>
      <c r="AZ12" s="123" t="s">
        <v>242</v>
      </c>
      <c r="BA12" s="123" t="s">
        <v>198</v>
      </c>
      <c r="BB12" s="123" t="s">
        <v>191</v>
      </c>
      <c r="BC12" s="124" t="s">
        <v>192</v>
      </c>
    </row>
    <row r="13" spans="2:55" ht="26.4" x14ac:dyDescent="0.3">
      <c r="B13" s="105" t="s">
        <v>66</v>
      </c>
      <c r="C13" s="1">
        <v>55</v>
      </c>
      <c r="D13" s="1" t="s">
        <v>221</v>
      </c>
      <c r="E13" s="1" t="s">
        <v>194</v>
      </c>
      <c r="F13" s="1" t="s">
        <v>134</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259</v>
      </c>
      <c r="Y13" s="119"/>
      <c r="Z13" s="120"/>
      <c r="AA13" s="120"/>
      <c r="AB13" s="119"/>
      <c r="AC13" s="119"/>
      <c r="AD13" s="119"/>
      <c r="AE13" s="119"/>
      <c r="AF13" s="119"/>
      <c r="AG13" s="119"/>
      <c r="AH13" s="119"/>
      <c r="AI13" s="119"/>
      <c r="AJ13" s="119"/>
      <c r="AK13" s="119"/>
      <c r="AL13" s="119"/>
      <c r="AM13" s="119"/>
      <c r="AN13" s="119"/>
      <c r="AO13" s="119"/>
      <c r="AP13" s="2" t="s">
        <v>67</v>
      </c>
      <c r="AQ13" s="2" t="s">
        <v>225</v>
      </c>
      <c r="AR13" s="2"/>
      <c r="AS13" s="2"/>
      <c r="AT13" s="2"/>
      <c r="AU13" s="2"/>
      <c r="AV13" s="2"/>
      <c r="AW13" s="2"/>
      <c r="AX13" s="2"/>
      <c r="AY13" s="2"/>
      <c r="AZ13" s="123"/>
      <c r="BA13" s="123"/>
      <c r="BB13" s="123"/>
      <c r="BC13" s="124"/>
    </row>
    <row r="14" spans="2:55" ht="158.4" x14ac:dyDescent="0.3">
      <c r="B14" s="105" t="s">
        <v>59</v>
      </c>
      <c r="C14" s="1">
        <v>59</v>
      </c>
      <c r="D14" s="1" t="s">
        <v>193</v>
      </c>
      <c r="E14" s="1" t="s">
        <v>194</v>
      </c>
      <c r="F14" s="1" t="s">
        <v>134</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156</v>
      </c>
      <c r="Y14" s="6">
        <f>WORKDAY(H14,20)</f>
        <v>45995</v>
      </c>
      <c r="Z14" s="107" t="s">
        <v>162</v>
      </c>
      <c r="AA14" s="6"/>
      <c r="AB14" s="6" t="s">
        <v>31</v>
      </c>
      <c r="AC14" s="6"/>
      <c r="AD14" s="6"/>
      <c r="AE14" s="6"/>
      <c r="AF14" s="6">
        <f>EDATE(H14,3)</f>
        <v>46059</v>
      </c>
      <c r="AG14" s="6"/>
      <c r="AH14" s="6"/>
      <c r="AI14" s="6">
        <f t="shared" si="1"/>
        <v>46148</v>
      </c>
      <c r="AJ14" s="6"/>
      <c r="AK14" s="6">
        <f t="shared" si="0"/>
        <v>46148</v>
      </c>
      <c r="AL14" s="6">
        <f t="shared" si="2"/>
        <v>46162</v>
      </c>
      <c r="AM14" s="6"/>
      <c r="AN14" s="6">
        <f t="shared" si="3"/>
        <v>46222</v>
      </c>
      <c r="AO14" s="6">
        <v>46934</v>
      </c>
      <c r="AP14" s="2" t="s">
        <v>33</v>
      </c>
      <c r="AQ14" s="2" t="s">
        <v>225</v>
      </c>
      <c r="AR14" s="7" t="s">
        <v>59</v>
      </c>
      <c r="AS14" s="7"/>
      <c r="AT14" s="2" t="s">
        <v>35</v>
      </c>
      <c r="AU14" s="2"/>
      <c r="AV14" s="2"/>
      <c r="AW14" s="2"/>
      <c r="AX14" s="2"/>
      <c r="AY14" s="2"/>
      <c r="AZ14" s="123" t="s">
        <v>60</v>
      </c>
      <c r="BA14" s="123" t="s">
        <v>236</v>
      </c>
      <c r="BB14" s="123" t="s">
        <v>240</v>
      </c>
      <c r="BC14" s="124"/>
    </row>
    <row r="15" spans="2:55" ht="52.8" x14ac:dyDescent="0.3">
      <c r="B15" s="105" t="s">
        <v>54</v>
      </c>
      <c r="C15" s="1">
        <v>26</v>
      </c>
      <c r="D15" s="1" t="s">
        <v>222</v>
      </c>
      <c r="E15" s="1" t="s">
        <v>194</v>
      </c>
      <c r="F15" s="1" t="s">
        <v>134</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259</v>
      </c>
      <c r="Y15" s="119"/>
      <c r="Z15" s="120"/>
      <c r="AA15" s="120"/>
      <c r="AB15" s="119"/>
      <c r="AC15" s="119"/>
      <c r="AD15" s="119"/>
      <c r="AE15" s="119"/>
      <c r="AF15" s="119"/>
      <c r="AG15" s="119"/>
      <c r="AH15" s="119"/>
      <c r="AI15" s="119"/>
      <c r="AJ15" s="119"/>
      <c r="AK15" s="119"/>
      <c r="AL15" s="119"/>
      <c r="AM15" s="119"/>
      <c r="AN15" s="119"/>
      <c r="AO15" s="119"/>
      <c r="AP15" s="2"/>
      <c r="AQ15" s="2" t="s">
        <v>225</v>
      </c>
      <c r="AR15" s="2" t="s">
        <v>55</v>
      </c>
      <c r="AS15" s="2"/>
      <c r="AT15" s="2"/>
      <c r="AU15" s="2"/>
      <c r="AV15" s="2"/>
      <c r="AW15" s="2"/>
      <c r="AX15" s="2"/>
      <c r="AY15" s="2"/>
      <c r="AZ15" s="123" t="s">
        <v>56</v>
      </c>
      <c r="BA15" s="123"/>
      <c r="BB15" s="123"/>
      <c r="BC15" s="124"/>
    </row>
    <row r="16" spans="2:55" ht="39.6" x14ac:dyDescent="0.3">
      <c r="B16" s="105" t="s">
        <v>27</v>
      </c>
      <c r="C16" s="1">
        <v>68</v>
      </c>
      <c r="D16" s="1" t="s">
        <v>195</v>
      </c>
      <c r="E16" s="1" t="s">
        <v>194</v>
      </c>
      <c r="F16" s="1" t="s">
        <v>134</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261</v>
      </c>
      <c r="Y16" s="6">
        <f t="shared" ref="Y16:Y21" si="4">WORKDAY(H16,20)</f>
        <v>45950</v>
      </c>
      <c r="Z16" s="126" t="s">
        <v>31</v>
      </c>
      <c r="AA16" s="6"/>
      <c r="AB16" s="6" t="s">
        <v>31</v>
      </c>
      <c r="AC16" s="6"/>
      <c r="AD16" s="6"/>
      <c r="AE16" s="6"/>
      <c r="AF16" s="6">
        <f t="shared" ref="AF16:AF21" si="5">EDATE(H16,3)</f>
        <v>46013</v>
      </c>
      <c r="AG16" s="6"/>
      <c r="AH16" s="6"/>
      <c r="AI16" s="6">
        <f t="shared" si="1"/>
        <v>46103</v>
      </c>
      <c r="AJ16" s="6"/>
      <c r="AK16" s="6">
        <f t="shared" si="0"/>
        <v>46103</v>
      </c>
      <c r="AL16" s="6">
        <f t="shared" si="2"/>
        <v>46117</v>
      </c>
      <c r="AM16" s="6"/>
      <c r="AN16" s="6">
        <f t="shared" si="3"/>
        <v>46177</v>
      </c>
      <c r="AO16" s="6">
        <v>46934</v>
      </c>
      <c r="AP16" s="2" t="s">
        <v>33</v>
      </c>
      <c r="AQ16" s="2" t="s">
        <v>225</v>
      </c>
      <c r="AR16" s="2" t="s">
        <v>34</v>
      </c>
      <c r="AS16" s="2"/>
      <c r="AT16" s="2" t="s">
        <v>35</v>
      </c>
      <c r="AU16" s="2"/>
      <c r="AV16" s="2"/>
      <c r="AW16" s="2"/>
      <c r="AX16" s="2"/>
      <c r="AY16" s="2"/>
      <c r="AZ16" s="123" t="s">
        <v>36</v>
      </c>
      <c r="BA16" s="123" t="s">
        <v>198</v>
      </c>
      <c r="BB16" s="123" t="s">
        <v>197</v>
      </c>
      <c r="BC16" s="124"/>
    </row>
    <row r="17" spans="2:55" ht="59.7" customHeight="1" x14ac:dyDescent="0.3">
      <c r="B17" s="105" t="s">
        <v>262</v>
      </c>
      <c r="C17" s="1" t="s">
        <v>45</v>
      </c>
      <c r="D17" s="1" t="s">
        <v>199</v>
      </c>
      <c r="E17" s="1" t="s">
        <v>194</v>
      </c>
      <c r="F17" s="1" t="s">
        <v>134</v>
      </c>
      <c r="G17" s="1"/>
      <c r="H17" s="6">
        <v>45940</v>
      </c>
      <c r="I17" s="5">
        <v>19300000</v>
      </c>
      <c r="J17" s="5" t="s">
        <v>28</v>
      </c>
      <c r="K17" s="6">
        <v>45920</v>
      </c>
      <c r="L17" s="1">
        <v>1</v>
      </c>
      <c r="M17" s="1">
        <v>0</v>
      </c>
      <c r="N17" s="1">
        <v>0</v>
      </c>
      <c r="O17" s="1">
        <v>0</v>
      </c>
      <c r="P17" s="10" t="s">
        <v>38</v>
      </c>
      <c r="Q17" s="1" t="s">
        <v>30</v>
      </c>
      <c r="R17" s="1" t="s">
        <v>32</v>
      </c>
      <c r="S17" s="1" t="s">
        <v>32</v>
      </c>
      <c r="T17" s="1" t="s">
        <v>32</v>
      </c>
      <c r="U17" s="1" t="s">
        <v>31</v>
      </c>
      <c r="V17" s="1" t="s">
        <v>31</v>
      </c>
      <c r="W17" s="1"/>
      <c r="X17" s="1" t="s">
        <v>156</v>
      </c>
      <c r="Y17" s="6">
        <f t="shared" si="4"/>
        <v>45968</v>
      </c>
      <c r="Z17" s="107" t="s">
        <v>162</v>
      </c>
      <c r="AA17" s="6"/>
      <c r="AB17" s="6" t="s">
        <v>31</v>
      </c>
      <c r="AC17" s="6"/>
      <c r="AD17" s="6"/>
      <c r="AE17" s="6"/>
      <c r="AF17" s="6">
        <f t="shared" si="5"/>
        <v>46032</v>
      </c>
      <c r="AG17" s="6"/>
      <c r="AH17" s="6"/>
      <c r="AI17" s="6">
        <f t="shared" si="1"/>
        <v>46122</v>
      </c>
      <c r="AJ17" s="6"/>
      <c r="AK17" s="6">
        <f t="shared" si="0"/>
        <v>46122</v>
      </c>
      <c r="AL17" s="6">
        <f t="shared" si="2"/>
        <v>46136</v>
      </c>
      <c r="AM17" s="6"/>
      <c r="AN17" s="6">
        <f t="shared" si="3"/>
        <v>46196</v>
      </c>
      <c r="AO17" s="6">
        <v>46934</v>
      </c>
      <c r="AP17" s="2" t="s">
        <v>46</v>
      </c>
      <c r="AQ17" s="2" t="s">
        <v>225</v>
      </c>
      <c r="AR17" s="7" t="s">
        <v>47</v>
      </c>
      <c r="AS17" s="108" t="s">
        <v>266</v>
      </c>
      <c r="AT17" s="2" t="s">
        <v>48</v>
      </c>
      <c r="AU17" s="2"/>
      <c r="AV17" s="2"/>
      <c r="AW17" s="127" t="s">
        <v>249</v>
      </c>
      <c r="AX17" s="2"/>
      <c r="AY17" s="2"/>
      <c r="AZ17" s="125" t="s">
        <v>243</v>
      </c>
      <c r="BA17" s="125" t="s">
        <v>206</v>
      </c>
      <c r="BB17" s="123" t="s">
        <v>268</v>
      </c>
      <c r="BC17" s="124" t="s">
        <v>200</v>
      </c>
    </row>
    <row r="18" spans="2:55" ht="37.5" customHeight="1" x14ac:dyDescent="0.3">
      <c r="B18" s="105" t="s">
        <v>37</v>
      </c>
      <c r="C18" s="1">
        <v>35</v>
      </c>
      <c r="D18" s="1" t="s">
        <v>201</v>
      </c>
      <c r="E18" s="1" t="s">
        <v>190</v>
      </c>
      <c r="F18" s="1" t="s">
        <v>134</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156</v>
      </c>
      <c r="Y18" s="6">
        <f t="shared" si="4"/>
        <v>45957</v>
      </c>
      <c r="Z18" s="107" t="s">
        <v>162</v>
      </c>
      <c r="AA18" s="6"/>
      <c r="AB18" s="6" t="s">
        <v>31</v>
      </c>
      <c r="AC18" s="6"/>
      <c r="AD18" s="6"/>
      <c r="AE18" s="6"/>
      <c r="AF18" s="6">
        <f t="shared" si="5"/>
        <v>46020</v>
      </c>
      <c r="AG18" s="6"/>
      <c r="AH18" s="6"/>
      <c r="AI18" s="6">
        <f t="shared" si="1"/>
        <v>46110</v>
      </c>
      <c r="AJ18" s="6"/>
      <c r="AK18" s="6">
        <f t="shared" si="0"/>
        <v>46110</v>
      </c>
      <c r="AL18" s="6">
        <f t="shared" si="2"/>
        <v>46124</v>
      </c>
      <c r="AM18" s="6"/>
      <c r="AN18" s="6">
        <f t="shared" si="3"/>
        <v>46184</v>
      </c>
      <c r="AO18" s="6">
        <v>46934</v>
      </c>
      <c r="AP18" s="2" t="s">
        <v>41</v>
      </c>
      <c r="AQ18" s="2" t="s">
        <v>225</v>
      </c>
      <c r="AR18" s="7" t="s">
        <v>37</v>
      </c>
      <c r="AS18" s="7"/>
      <c r="AT18" s="2" t="s">
        <v>42</v>
      </c>
      <c r="AU18" s="2"/>
      <c r="AV18" s="2"/>
      <c r="AW18" s="127" t="s">
        <v>249</v>
      </c>
      <c r="AX18" s="2"/>
      <c r="AY18" s="2" t="s">
        <v>43</v>
      </c>
      <c r="AZ18" s="123" t="s">
        <v>44</v>
      </c>
      <c r="BA18" s="123" t="s">
        <v>206</v>
      </c>
      <c r="BB18" s="123" t="s">
        <v>273</v>
      </c>
      <c r="BC18" s="124" t="s">
        <v>200</v>
      </c>
    </row>
    <row r="19" spans="2:55" ht="49.95" customHeight="1" x14ac:dyDescent="0.3">
      <c r="B19" s="105" t="s">
        <v>52</v>
      </c>
      <c r="C19" s="1" t="s">
        <v>53</v>
      </c>
      <c r="D19" s="1" t="s">
        <v>217</v>
      </c>
      <c r="E19" s="1" t="s">
        <v>194</v>
      </c>
      <c r="F19" s="1" t="s">
        <v>134</v>
      </c>
      <c r="G19" s="1"/>
      <c r="H19" s="6">
        <v>45945</v>
      </c>
      <c r="I19" s="5">
        <v>19600000</v>
      </c>
      <c r="J19" s="5" t="s">
        <v>28</v>
      </c>
      <c r="K19" s="6">
        <v>45920</v>
      </c>
      <c r="L19" s="1">
        <v>1</v>
      </c>
      <c r="M19" s="1">
        <v>0</v>
      </c>
      <c r="N19" s="1">
        <v>0</v>
      </c>
      <c r="O19" s="1">
        <v>0</v>
      </c>
      <c r="P19" s="10" t="s">
        <v>38</v>
      </c>
      <c r="Q19" s="1" t="s">
        <v>30</v>
      </c>
      <c r="R19" s="1" t="s">
        <v>32</v>
      </c>
      <c r="S19" s="1" t="s">
        <v>32</v>
      </c>
      <c r="T19" s="1" t="s">
        <v>32</v>
      </c>
      <c r="U19" s="1" t="s">
        <v>31</v>
      </c>
      <c r="V19" s="1" t="s">
        <v>31</v>
      </c>
      <c r="W19" s="1"/>
      <c r="X19" s="1" t="s">
        <v>156</v>
      </c>
      <c r="Y19" s="6">
        <f t="shared" si="4"/>
        <v>45973</v>
      </c>
      <c r="Z19" s="107" t="s">
        <v>162</v>
      </c>
      <c r="AA19" s="6"/>
      <c r="AB19" s="6" t="s">
        <v>31</v>
      </c>
      <c r="AC19" s="6"/>
      <c r="AD19" s="6"/>
      <c r="AE19" s="6"/>
      <c r="AF19" s="6">
        <f t="shared" si="5"/>
        <v>46037</v>
      </c>
      <c r="AG19" s="6"/>
      <c r="AH19" s="6"/>
      <c r="AI19" s="6">
        <f t="shared" si="1"/>
        <v>46127</v>
      </c>
      <c r="AJ19" s="6"/>
      <c r="AK19" s="6">
        <f t="shared" si="0"/>
        <v>46127</v>
      </c>
      <c r="AL19" s="6">
        <f t="shared" si="2"/>
        <v>46141</v>
      </c>
      <c r="AM19" s="6"/>
      <c r="AN19" s="6">
        <f t="shared" si="3"/>
        <v>46201</v>
      </c>
      <c r="AO19" s="6">
        <v>46934</v>
      </c>
      <c r="AP19" s="2" t="s">
        <v>46</v>
      </c>
      <c r="AQ19" s="2" t="s">
        <v>225</v>
      </c>
      <c r="AR19" s="7" t="s">
        <v>51</v>
      </c>
      <c r="AS19" s="7"/>
      <c r="AT19" s="2" t="s">
        <v>48</v>
      </c>
      <c r="AU19" s="2"/>
      <c r="AV19" s="2"/>
      <c r="AW19" s="127" t="s">
        <v>249</v>
      </c>
      <c r="AX19" s="2"/>
      <c r="AY19" s="2"/>
      <c r="AZ19" s="125" t="s">
        <v>244</v>
      </c>
      <c r="BA19" s="123" t="s">
        <v>206</v>
      </c>
      <c r="BB19" s="123" t="s">
        <v>267</v>
      </c>
      <c r="BC19" s="124" t="s">
        <v>200</v>
      </c>
    </row>
    <row r="20" spans="2:55" ht="52.8" x14ac:dyDescent="0.3">
      <c r="B20" s="105" t="s">
        <v>49</v>
      </c>
      <c r="C20" s="1" t="s">
        <v>50</v>
      </c>
      <c r="D20" s="1" t="s">
        <v>203</v>
      </c>
      <c r="E20" s="1" t="s">
        <v>194</v>
      </c>
      <c r="F20" s="1" t="s">
        <v>134</v>
      </c>
      <c r="G20" s="1"/>
      <c r="H20" s="6">
        <v>45941</v>
      </c>
      <c r="I20" s="5">
        <v>19900000</v>
      </c>
      <c r="J20" s="5" t="s">
        <v>28</v>
      </c>
      <c r="K20" s="6">
        <v>45920</v>
      </c>
      <c r="L20" s="1">
        <v>1</v>
      </c>
      <c r="M20" s="1">
        <v>0</v>
      </c>
      <c r="N20" s="1">
        <v>0</v>
      </c>
      <c r="O20" s="1">
        <v>0</v>
      </c>
      <c r="P20" s="10" t="s">
        <v>38</v>
      </c>
      <c r="Q20" s="1" t="s">
        <v>30</v>
      </c>
      <c r="R20" s="1" t="s">
        <v>32</v>
      </c>
      <c r="S20" s="1" t="s">
        <v>32</v>
      </c>
      <c r="T20" s="1" t="s">
        <v>32</v>
      </c>
      <c r="U20" s="1" t="s">
        <v>32</v>
      </c>
      <c r="V20" s="1" t="s">
        <v>32</v>
      </c>
      <c r="W20" s="1" t="s">
        <v>40</v>
      </c>
      <c r="X20" s="1" t="s">
        <v>156</v>
      </c>
      <c r="Y20" s="6">
        <f t="shared" si="4"/>
        <v>45968</v>
      </c>
      <c r="Z20" s="107" t="s">
        <v>162</v>
      </c>
      <c r="AA20" s="6"/>
      <c r="AB20" s="6" t="s">
        <v>31</v>
      </c>
      <c r="AC20" s="6"/>
      <c r="AD20" s="6"/>
      <c r="AE20" s="6"/>
      <c r="AF20" s="6">
        <f t="shared" si="5"/>
        <v>46033</v>
      </c>
      <c r="AG20" s="6"/>
      <c r="AH20" s="6"/>
      <c r="AI20" s="6">
        <f t="shared" si="1"/>
        <v>46123</v>
      </c>
      <c r="AJ20" s="6"/>
      <c r="AK20" s="6">
        <f t="shared" si="0"/>
        <v>46123</v>
      </c>
      <c r="AL20" s="6">
        <f t="shared" si="2"/>
        <v>46137</v>
      </c>
      <c r="AM20" s="6"/>
      <c r="AN20" s="6">
        <f t="shared" si="3"/>
        <v>46197</v>
      </c>
      <c r="AO20" s="6">
        <v>46934</v>
      </c>
      <c r="AP20" s="2" t="s">
        <v>46</v>
      </c>
      <c r="AQ20" s="2" t="s">
        <v>225</v>
      </c>
      <c r="AR20" s="7" t="s">
        <v>51</v>
      </c>
      <c r="AS20" s="7"/>
      <c r="AT20" s="2" t="s">
        <v>48</v>
      </c>
      <c r="AU20" s="2"/>
      <c r="AV20" s="2"/>
      <c r="AW20" s="127" t="s">
        <v>249</v>
      </c>
      <c r="AX20" s="2"/>
      <c r="AY20" s="2"/>
      <c r="AZ20" s="125" t="s">
        <v>244</v>
      </c>
      <c r="BA20" s="123" t="s">
        <v>206</v>
      </c>
      <c r="BB20" s="123" t="s">
        <v>267</v>
      </c>
      <c r="BC20" s="124"/>
    </row>
    <row r="21" spans="2:55" ht="39.6" x14ac:dyDescent="0.3">
      <c r="B21" s="105" t="s">
        <v>160</v>
      </c>
      <c r="C21" s="1">
        <v>37</v>
      </c>
      <c r="D21" s="1" t="s">
        <v>214</v>
      </c>
      <c r="E21" s="1" t="s">
        <v>194</v>
      </c>
      <c r="F21" s="1" t="s">
        <v>134</v>
      </c>
      <c r="G21" s="1"/>
      <c r="H21" s="6">
        <v>46072</v>
      </c>
      <c r="I21" s="5">
        <v>39000000</v>
      </c>
      <c r="J21" s="5" t="s">
        <v>28</v>
      </c>
      <c r="K21" s="6">
        <v>45971</v>
      </c>
      <c r="L21" s="10">
        <v>4</v>
      </c>
      <c r="M21" s="1">
        <v>0</v>
      </c>
      <c r="N21" s="1">
        <v>0</v>
      </c>
      <c r="O21" s="1">
        <v>0</v>
      </c>
      <c r="P21" s="10" t="s">
        <v>172</v>
      </c>
      <c r="Q21" s="1" t="s">
        <v>39</v>
      </c>
      <c r="R21" s="1" t="s">
        <v>31</v>
      </c>
      <c r="S21" s="1" t="s">
        <v>32</v>
      </c>
      <c r="T21" s="1" t="s">
        <v>31</v>
      </c>
      <c r="U21" s="1" t="s">
        <v>31</v>
      </c>
      <c r="V21" s="1" t="s">
        <v>31</v>
      </c>
      <c r="W21" s="1"/>
      <c r="X21" s="1" t="s">
        <v>156</v>
      </c>
      <c r="Y21" s="6">
        <f t="shared" si="4"/>
        <v>46100</v>
      </c>
      <c r="Z21" s="107" t="s">
        <v>32</v>
      </c>
      <c r="AA21" s="6"/>
      <c r="AB21" s="6" t="s">
        <v>31</v>
      </c>
      <c r="AC21" s="6"/>
      <c r="AD21" s="6"/>
      <c r="AE21" s="6"/>
      <c r="AF21" s="6">
        <f t="shared" si="5"/>
        <v>46161</v>
      </c>
      <c r="AG21" s="6"/>
      <c r="AH21" s="6"/>
      <c r="AI21" s="6">
        <f t="shared" si="1"/>
        <v>46253</v>
      </c>
      <c r="AJ21" s="6"/>
      <c r="AK21" s="6">
        <f t="shared" si="0"/>
        <v>46253</v>
      </c>
      <c r="AL21" s="6">
        <f t="shared" si="2"/>
        <v>46267</v>
      </c>
      <c r="AM21" s="6"/>
      <c r="AN21" s="6"/>
      <c r="AO21" s="6">
        <v>46934</v>
      </c>
      <c r="AP21" s="2" t="s">
        <v>233</v>
      </c>
      <c r="AQ21" s="2" t="s">
        <v>225</v>
      </c>
      <c r="AR21" s="108" t="s">
        <v>246</v>
      </c>
      <c r="AS21" s="108"/>
      <c r="AT21" s="2" t="s">
        <v>28</v>
      </c>
      <c r="AU21" s="2"/>
      <c r="AV21" s="2"/>
      <c r="AW21" s="127" t="s">
        <v>249</v>
      </c>
      <c r="AX21" s="2"/>
      <c r="AY21" s="2"/>
      <c r="AZ21" s="125" t="s">
        <v>161</v>
      </c>
      <c r="BA21" s="125" t="s">
        <v>236</v>
      </c>
      <c r="BB21" s="123" t="s">
        <v>269</v>
      </c>
      <c r="BC21" s="124" t="s">
        <v>200</v>
      </c>
    </row>
    <row r="22" spans="2:55" ht="39.6" x14ac:dyDescent="0.3">
      <c r="B22" s="105" t="s">
        <v>135</v>
      </c>
      <c r="C22" s="1"/>
      <c r="D22" s="1" t="s">
        <v>216</v>
      </c>
      <c r="E22" s="1" t="s">
        <v>207</v>
      </c>
      <c r="F22" s="1" t="s">
        <v>136</v>
      </c>
      <c r="G22" s="1"/>
      <c r="H22" s="6"/>
      <c r="I22" s="5"/>
      <c r="J22" s="5"/>
      <c r="K22" s="6"/>
      <c r="L22" s="1"/>
      <c r="M22" s="1"/>
      <c r="N22" s="1"/>
      <c r="O22" s="1"/>
      <c r="P22" s="1"/>
      <c r="Q22" s="1"/>
      <c r="R22" s="1"/>
      <c r="S22" s="1"/>
      <c r="T22" s="1"/>
      <c r="U22" s="1"/>
      <c r="V22" s="1"/>
      <c r="W22" s="1"/>
      <c r="X22" s="1" t="s">
        <v>156</v>
      </c>
      <c r="Y22" s="1"/>
      <c r="Z22" s="107" t="s">
        <v>32</v>
      </c>
      <c r="AA22" s="6"/>
      <c r="AB22" s="6" t="s">
        <v>31</v>
      </c>
      <c r="AC22" s="1"/>
      <c r="AD22" s="1"/>
      <c r="AE22" s="1"/>
      <c r="AF22" s="6"/>
      <c r="AG22" s="6"/>
      <c r="AH22" s="6"/>
      <c r="AI22" s="6"/>
      <c r="AJ22" s="6"/>
      <c r="AK22" s="1"/>
      <c r="AL22" s="6"/>
      <c r="AM22" s="6"/>
      <c r="AN22" s="6"/>
      <c r="AO22" s="6"/>
      <c r="AP22" s="2"/>
      <c r="AQ22" s="2"/>
      <c r="AR22" s="7" t="s">
        <v>241</v>
      </c>
      <c r="AS22" s="7"/>
      <c r="AT22" s="2"/>
      <c r="AU22" s="2"/>
      <c r="AV22" s="2"/>
      <c r="AW22" s="127" t="s">
        <v>249</v>
      </c>
      <c r="AX22" s="2"/>
      <c r="AY22" s="2"/>
      <c r="AZ22" s="123" t="s">
        <v>186</v>
      </c>
      <c r="BA22" s="123" t="s">
        <v>202</v>
      </c>
      <c r="BB22" s="123" t="s">
        <v>248</v>
      </c>
      <c r="BC22" s="123"/>
    </row>
    <row r="23" spans="2:55" ht="26.4" x14ac:dyDescent="0.3">
      <c r="B23" s="105" t="s">
        <v>166</v>
      </c>
      <c r="C23" s="1"/>
      <c r="D23" s="1" t="s">
        <v>232</v>
      </c>
      <c r="E23" s="1" t="s">
        <v>194</v>
      </c>
      <c r="F23" s="1" t="s">
        <v>136</v>
      </c>
      <c r="G23" s="1"/>
      <c r="H23" s="6"/>
      <c r="I23" s="5"/>
      <c r="J23" s="5"/>
      <c r="K23" s="6"/>
      <c r="L23" s="1"/>
      <c r="M23" s="1"/>
      <c r="N23" s="1"/>
      <c r="O23" s="1"/>
      <c r="P23" s="1"/>
      <c r="Q23" s="1"/>
      <c r="R23" s="122" t="s">
        <v>237</v>
      </c>
      <c r="S23" s="1"/>
      <c r="T23" s="1"/>
      <c r="U23" s="1"/>
      <c r="V23" s="1"/>
      <c r="W23" s="1"/>
      <c r="X23" s="1"/>
      <c r="Y23" s="1"/>
      <c r="Z23" s="1"/>
      <c r="AA23" s="1"/>
      <c r="AB23" s="6" t="s">
        <v>31</v>
      </c>
      <c r="AC23" s="1"/>
      <c r="AD23" s="1"/>
      <c r="AE23" s="1"/>
      <c r="AF23" s="6"/>
      <c r="AG23" s="6"/>
      <c r="AH23" s="6"/>
      <c r="AI23" s="6"/>
      <c r="AJ23" s="6"/>
      <c r="AK23" s="1"/>
      <c r="AL23" s="6"/>
      <c r="AM23" s="6"/>
      <c r="AN23" s="6"/>
      <c r="AO23" s="6"/>
      <c r="AP23" s="2"/>
      <c r="AQ23" s="2"/>
      <c r="AR23" s="2"/>
      <c r="AS23" s="2"/>
      <c r="AT23" s="2"/>
      <c r="AU23" s="2"/>
      <c r="AV23" s="2"/>
      <c r="AW23" s="2"/>
      <c r="AX23" s="2"/>
      <c r="AY23" s="2"/>
      <c r="AZ23" s="123" t="s">
        <v>204</v>
      </c>
      <c r="BA23" s="123"/>
      <c r="BB23" s="123"/>
      <c r="BC23" s="123"/>
    </row>
    <row r="24" spans="2:55" x14ac:dyDescent="0.3">
      <c r="B24" s="105" t="s">
        <v>223</v>
      </c>
      <c r="C24" s="1"/>
      <c r="D24" s="1" t="s">
        <v>215</v>
      </c>
      <c r="E24" s="1" t="s">
        <v>194</v>
      </c>
      <c r="F24" s="1" t="s">
        <v>136</v>
      </c>
      <c r="G24" s="1"/>
      <c r="H24" s="6"/>
      <c r="I24" s="5"/>
      <c r="J24" s="5"/>
      <c r="K24" s="6"/>
      <c r="L24" s="1"/>
      <c r="M24" s="1"/>
      <c r="N24" s="1"/>
      <c r="O24" s="1"/>
      <c r="P24" s="1"/>
      <c r="Q24" s="1"/>
      <c r="R24" s="122" t="s">
        <v>238</v>
      </c>
      <c r="S24" s="1"/>
      <c r="T24" s="1"/>
      <c r="U24" s="1"/>
      <c r="V24" s="1"/>
      <c r="W24" s="1"/>
      <c r="X24" s="1"/>
      <c r="Y24" s="1"/>
      <c r="Z24" s="1"/>
      <c r="AA24" s="1"/>
      <c r="AB24" s="6" t="s">
        <v>31</v>
      </c>
      <c r="AC24" s="1"/>
      <c r="AD24" s="1"/>
      <c r="AE24" s="1"/>
      <c r="AF24" s="6"/>
      <c r="AG24" s="6"/>
      <c r="AH24" s="6"/>
      <c r="AI24" s="6"/>
      <c r="AJ24" s="6"/>
      <c r="AK24" s="1"/>
      <c r="AL24" s="6"/>
      <c r="AM24" s="6"/>
      <c r="AN24" s="6"/>
      <c r="AO24" s="6"/>
      <c r="AP24" s="2"/>
      <c r="AQ24" s="2"/>
      <c r="AR24" s="2"/>
      <c r="AS24" s="2"/>
      <c r="AT24" s="2"/>
      <c r="AU24" s="2"/>
      <c r="AV24" s="2"/>
      <c r="AW24" s="2"/>
      <c r="AX24" s="2"/>
      <c r="AY24" s="2"/>
      <c r="AZ24" s="123" t="s">
        <v>231</v>
      </c>
      <c r="BA24" s="123"/>
      <c r="BB24" s="123"/>
      <c r="BC24" s="123"/>
    </row>
    <row r="25" spans="2:55" ht="39.6" x14ac:dyDescent="0.3">
      <c r="B25" s="105" t="s">
        <v>167</v>
      </c>
      <c r="C25" s="1">
        <v>53</v>
      </c>
      <c r="D25" s="1" t="s">
        <v>211</v>
      </c>
      <c r="E25" s="1" t="s">
        <v>194</v>
      </c>
      <c r="F25" s="1" t="s">
        <v>134</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259</v>
      </c>
      <c r="Y25" s="119"/>
      <c r="Z25" s="120"/>
      <c r="AA25" s="120"/>
      <c r="AB25" s="119"/>
      <c r="AC25" s="119"/>
      <c r="AD25" s="119"/>
      <c r="AE25" s="119"/>
      <c r="AF25" s="119"/>
      <c r="AG25" s="119"/>
      <c r="AH25" s="119"/>
      <c r="AI25" s="119"/>
      <c r="AJ25" s="119"/>
      <c r="AK25" s="119"/>
      <c r="AL25" s="119"/>
      <c r="AM25" s="119"/>
      <c r="AN25" s="119"/>
      <c r="AO25" s="119"/>
      <c r="AP25" s="2" t="s">
        <v>228</v>
      </c>
      <c r="AQ25" s="2" t="s">
        <v>225</v>
      </c>
      <c r="AR25" s="2" t="s">
        <v>55</v>
      </c>
      <c r="AS25" s="2"/>
      <c r="AT25" s="2"/>
      <c r="AU25" s="2"/>
      <c r="AV25" s="2"/>
      <c r="AW25" s="2"/>
      <c r="AX25" s="2"/>
      <c r="AY25" s="2"/>
      <c r="AZ25" s="123" t="s">
        <v>245</v>
      </c>
      <c r="BA25" s="123" t="s">
        <v>206</v>
      </c>
      <c r="BB25" s="123"/>
      <c r="BC25" s="123" t="s">
        <v>205</v>
      </c>
    </row>
    <row r="26" spans="2:55" x14ac:dyDescent="0.3">
      <c r="B26" s="105" t="s">
        <v>168</v>
      </c>
      <c r="C26" s="1"/>
      <c r="D26" s="1" t="s">
        <v>212</v>
      </c>
      <c r="E26" s="1" t="s">
        <v>207</v>
      </c>
      <c r="F26" s="1" t="s">
        <v>136</v>
      </c>
      <c r="G26" s="1"/>
      <c r="H26" s="6"/>
      <c r="I26" s="5"/>
      <c r="J26" s="5"/>
      <c r="K26" s="6"/>
      <c r="L26" s="1"/>
      <c r="M26" s="1"/>
      <c r="N26" s="1"/>
      <c r="O26" s="1"/>
      <c r="P26" s="1"/>
      <c r="Q26" s="1"/>
      <c r="R26" s="1"/>
      <c r="S26" s="1"/>
      <c r="T26" s="1"/>
      <c r="U26" s="1"/>
      <c r="V26" s="1"/>
      <c r="W26" s="1"/>
      <c r="X26" s="1"/>
      <c r="Y26" s="1"/>
      <c r="Z26" s="1"/>
      <c r="AA26" s="1"/>
      <c r="AB26" s="1" t="s">
        <v>31</v>
      </c>
      <c r="AC26" s="1"/>
      <c r="AD26" s="1"/>
      <c r="AE26" s="1"/>
      <c r="AF26" s="6"/>
      <c r="AG26" s="6"/>
      <c r="AH26" s="6"/>
      <c r="AI26" s="6"/>
      <c r="AJ26" s="6"/>
      <c r="AK26" s="1"/>
      <c r="AL26" s="6"/>
      <c r="AM26" s="6"/>
      <c r="AN26" s="6"/>
      <c r="AO26" s="6"/>
      <c r="AP26" s="2"/>
      <c r="AQ26" s="2"/>
      <c r="AR26" s="2"/>
      <c r="AS26" s="2"/>
      <c r="AT26" s="2"/>
      <c r="AU26" s="2"/>
      <c r="AV26" s="2"/>
      <c r="AW26" s="2"/>
      <c r="AX26" s="2"/>
      <c r="AY26" s="2"/>
      <c r="AZ26" s="123"/>
      <c r="BA26" s="123" t="s">
        <v>206</v>
      </c>
      <c r="BB26" s="123" t="s">
        <v>270</v>
      </c>
      <c r="BC26" s="123" t="s">
        <v>208</v>
      </c>
    </row>
    <row r="27" spans="2:55" x14ac:dyDescent="0.3">
      <c r="B27" s="105" t="s">
        <v>169</v>
      </c>
      <c r="C27" s="1"/>
      <c r="D27" s="1" t="s">
        <v>213</v>
      </c>
      <c r="E27" s="1" t="s">
        <v>194</v>
      </c>
      <c r="F27" s="1" t="s">
        <v>136</v>
      </c>
      <c r="G27" s="1"/>
      <c r="H27" s="6"/>
      <c r="I27" s="5"/>
      <c r="J27" s="5"/>
      <c r="K27" s="6"/>
      <c r="L27" s="1"/>
      <c r="M27" s="1"/>
      <c r="N27" s="1"/>
      <c r="O27" s="1"/>
      <c r="P27" s="1"/>
      <c r="Q27" s="1"/>
      <c r="R27" s="1"/>
      <c r="S27" s="1"/>
      <c r="T27" s="1"/>
      <c r="U27" s="1"/>
      <c r="V27" s="1"/>
      <c r="W27" s="1"/>
      <c r="X27" s="1"/>
      <c r="Y27" s="1"/>
      <c r="Z27" s="1"/>
      <c r="AA27" s="1"/>
      <c r="AB27" s="1"/>
      <c r="AC27" s="1"/>
      <c r="AD27" s="1"/>
      <c r="AE27" s="1"/>
      <c r="AF27" s="6"/>
      <c r="AG27" s="6"/>
      <c r="AH27" s="6"/>
      <c r="AI27" s="6"/>
      <c r="AJ27" s="6"/>
      <c r="AK27" s="1"/>
      <c r="AL27" s="6"/>
      <c r="AM27" s="6"/>
      <c r="AN27" s="6"/>
      <c r="AO27" s="6"/>
      <c r="AP27" s="2"/>
      <c r="AQ27" s="2"/>
      <c r="AR27" s="2"/>
      <c r="AS27" s="2"/>
      <c r="AT27" s="2"/>
      <c r="AU27" s="2"/>
      <c r="AV27" s="2"/>
      <c r="AW27" s="2"/>
      <c r="AX27" s="2"/>
      <c r="AY27" s="2"/>
      <c r="AZ27" s="123"/>
      <c r="BA27" s="123"/>
      <c r="BB27" s="123"/>
      <c r="BC27" s="123" t="s">
        <v>208</v>
      </c>
    </row>
    <row r="28" spans="2:55" ht="92.4" x14ac:dyDescent="0.3">
      <c r="B28" s="105" t="s">
        <v>209</v>
      </c>
      <c r="C28" s="1">
        <v>80</v>
      </c>
      <c r="D28" s="1" t="s">
        <v>210</v>
      </c>
      <c r="E28" s="1" t="s">
        <v>194</v>
      </c>
      <c r="F28" s="1" t="s">
        <v>134</v>
      </c>
      <c r="G28" s="1"/>
      <c r="H28" s="6">
        <v>46083</v>
      </c>
      <c r="I28" s="5">
        <v>28500000</v>
      </c>
      <c r="J28" s="5" t="s">
        <v>28</v>
      </c>
      <c r="K28" s="6">
        <v>45909</v>
      </c>
      <c r="L28" s="10">
        <v>2</v>
      </c>
      <c r="M28" s="1">
        <v>0</v>
      </c>
      <c r="N28" s="1">
        <v>0</v>
      </c>
      <c r="O28" s="1">
        <v>0</v>
      </c>
      <c r="P28" s="1" t="s">
        <v>38</v>
      </c>
      <c r="Q28" s="1" t="s">
        <v>39</v>
      </c>
      <c r="R28" s="1" t="s">
        <v>31</v>
      </c>
      <c r="S28" s="1" t="s">
        <v>32</v>
      </c>
      <c r="T28" s="1" t="s">
        <v>31</v>
      </c>
      <c r="U28" s="1" t="s">
        <v>31</v>
      </c>
      <c r="V28" s="1" t="s">
        <v>31</v>
      </c>
      <c r="W28" s="1"/>
      <c r="X28" s="1" t="s">
        <v>260</v>
      </c>
      <c r="Y28" s="6">
        <f t="shared" ref="Y28" si="6">WORKDAY(H28,20)</f>
        <v>46111</v>
      </c>
      <c r="Z28" s="6" t="s">
        <v>31</v>
      </c>
      <c r="AA28" s="6"/>
      <c r="AB28" s="6"/>
      <c r="AC28" s="6"/>
      <c r="AD28" s="6"/>
      <c r="AE28" s="6"/>
      <c r="AF28" s="6">
        <f>EDATE(H28,3)</f>
        <v>46175</v>
      </c>
      <c r="AG28" s="6"/>
      <c r="AH28" s="6"/>
      <c r="AI28" s="6">
        <f t="shared" ref="AI28" si="7">EDATE(AF28,3)</f>
        <v>46267</v>
      </c>
      <c r="AJ28" s="6"/>
      <c r="AK28" s="6">
        <f t="shared" ref="AK28" si="8">AI28</f>
        <v>46267</v>
      </c>
      <c r="AL28" s="6">
        <f t="shared" ref="AL28" si="9">AK28+14</f>
        <v>46281</v>
      </c>
      <c r="AM28" s="6"/>
      <c r="AN28" s="6">
        <f t="shared" si="3"/>
        <v>46341</v>
      </c>
      <c r="AO28" s="6">
        <v>46934</v>
      </c>
      <c r="AP28" s="2" t="s">
        <v>224</v>
      </c>
      <c r="AQ28" s="2" t="s">
        <v>225</v>
      </c>
      <c r="AR28" s="2"/>
      <c r="AS28" s="2"/>
      <c r="AT28" s="2" t="s">
        <v>35</v>
      </c>
      <c r="AU28" s="2"/>
      <c r="AV28" s="2"/>
      <c r="AW28" s="2"/>
      <c r="AX28" s="2"/>
      <c r="AY28" s="2" t="s">
        <v>226</v>
      </c>
      <c r="AZ28" s="123" t="s">
        <v>239</v>
      </c>
      <c r="BA28" s="123" t="s">
        <v>198</v>
      </c>
      <c r="BB28" s="123" t="s">
        <v>271</v>
      </c>
      <c r="BC28" s="123"/>
    </row>
    <row r="29" spans="2:55" x14ac:dyDescent="0.3">
      <c r="B29" s="105"/>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6"/>
      <c r="AG29" s="6"/>
      <c r="AH29" s="6"/>
      <c r="AI29" s="6"/>
      <c r="AJ29" s="6"/>
      <c r="AK29" s="1"/>
      <c r="AL29" s="6"/>
      <c r="AM29" s="6"/>
      <c r="AN29" s="6"/>
      <c r="AO29" s="6"/>
      <c r="AP29" s="2"/>
      <c r="AQ29" s="2"/>
      <c r="AR29" s="2"/>
      <c r="AS29" s="2"/>
      <c r="AT29" s="2"/>
      <c r="AU29" s="2"/>
      <c r="AV29" s="2"/>
      <c r="AW29" s="2"/>
      <c r="AX29" s="2"/>
      <c r="AY29" s="2"/>
      <c r="AZ29" s="2"/>
      <c r="BA29" s="2"/>
      <c r="BB29" s="2"/>
      <c r="BC29" s="2" t="s">
        <v>250</v>
      </c>
    </row>
    <row r="30" spans="2:55" x14ac:dyDescent="0.3">
      <c r="B30" s="105"/>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6"/>
      <c r="AG30" s="6"/>
      <c r="AH30" s="6"/>
      <c r="AI30" s="6"/>
      <c r="AJ30" s="6"/>
      <c r="AK30" s="1"/>
      <c r="AL30" s="6"/>
      <c r="AM30" s="6"/>
      <c r="AN30" s="6"/>
      <c r="AO30" s="6"/>
      <c r="AP30" s="2"/>
      <c r="AQ30" s="2"/>
      <c r="AR30" s="2"/>
      <c r="AS30" s="2"/>
      <c r="AT30" s="2"/>
      <c r="AU30" s="2"/>
      <c r="AV30" s="2"/>
      <c r="AW30" s="2"/>
      <c r="AX30" s="2"/>
      <c r="AY30" s="2"/>
      <c r="AZ30" s="2"/>
      <c r="BA30" s="2"/>
      <c r="BB30" s="2"/>
      <c r="BC30" s="2"/>
    </row>
    <row r="31" spans="2:55" x14ac:dyDescent="0.3">
      <c r="B31" s="105"/>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6"/>
      <c r="AG31" s="6"/>
      <c r="AH31" s="6"/>
      <c r="AI31" s="6"/>
      <c r="AJ31" s="6"/>
      <c r="AK31" s="1"/>
      <c r="AL31" s="6"/>
      <c r="AM31" s="6"/>
      <c r="AN31" s="6"/>
      <c r="AO31" s="6"/>
      <c r="AP31" s="2"/>
      <c r="AQ31" s="2"/>
      <c r="AR31" s="2"/>
      <c r="AS31" s="2"/>
      <c r="AT31" s="2"/>
      <c r="AU31" s="2"/>
      <c r="AV31" s="2"/>
      <c r="AW31" s="2"/>
      <c r="AX31" s="2"/>
      <c r="AY31" s="2"/>
      <c r="AZ31" s="2"/>
      <c r="BA31" s="2"/>
      <c r="BB31" s="2"/>
      <c r="BC31" s="2"/>
    </row>
    <row r="32" spans="2:55" x14ac:dyDescent="0.3">
      <c r="B32" s="105"/>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6"/>
      <c r="AG32" s="6"/>
      <c r="AH32" s="6"/>
      <c r="AI32" s="6"/>
      <c r="AJ32" s="6"/>
      <c r="AK32" s="1"/>
      <c r="AL32" s="6"/>
      <c r="AM32" s="6"/>
      <c r="AN32" s="6"/>
      <c r="AO32" s="6"/>
      <c r="AP32" s="2"/>
      <c r="AQ32" s="2"/>
      <c r="AR32" s="2"/>
      <c r="AS32" s="2"/>
      <c r="AT32" s="2"/>
      <c r="AU32" s="2"/>
      <c r="AV32" s="2"/>
      <c r="AW32" s="2"/>
      <c r="AX32" s="2"/>
      <c r="AY32" s="2"/>
      <c r="AZ32" s="2"/>
      <c r="BA32" s="2"/>
      <c r="BB32" s="2"/>
      <c r="BC32" s="2"/>
    </row>
    <row r="33" spans="2:55" x14ac:dyDescent="0.3">
      <c r="B33" s="105"/>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6"/>
      <c r="AG33" s="6"/>
      <c r="AH33" s="6"/>
      <c r="AI33" s="6"/>
      <c r="AJ33" s="6"/>
      <c r="AK33" s="1"/>
      <c r="AL33" s="6"/>
      <c r="AM33" s="6"/>
      <c r="AN33" s="6"/>
      <c r="AO33" s="6"/>
      <c r="AP33" s="2"/>
      <c r="AQ33" s="2"/>
      <c r="AR33" s="2"/>
      <c r="AS33" s="2"/>
      <c r="AT33" s="2"/>
      <c r="AU33" s="2"/>
      <c r="AV33" s="2"/>
      <c r="AW33" s="2"/>
      <c r="AX33" s="2"/>
      <c r="AY33" s="2"/>
      <c r="AZ33" s="2"/>
      <c r="BA33" s="2"/>
      <c r="BB33" s="2"/>
      <c r="BC33" s="2"/>
    </row>
    <row r="34" spans="2:55" x14ac:dyDescent="0.3">
      <c r="B34" s="105"/>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6"/>
      <c r="AG34" s="6"/>
      <c r="AH34" s="6"/>
      <c r="AI34" s="6"/>
      <c r="AJ34" s="6"/>
      <c r="AK34" s="1"/>
      <c r="AL34" s="6"/>
      <c r="AM34" s="6"/>
      <c r="AN34" s="6"/>
      <c r="AO34" s="6"/>
      <c r="AP34" s="2"/>
      <c r="AQ34" s="2"/>
      <c r="AR34" s="2"/>
      <c r="AS34" s="2"/>
      <c r="AT34" s="2"/>
      <c r="AU34" s="2"/>
      <c r="AV34" s="2"/>
      <c r="AW34" s="2"/>
      <c r="AX34" s="2"/>
      <c r="AY34" s="2"/>
      <c r="AZ34" s="2"/>
      <c r="BA34" s="2"/>
      <c r="BB34" s="2"/>
      <c r="BC34" s="2"/>
    </row>
    <row r="35" spans="2:55" x14ac:dyDescent="0.3">
      <c r="B35" s="105"/>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2"/>
      <c r="AQ35" s="2"/>
      <c r="AR35" s="2"/>
      <c r="AS35" s="2"/>
      <c r="AT35" s="2"/>
      <c r="AU35" s="2"/>
      <c r="AV35" s="2"/>
      <c r="AW35" s="2"/>
      <c r="AX35" s="2"/>
      <c r="AY35" s="2"/>
      <c r="AZ35" s="2"/>
      <c r="BA35" s="2"/>
      <c r="BB35" s="2"/>
      <c r="BC35" s="2"/>
    </row>
    <row r="36" spans="2:55" x14ac:dyDescent="0.3">
      <c r="B36" s="105"/>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2"/>
      <c r="AQ36" s="2"/>
      <c r="AR36" s="2"/>
      <c r="AS36" s="2"/>
      <c r="AT36" s="2"/>
      <c r="AU36" s="2"/>
      <c r="AV36" s="2"/>
      <c r="AW36" s="2"/>
      <c r="AX36" s="2"/>
      <c r="AY36" s="2"/>
      <c r="AZ36" s="2"/>
      <c r="BA36" s="2"/>
      <c r="BB36" s="2"/>
      <c r="BC36" s="2"/>
    </row>
    <row r="37" spans="2:55" x14ac:dyDescent="0.3">
      <c r="B37" s="105"/>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2"/>
      <c r="AQ37" s="2"/>
      <c r="AR37" s="2"/>
      <c r="AS37" s="2"/>
      <c r="AT37" s="2"/>
      <c r="AU37" s="2"/>
      <c r="AV37" s="2"/>
      <c r="AW37" s="2"/>
      <c r="AX37" s="2"/>
      <c r="AY37" s="2"/>
      <c r="AZ37" s="2"/>
      <c r="BA37" s="2"/>
      <c r="BB37" s="2"/>
      <c r="BC37" s="2"/>
    </row>
    <row r="38" spans="2:55" x14ac:dyDescent="0.3">
      <c r="B38" s="105"/>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2"/>
      <c r="AQ38" s="2"/>
      <c r="AR38" s="2"/>
      <c r="AS38" s="2"/>
      <c r="AT38" s="2"/>
      <c r="AU38" s="2"/>
      <c r="AV38" s="2"/>
      <c r="AW38" s="2"/>
      <c r="AX38" s="2"/>
      <c r="AY38" s="2"/>
      <c r="AZ38" s="2"/>
      <c r="BA38" s="2"/>
      <c r="BB38" s="2"/>
      <c r="BC38" s="2"/>
    </row>
    <row r="39" spans="2:55" x14ac:dyDescent="0.3">
      <c r="B39" s="105"/>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2"/>
      <c r="AQ39" s="2"/>
      <c r="AR39" s="2"/>
      <c r="AS39" s="2"/>
      <c r="AT39" s="2"/>
      <c r="AU39" s="2"/>
      <c r="AV39" s="2"/>
      <c r="AW39" s="2"/>
      <c r="AX39" s="2"/>
      <c r="AY39" s="2"/>
      <c r="AZ39" s="2"/>
      <c r="BA39" s="2"/>
      <c r="BB39" s="2"/>
      <c r="BC39" s="2"/>
    </row>
    <row r="40" spans="2:55" x14ac:dyDescent="0.3">
      <c r="B40" s="105"/>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2"/>
      <c r="AQ40" s="2"/>
      <c r="AR40" s="2"/>
      <c r="AS40" s="2"/>
      <c r="AT40" s="2"/>
      <c r="AU40" s="2"/>
      <c r="AV40" s="2"/>
      <c r="AW40" s="2"/>
      <c r="AX40" s="2"/>
      <c r="AY40" s="2"/>
      <c r="AZ40" s="2"/>
      <c r="BA40" s="2"/>
      <c r="BB40" s="2"/>
      <c r="BC40" s="2"/>
    </row>
    <row r="41" spans="2:55" x14ac:dyDescent="0.3">
      <c r="B41" s="105"/>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2"/>
      <c r="AQ41" s="2"/>
      <c r="AR41" s="2"/>
      <c r="AS41" s="2"/>
      <c r="AT41" s="2"/>
      <c r="AU41" s="2"/>
      <c r="AV41" s="2"/>
      <c r="AW41" s="2"/>
      <c r="AX41" s="2"/>
      <c r="AY41" s="2"/>
      <c r="AZ41" s="2"/>
      <c r="BA41" s="2"/>
      <c r="BB41" s="2"/>
      <c r="BC41" s="2"/>
    </row>
    <row r="42" spans="2:55" x14ac:dyDescent="0.3">
      <c r="B42" s="105"/>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2"/>
      <c r="AQ42" s="2"/>
      <c r="AR42" s="2"/>
      <c r="AS42" s="2"/>
      <c r="AT42" s="2"/>
      <c r="AU42" s="2"/>
      <c r="AV42" s="2"/>
      <c r="AW42" s="2"/>
      <c r="AX42" s="2"/>
      <c r="AY42" s="2"/>
      <c r="AZ42" s="2"/>
      <c r="BA42" s="2"/>
      <c r="BB42" s="2"/>
      <c r="BC42" s="2"/>
    </row>
    <row r="43" spans="2:55" x14ac:dyDescent="0.3">
      <c r="B43" s="105"/>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2"/>
      <c r="AQ43" s="2"/>
      <c r="AR43" s="2"/>
      <c r="AS43" s="2"/>
      <c r="AT43" s="2"/>
      <c r="AU43" s="2"/>
      <c r="AV43" s="2"/>
      <c r="AW43" s="2"/>
      <c r="AX43" s="2"/>
      <c r="AY43" s="2"/>
      <c r="AZ43" s="2"/>
      <c r="BA43" s="2"/>
      <c r="BB43" s="2"/>
      <c r="BC43" s="2"/>
    </row>
    <row r="44" spans="2:55" x14ac:dyDescent="0.3">
      <c r="B44" s="105"/>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2"/>
      <c r="AQ44" s="2"/>
      <c r="AR44" s="2"/>
      <c r="AS44" s="2"/>
      <c r="AT44" s="2"/>
      <c r="AU44" s="2"/>
      <c r="AV44" s="2"/>
      <c r="AW44" s="2"/>
      <c r="AX44" s="2"/>
      <c r="AY44" s="2"/>
      <c r="AZ44" s="2"/>
      <c r="BA44" s="2"/>
      <c r="BB44" s="2"/>
      <c r="BC44" s="2"/>
    </row>
    <row r="45" spans="2:55" x14ac:dyDescent="0.3">
      <c r="B45" s="105"/>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2"/>
      <c r="AQ45" s="2"/>
      <c r="AR45" s="2"/>
      <c r="AS45" s="2"/>
      <c r="AT45" s="2"/>
      <c r="AU45" s="2"/>
      <c r="AV45" s="2"/>
      <c r="AW45" s="2"/>
      <c r="AX45" s="2"/>
      <c r="AY45" s="2"/>
      <c r="AZ45" s="2"/>
      <c r="BA45" s="2"/>
      <c r="BB45" s="2"/>
      <c r="BC45" s="2"/>
    </row>
    <row r="46" spans="2:55" x14ac:dyDescent="0.3">
      <c r="B46" s="105"/>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2"/>
      <c r="AQ46" s="2"/>
      <c r="AR46" s="2"/>
      <c r="AS46" s="2"/>
      <c r="AT46" s="2"/>
      <c r="AU46" s="2"/>
      <c r="AV46" s="2"/>
      <c r="AW46" s="2"/>
      <c r="AX46" s="2"/>
      <c r="AY46" s="2"/>
      <c r="AZ46" s="2"/>
      <c r="BA46" s="2"/>
      <c r="BB46" s="2"/>
      <c r="BC46" s="2"/>
    </row>
    <row r="47" spans="2:55" x14ac:dyDescent="0.3">
      <c r="B47" s="105"/>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2"/>
      <c r="AQ47" s="2"/>
      <c r="AR47" s="2"/>
      <c r="AS47" s="2"/>
      <c r="AT47" s="2"/>
      <c r="AU47" s="2"/>
      <c r="AV47" s="2"/>
      <c r="AW47" s="2"/>
      <c r="AX47" s="2"/>
      <c r="AY47" s="2"/>
      <c r="AZ47" s="2"/>
      <c r="BA47" s="2"/>
      <c r="BB47" s="2"/>
      <c r="BC47" s="2"/>
    </row>
    <row r="48" spans="2:55" x14ac:dyDescent="0.3">
      <c r="B48" s="105"/>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2"/>
      <c r="AQ48" s="2"/>
      <c r="AR48" s="2"/>
      <c r="AS48" s="2"/>
      <c r="AT48" s="2"/>
      <c r="AU48" s="2"/>
      <c r="AV48" s="2"/>
      <c r="AW48" s="2"/>
      <c r="AX48" s="2"/>
      <c r="AY48" s="2"/>
      <c r="AZ48" s="2"/>
      <c r="BA48" s="2"/>
      <c r="BB48" s="2"/>
      <c r="BC48" s="2"/>
    </row>
    <row r="49" spans="2:55" x14ac:dyDescent="0.3">
      <c r="B49" s="105"/>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2"/>
      <c r="AQ49" s="2"/>
      <c r="AR49" s="2"/>
      <c r="AS49" s="2"/>
      <c r="AT49" s="2"/>
      <c r="AU49" s="2"/>
      <c r="AV49" s="2"/>
      <c r="AW49" s="2"/>
      <c r="AX49" s="2"/>
      <c r="AY49" s="2"/>
      <c r="AZ49" s="2"/>
      <c r="BA49" s="2"/>
      <c r="BB49" s="2"/>
      <c r="BC49" s="2"/>
    </row>
    <row r="50" spans="2:55" x14ac:dyDescent="0.3">
      <c r="B50" s="105"/>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2"/>
      <c r="AQ50" s="2"/>
      <c r="AR50" s="2"/>
      <c r="AS50" s="2"/>
      <c r="AT50" s="2"/>
      <c r="AU50" s="2"/>
      <c r="AV50" s="2"/>
      <c r="AW50" s="2"/>
      <c r="AX50" s="2"/>
      <c r="AY50" s="2"/>
      <c r="AZ50" s="2"/>
      <c r="BA50" s="2"/>
      <c r="BB50" s="2"/>
      <c r="BC50" s="2"/>
    </row>
    <row r="51" spans="2:55" x14ac:dyDescent="0.3">
      <c r="B51" s="105"/>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2"/>
      <c r="AQ51" s="2"/>
      <c r="AR51" s="2"/>
      <c r="AS51" s="2"/>
      <c r="AT51" s="2"/>
      <c r="AU51" s="2"/>
      <c r="AV51" s="2"/>
      <c r="AW51" s="2"/>
      <c r="AX51" s="2"/>
      <c r="AY51" s="2"/>
      <c r="AZ51" s="2"/>
      <c r="BA51" s="2"/>
      <c r="BB51" s="2"/>
      <c r="BC51" s="2"/>
    </row>
    <row r="52" spans="2:55" x14ac:dyDescent="0.3">
      <c r="B52" s="105"/>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2"/>
      <c r="AQ52" s="2"/>
      <c r="AR52" s="2"/>
      <c r="AS52" s="2"/>
      <c r="AT52" s="2"/>
      <c r="AU52" s="2"/>
      <c r="AV52" s="2"/>
      <c r="AW52" s="2"/>
      <c r="AX52" s="2"/>
      <c r="AY52" s="2"/>
      <c r="AZ52" s="2"/>
      <c r="BA52" s="2"/>
      <c r="BB52" s="2"/>
      <c r="BC52" s="2"/>
    </row>
    <row r="53" spans="2:55" x14ac:dyDescent="0.3">
      <c r="B53" s="105"/>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2"/>
      <c r="AQ53" s="2"/>
      <c r="AR53" s="2"/>
      <c r="AS53" s="2"/>
      <c r="AT53" s="2"/>
      <c r="AU53" s="2"/>
      <c r="AV53" s="2"/>
      <c r="AW53" s="2"/>
      <c r="AX53" s="2"/>
      <c r="AY53" s="2"/>
      <c r="AZ53" s="2"/>
      <c r="BA53" s="2"/>
      <c r="BB53" s="2"/>
      <c r="BC53" s="2"/>
    </row>
    <row r="54" spans="2:55" x14ac:dyDescent="0.3">
      <c r="B54" s="105"/>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2"/>
      <c r="AQ54" s="2"/>
      <c r="AR54" s="2"/>
      <c r="AS54" s="2"/>
      <c r="AT54" s="2"/>
      <c r="AU54" s="2"/>
      <c r="AV54" s="2"/>
      <c r="AW54" s="2"/>
      <c r="AX54" s="2"/>
      <c r="AY54" s="2"/>
      <c r="AZ54" s="2"/>
      <c r="BA54" s="2"/>
      <c r="BB54" s="2"/>
      <c r="BC54" s="2"/>
    </row>
    <row r="55" spans="2:55" x14ac:dyDescent="0.3">
      <c r="B55" s="105"/>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2"/>
      <c r="AQ55" s="2"/>
      <c r="AR55" s="2"/>
      <c r="AS55" s="2"/>
      <c r="AT55" s="2"/>
      <c r="AU55" s="2"/>
      <c r="AV55" s="2"/>
      <c r="AW55" s="2"/>
      <c r="AX55" s="2"/>
      <c r="AY55" s="2"/>
      <c r="AZ55" s="2"/>
      <c r="BA55" s="2"/>
      <c r="BB55" s="2"/>
      <c r="BC55" s="2"/>
    </row>
    <row r="56" spans="2:55" x14ac:dyDescent="0.3">
      <c r="B56" s="105"/>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2"/>
      <c r="AQ56" s="2"/>
      <c r="AR56" s="2"/>
      <c r="AS56" s="2"/>
      <c r="AT56" s="2"/>
      <c r="AU56" s="2"/>
      <c r="AV56" s="2"/>
      <c r="AW56" s="2"/>
      <c r="AX56" s="2"/>
      <c r="AY56" s="2"/>
      <c r="AZ56" s="2"/>
      <c r="BA56" s="2"/>
      <c r="BB56" s="2"/>
      <c r="BC56" s="2"/>
    </row>
    <row r="57" spans="2:55" x14ac:dyDescent="0.3">
      <c r="B57" s="105"/>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2"/>
      <c r="AQ57" s="2"/>
      <c r="AR57" s="2"/>
      <c r="AS57" s="2"/>
      <c r="AT57" s="2"/>
      <c r="AU57" s="2"/>
      <c r="AV57" s="2"/>
      <c r="AW57" s="2"/>
      <c r="AX57" s="2"/>
      <c r="AY57" s="2"/>
      <c r="AZ57" s="2"/>
      <c r="BA57" s="2"/>
      <c r="BB57" s="2"/>
      <c r="BC57" s="2"/>
    </row>
    <row r="58" spans="2:55" x14ac:dyDescent="0.3">
      <c r="B58" s="105"/>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2"/>
      <c r="AQ58" s="2"/>
      <c r="AR58" s="2"/>
      <c r="AS58" s="2"/>
      <c r="AT58" s="2"/>
      <c r="AU58" s="2"/>
      <c r="AV58" s="2"/>
      <c r="AW58" s="2"/>
      <c r="AX58" s="2"/>
      <c r="AY58" s="2"/>
      <c r="AZ58" s="2"/>
      <c r="BA58" s="2"/>
      <c r="BB58" s="2"/>
      <c r="BC58" s="2"/>
    </row>
    <row r="59" spans="2:55" x14ac:dyDescent="0.3">
      <c r="B59" s="105"/>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2"/>
      <c r="AQ59" s="2"/>
      <c r="AR59" s="2"/>
      <c r="AS59" s="2"/>
      <c r="AT59" s="2"/>
      <c r="AU59" s="2"/>
      <c r="AV59" s="2"/>
      <c r="AW59" s="2"/>
      <c r="AX59" s="2"/>
      <c r="AY59" s="2"/>
      <c r="AZ59" s="2"/>
      <c r="BA59" s="2"/>
      <c r="BB59" s="2"/>
      <c r="BC59" s="2"/>
    </row>
    <row r="60" spans="2:55" x14ac:dyDescent="0.3">
      <c r="B60" s="105"/>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2"/>
      <c r="AQ60" s="2"/>
      <c r="AR60" s="2"/>
      <c r="AS60" s="2"/>
      <c r="AT60" s="2"/>
      <c r="AU60" s="2"/>
      <c r="AV60" s="2"/>
      <c r="AW60" s="2"/>
      <c r="AX60" s="2"/>
      <c r="AY60" s="2"/>
      <c r="AZ60" s="2"/>
      <c r="BA60" s="2"/>
      <c r="BB60" s="2"/>
      <c r="BC60" s="2"/>
    </row>
    <row r="61" spans="2:55" x14ac:dyDescent="0.3">
      <c r="B61" s="105"/>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2"/>
      <c r="AQ61" s="2"/>
      <c r="AR61" s="2"/>
      <c r="AS61" s="2"/>
      <c r="AT61" s="2"/>
      <c r="AU61" s="2"/>
      <c r="AV61" s="2"/>
      <c r="AW61" s="2"/>
      <c r="AX61" s="2"/>
      <c r="AY61" s="2"/>
      <c r="AZ61" s="2"/>
      <c r="BA61" s="2"/>
      <c r="BB61" s="2"/>
      <c r="BC61" s="2"/>
    </row>
    <row r="62" spans="2:55" x14ac:dyDescent="0.3">
      <c r="B62" s="105"/>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2"/>
      <c r="AQ62" s="2"/>
      <c r="AR62" s="2"/>
      <c r="AS62" s="2"/>
      <c r="AT62" s="2"/>
      <c r="AU62" s="2"/>
      <c r="AV62" s="2"/>
      <c r="AW62" s="2"/>
      <c r="AX62" s="2"/>
      <c r="AY62" s="2"/>
      <c r="AZ62" s="2"/>
      <c r="BA62" s="2"/>
      <c r="BB62" s="2"/>
      <c r="BC62" s="2"/>
    </row>
    <row r="63" spans="2:55" x14ac:dyDescent="0.3">
      <c r="B63" s="105"/>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2"/>
      <c r="AQ63" s="2"/>
      <c r="AR63" s="2"/>
      <c r="AS63" s="2"/>
      <c r="AT63" s="2"/>
      <c r="AU63" s="2"/>
      <c r="AV63" s="2"/>
      <c r="AW63" s="2"/>
      <c r="AX63" s="2"/>
      <c r="AY63" s="2"/>
      <c r="AZ63" s="2"/>
      <c r="BA63" s="2"/>
      <c r="BB63" s="2"/>
      <c r="BC63" s="2"/>
    </row>
    <row r="64" spans="2:55" x14ac:dyDescent="0.3">
      <c r="B64" s="105"/>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2"/>
      <c r="AQ64" s="2"/>
      <c r="AR64" s="2"/>
      <c r="AS64" s="2"/>
      <c r="AT64" s="2"/>
      <c r="AU64" s="2"/>
      <c r="AV64" s="2"/>
      <c r="AW64" s="2"/>
      <c r="AX64" s="2"/>
      <c r="AY64" s="2"/>
      <c r="AZ64" s="2"/>
      <c r="BA64" s="2"/>
      <c r="BB64" s="2"/>
      <c r="BC64" s="2"/>
    </row>
    <row r="65" spans="2:55" x14ac:dyDescent="0.3">
      <c r="B65" s="105"/>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2"/>
      <c r="AQ65" s="2"/>
      <c r="AR65" s="2"/>
      <c r="AS65" s="2"/>
      <c r="AT65" s="2"/>
      <c r="AU65" s="2"/>
      <c r="AV65" s="2"/>
      <c r="AW65" s="2"/>
      <c r="AX65" s="2"/>
      <c r="AY65" s="2"/>
      <c r="AZ65" s="2"/>
      <c r="BA65" s="2"/>
      <c r="BB65" s="2"/>
      <c r="BC65" s="2"/>
    </row>
    <row r="66" spans="2:55" x14ac:dyDescent="0.3">
      <c r="B66" s="105"/>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2"/>
      <c r="AQ66" s="2"/>
      <c r="AR66" s="2"/>
      <c r="AS66" s="2"/>
      <c r="AT66" s="2"/>
      <c r="AU66" s="2"/>
      <c r="AV66" s="2"/>
      <c r="AW66" s="2"/>
      <c r="AX66" s="2"/>
      <c r="AY66" s="2"/>
      <c r="AZ66" s="2"/>
      <c r="BA66" s="2"/>
      <c r="BB66" s="2"/>
      <c r="BC66" s="2"/>
    </row>
    <row r="67" spans="2:55" x14ac:dyDescent="0.3">
      <c r="B67" s="105"/>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2"/>
      <c r="AQ67" s="2"/>
      <c r="AR67" s="2"/>
      <c r="AS67" s="2"/>
      <c r="AT67" s="2"/>
      <c r="AU67" s="2"/>
      <c r="AV67" s="2"/>
      <c r="AW67" s="2"/>
      <c r="AX67" s="2"/>
      <c r="AY67" s="2"/>
      <c r="AZ67" s="2"/>
      <c r="BA67" s="2"/>
      <c r="BB67" s="2"/>
      <c r="BC67" s="2"/>
    </row>
    <row r="68" spans="2:55" x14ac:dyDescent="0.3">
      <c r="B68" s="105"/>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2"/>
      <c r="AQ68" s="2"/>
      <c r="AR68" s="2"/>
      <c r="AS68" s="2"/>
      <c r="AT68" s="2"/>
      <c r="AU68" s="2"/>
      <c r="AV68" s="2"/>
      <c r="AW68" s="2"/>
      <c r="AX68" s="2"/>
      <c r="AY68" s="2"/>
      <c r="AZ68" s="2"/>
      <c r="BA68" s="2"/>
      <c r="BB68" s="2"/>
      <c r="BC68" s="2"/>
    </row>
    <row r="69" spans="2:55" x14ac:dyDescent="0.3">
      <c r="B69" s="105"/>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2"/>
      <c r="AQ69" s="2"/>
      <c r="AR69" s="2"/>
      <c r="AS69" s="2"/>
      <c r="AT69" s="2"/>
      <c r="AU69" s="2"/>
      <c r="AV69" s="2"/>
      <c r="AW69" s="2"/>
      <c r="AX69" s="2"/>
      <c r="AY69" s="2"/>
      <c r="AZ69" s="2"/>
      <c r="BA69" s="2"/>
      <c r="BB69" s="2"/>
      <c r="BC69" s="2"/>
    </row>
    <row r="70" spans="2:55" x14ac:dyDescent="0.3">
      <c r="B70" s="105"/>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2"/>
      <c r="AQ70" s="2"/>
      <c r="AR70" s="2"/>
      <c r="AS70" s="2"/>
      <c r="AT70" s="2"/>
      <c r="AU70" s="2"/>
      <c r="AV70" s="2"/>
      <c r="AW70" s="2"/>
      <c r="AX70" s="2"/>
      <c r="AY70" s="2"/>
      <c r="AZ70" s="2"/>
      <c r="BA70" s="2"/>
      <c r="BB70" s="2"/>
      <c r="BC70" s="2"/>
    </row>
    <row r="71" spans="2:55" x14ac:dyDescent="0.3">
      <c r="B71" s="105"/>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2"/>
      <c r="AQ71" s="2"/>
      <c r="AR71" s="2"/>
      <c r="AS71" s="2"/>
      <c r="AT71" s="2"/>
      <c r="AU71" s="2"/>
      <c r="AV71" s="2"/>
      <c r="AW71" s="2"/>
      <c r="AX71" s="2"/>
      <c r="AY71" s="2"/>
      <c r="AZ71" s="2"/>
      <c r="BA71" s="2"/>
      <c r="BB71" s="2"/>
      <c r="BC71" s="2"/>
    </row>
    <row r="72" spans="2:55" x14ac:dyDescent="0.3">
      <c r="B72" s="105"/>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2"/>
      <c r="AQ72" s="2"/>
      <c r="AR72" s="2"/>
      <c r="AS72" s="2"/>
      <c r="AT72" s="2"/>
      <c r="AU72" s="2"/>
      <c r="AV72" s="2"/>
      <c r="AW72" s="2"/>
      <c r="AX72" s="2"/>
      <c r="AY72" s="2"/>
      <c r="AZ72" s="2"/>
      <c r="BA72" s="2"/>
      <c r="BB72" s="2"/>
      <c r="BC72" s="2"/>
    </row>
    <row r="73" spans="2:55" x14ac:dyDescent="0.3">
      <c r="B73" s="105"/>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2"/>
      <c r="AQ73" s="2"/>
      <c r="AR73" s="2"/>
      <c r="AS73" s="2"/>
      <c r="AT73" s="2"/>
      <c r="AU73" s="2"/>
      <c r="AV73" s="2"/>
      <c r="AW73" s="2"/>
      <c r="AX73" s="2"/>
      <c r="AY73" s="2"/>
      <c r="AZ73" s="2"/>
      <c r="BA73" s="2"/>
      <c r="BB73" s="2"/>
      <c r="BC73" s="2"/>
    </row>
    <row r="74" spans="2:55" x14ac:dyDescent="0.3">
      <c r="B74" s="105"/>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2"/>
      <c r="AQ74" s="2"/>
      <c r="AR74" s="2"/>
      <c r="AS74" s="2"/>
      <c r="AT74" s="2"/>
      <c r="AU74" s="2"/>
      <c r="AV74" s="2"/>
      <c r="AW74" s="2"/>
      <c r="AX74" s="2"/>
      <c r="AY74" s="2"/>
      <c r="AZ74" s="2"/>
      <c r="BA74" s="2"/>
      <c r="BB74" s="2"/>
      <c r="BC74" s="2"/>
    </row>
    <row r="75" spans="2:55" x14ac:dyDescent="0.3">
      <c r="B75" s="105"/>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2"/>
      <c r="AQ75" s="2"/>
      <c r="AR75" s="2"/>
      <c r="AS75" s="2"/>
      <c r="AT75" s="2"/>
      <c r="AU75" s="2"/>
      <c r="AV75" s="2"/>
      <c r="AW75" s="2"/>
      <c r="AX75" s="2"/>
      <c r="AY75" s="2"/>
      <c r="AZ75" s="2"/>
      <c r="BA75" s="2"/>
      <c r="BB75" s="2"/>
      <c r="BC75" s="2"/>
    </row>
    <row r="76" spans="2:55" x14ac:dyDescent="0.3">
      <c r="B76" s="105"/>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2"/>
      <c r="AQ76" s="2"/>
      <c r="AR76" s="2"/>
      <c r="AS76" s="2"/>
      <c r="AT76" s="2"/>
      <c r="AU76" s="2"/>
      <c r="AV76" s="2"/>
      <c r="AW76" s="2"/>
      <c r="AX76" s="2"/>
      <c r="AY76" s="2"/>
      <c r="AZ76" s="2"/>
      <c r="BA76" s="2"/>
      <c r="BB76" s="2"/>
      <c r="BC76" s="2"/>
    </row>
    <row r="77" spans="2:55" x14ac:dyDescent="0.3">
      <c r="B77" s="105"/>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2"/>
      <c r="AQ77" s="2"/>
      <c r="AR77" s="2"/>
      <c r="AS77" s="2"/>
      <c r="AT77" s="2"/>
      <c r="AU77" s="2"/>
      <c r="AV77" s="2"/>
      <c r="AW77" s="2"/>
      <c r="AX77" s="2"/>
      <c r="AY77" s="2"/>
      <c r="AZ77" s="2"/>
      <c r="BA77" s="2"/>
      <c r="BB77" s="2"/>
      <c r="BC77" s="2"/>
    </row>
    <row r="78" spans="2:55" x14ac:dyDescent="0.3">
      <c r="B78" s="105"/>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2"/>
      <c r="AQ78" s="2"/>
      <c r="AR78" s="2"/>
      <c r="AS78" s="2"/>
      <c r="AT78" s="2"/>
      <c r="AU78" s="2"/>
      <c r="AV78" s="2"/>
      <c r="AW78" s="2"/>
      <c r="AX78" s="2"/>
      <c r="AY78" s="2"/>
      <c r="AZ78" s="2"/>
      <c r="BA78" s="2"/>
      <c r="BB78" s="2"/>
      <c r="BC78" s="2"/>
    </row>
    <row r="79" spans="2:55" x14ac:dyDescent="0.3">
      <c r="B79" s="105"/>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2"/>
      <c r="AQ79" s="2"/>
      <c r="AR79" s="2"/>
      <c r="AS79" s="2"/>
      <c r="AT79" s="2"/>
      <c r="AU79" s="2"/>
      <c r="AV79" s="2"/>
      <c r="AW79" s="2"/>
      <c r="AX79" s="2"/>
      <c r="AY79" s="2"/>
      <c r="AZ79" s="2"/>
      <c r="BA79" s="2"/>
      <c r="BB79" s="2"/>
      <c r="BC79" s="2"/>
    </row>
    <row r="80" spans="2:55" x14ac:dyDescent="0.3">
      <c r="B80" s="105"/>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2"/>
      <c r="AQ80" s="2"/>
      <c r="AR80" s="2"/>
      <c r="AS80" s="2"/>
      <c r="AT80" s="2"/>
      <c r="AU80" s="2"/>
      <c r="AV80" s="2"/>
      <c r="AW80" s="2"/>
      <c r="AX80" s="2"/>
      <c r="AY80" s="2"/>
      <c r="AZ80" s="2"/>
      <c r="BA80" s="2"/>
      <c r="BB80" s="2"/>
      <c r="BC80" s="2"/>
    </row>
    <row r="81" spans="2:55" x14ac:dyDescent="0.3">
      <c r="B81" s="105"/>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2"/>
      <c r="AQ81" s="2"/>
      <c r="AR81" s="2"/>
      <c r="AS81" s="2"/>
      <c r="AT81" s="2"/>
      <c r="AU81" s="2"/>
      <c r="AV81" s="2"/>
      <c r="AW81" s="2"/>
      <c r="AX81" s="2"/>
      <c r="AY81" s="2"/>
      <c r="AZ81" s="2"/>
      <c r="BA81" s="2"/>
      <c r="BB81" s="2"/>
      <c r="BC81" s="2"/>
    </row>
    <row r="82" spans="2:55" x14ac:dyDescent="0.3">
      <c r="B82" s="105"/>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2"/>
      <c r="AQ82" s="2"/>
      <c r="AR82" s="2"/>
      <c r="AS82" s="2"/>
      <c r="AT82" s="2"/>
      <c r="AU82" s="2"/>
      <c r="AV82" s="2"/>
      <c r="AW82" s="2"/>
      <c r="AX82" s="2"/>
      <c r="AY82" s="2"/>
      <c r="AZ82" s="2"/>
      <c r="BA82" s="2"/>
      <c r="BB82" s="2"/>
      <c r="BC82" s="2"/>
    </row>
    <row r="83" spans="2:55" x14ac:dyDescent="0.3">
      <c r="B83" s="105"/>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2"/>
      <c r="AQ83" s="2"/>
      <c r="AR83" s="2"/>
      <c r="AS83" s="2"/>
      <c r="AT83" s="2"/>
      <c r="AU83" s="2"/>
      <c r="AV83" s="2"/>
      <c r="AW83" s="2"/>
      <c r="AX83" s="2"/>
      <c r="AY83" s="2"/>
      <c r="AZ83" s="2"/>
      <c r="BA83" s="2"/>
      <c r="BB83" s="2"/>
      <c r="BC83" s="2"/>
    </row>
    <row r="84" spans="2:55" x14ac:dyDescent="0.3">
      <c r="B84" s="105"/>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2"/>
      <c r="AQ84" s="2"/>
      <c r="AR84" s="2"/>
      <c r="AS84" s="2"/>
      <c r="AT84" s="2"/>
      <c r="AU84" s="2"/>
      <c r="AV84" s="2"/>
      <c r="AW84" s="2"/>
      <c r="AX84" s="2"/>
      <c r="AY84" s="2"/>
      <c r="AZ84" s="2"/>
      <c r="BA84" s="2"/>
      <c r="BB84" s="2"/>
      <c r="BC84" s="2"/>
    </row>
    <row r="85" spans="2:55" x14ac:dyDescent="0.3">
      <c r="B85" s="105"/>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2"/>
      <c r="AQ85" s="2"/>
      <c r="AR85" s="2"/>
      <c r="AS85" s="2"/>
      <c r="AT85" s="2"/>
      <c r="AU85" s="2"/>
      <c r="AV85" s="2"/>
      <c r="AW85" s="2"/>
      <c r="AX85" s="2"/>
      <c r="AY85" s="2"/>
      <c r="AZ85" s="2"/>
      <c r="BA85" s="2"/>
      <c r="BB85" s="2"/>
      <c r="BC85" s="2"/>
    </row>
    <row r="86" spans="2:55" x14ac:dyDescent="0.3">
      <c r="B86" s="105"/>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2"/>
      <c r="AQ86" s="2"/>
      <c r="AR86" s="2"/>
      <c r="AS86" s="2"/>
      <c r="AT86" s="2"/>
      <c r="AU86" s="2"/>
      <c r="AV86" s="2"/>
      <c r="AW86" s="2"/>
      <c r="AX86" s="2"/>
      <c r="AY86" s="2"/>
      <c r="AZ86" s="2"/>
      <c r="BA86" s="2"/>
      <c r="BB86" s="2"/>
      <c r="BC86" s="2"/>
    </row>
    <row r="87" spans="2:55" x14ac:dyDescent="0.3">
      <c r="B87" s="105"/>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2"/>
      <c r="AQ87" s="2"/>
      <c r="AR87" s="2"/>
      <c r="AS87" s="2"/>
      <c r="AT87" s="2"/>
      <c r="AU87" s="2"/>
      <c r="AV87" s="2"/>
      <c r="AW87" s="2"/>
      <c r="AX87" s="2"/>
      <c r="AY87" s="2"/>
      <c r="AZ87" s="2"/>
      <c r="BA87" s="2"/>
      <c r="BB87" s="2"/>
      <c r="BC87" s="2"/>
    </row>
    <row r="88" spans="2:55" x14ac:dyDescent="0.3">
      <c r="B88" s="105"/>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2"/>
      <c r="AQ88" s="2"/>
      <c r="AR88" s="2"/>
      <c r="AS88" s="2"/>
      <c r="AT88" s="2"/>
      <c r="AU88" s="2"/>
      <c r="AV88" s="2"/>
      <c r="AW88" s="2"/>
      <c r="AX88" s="2"/>
      <c r="AY88" s="2"/>
      <c r="AZ88" s="2"/>
      <c r="BA88" s="2"/>
      <c r="BB88" s="2"/>
      <c r="BC88" s="2"/>
    </row>
    <row r="89" spans="2:55" x14ac:dyDescent="0.3">
      <c r="B89" s="105"/>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2"/>
      <c r="AQ89" s="2"/>
      <c r="AR89" s="2"/>
      <c r="AS89" s="2"/>
      <c r="AT89" s="2"/>
      <c r="AU89" s="2"/>
      <c r="AV89" s="2"/>
      <c r="AW89" s="2"/>
      <c r="AX89" s="2"/>
      <c r="AY89" s="2"/>
      <c r="AZ89" s="2"/>
      <c r="BA89" s="2"/>
      <c r="BB89" s="2"/>
      <c r="BC89" s="2"/>
    </row>
    <row r="90" spans="2:55" x14ac:dyDescent="0.3">
      <c r="B90" s="105"/>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2"/>
      <c r="AQ90" s="2"/>
      <c r="AR90" s="2"/>
      <c r="AS90" s="2"/>
      <c r="AT90" s="2"/>
      <c r="AU90" s="2"/>
      <c r="AV90" s="2"/>
      <c r="AW90" s="2"/>
      <c r="AX90" s="2"/>
      <c r="AY90" s="2"/>
      <c r="AZ90" s="2"/>
      <c r="BA90" s="2"/>
      <c r="BB90" s="2"/>
      <c r="BC90" s="2"/>
    </row>
    <row r="91" spans="2:55" x14ac:dyDescent="0.3">
      <c r="B91" s="105"/>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2"/>
      <c r="AQ91" s="2"/>
      <c r="AR91" s="2"/>
      <c r="AS91" s="2"/>
      <c r="AT91" s="2"/>
      <c r="AU91" s="2"/>
      <c r="AV91" s="2"/>
      <c r="AW91" s="2"/>
      <c r="AX91" s="2"/>
      <c r="AY91" s="2"/>
      <c r="AZ91" s="2"/>
      <c r="BA91" s="2"/>
      <c r="BB91" s="2"/>
      <c r="BC91" s="2"/>
    </row>
    <row r="92" spans="2:55" x14ac:dyDescent="0.3">
      <c r="B92" s="105"/>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2"/>
      <c r="AQ92" s="2"/>
      <c r="AR92" s="2"/>
      <c r="AS92" s="2"/>
      <c r="AT92" s="2"/>
      <c r="AU92" s="2"/>
      <c r="AV92" s="2"/>
      <c r="AW92" s="2"/>
      <c r="AX92" s="2"/>
      <c r="AY92" s="2"/>
      <c r="AZ92" s="2"/>
      <c r="BA92" s="2"/>
      <c r="BB92" s="2"/>
      <c r="BC92" s="2"/>
    </row>
    <row r="93" spans="2:55" x14ac:dyDescent="0.3">
      <c r="B93" s="105"/>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2"/>
      <c r="AQ93" s="2"/>
      <c r="AR93" s="2"/>
      <c r="AS93" s="2"/>
      <c r="AT93" s="2"/>
      <c r="AU93" s="2"/>
      <c r="AV93" s="2"/>
      <c r="AW93" s="2"/>
      <c r="AX93" s="2"/>
      <c r="AY93" s="2"/>
      <c r="AZ93" s="2"/>
      <c r="BA93" s="2"/>
      <c r="BB93" s="2"/>
      <c r="BC93" s="2"/>
    </row>
    <row r="94" spans="2:55" x14ac:dyDescent="0.3">
      <c r="B94" s="105"/>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2"/>
      <c r="AQ94" s="2"/>
      <c r="AR94" s="2"/>
      <c r="AS94" s="2"/>
      <c r="AT94" s="2"/>
      <c r="AU94" s="2"/>
      <c r="AV94" s="2"/>
      <c r="AW94" s="2"/>
      <c r="AX94" s="2"/>
      <c r="AY94" s="2"/>
      <c r="AZ94" s="2"/>
      <c r="BA94" s="2"/>
      <c r="BB94" s="2"/>
      <c r="BC94" s="2"/>
    </row>
    <row r="95" spans="2:55" x14ac:dyDescent="0.3">
      <c r="B95" s="105"/>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2"/>
      <c r="AQ95" s="2"/>
      <c r="AR95" s="2"/>
      <c r="AS95" s="2"/>
      <c r="AT95" s="2"/>
      <c r="AU95" s="2"/>
      <c r="AV95" s="2"/>
      <c r="AW95" s="2"/>
      <c r="AX95" s="2"/>
      <c r="AY95" s="2"/>
      <c r="AZ95" s="2"/>
      <c r="BA95" s="2"/>
      <c r="BB95" s="2"/>
      <c r="BC95" s="2"/>
    </row>
    <row r="96" spans="2:55" x14ac:dyDescent="0.3">
      <c r="B96" s="105"/>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2"/>
      <c r="AQ96" s="2"/>
      <c r="AR96" s="2"/>
      <c r="AS96" s="2"/>
      <c r="AT96" s="2"/>
      <c r="AU96" s="2"/>
      <c r="AV96" s="2"/>
      <c r="AW96" s="2"/>
      <c r="AX96" s="2"/>
      <c r="AY96" s="2"/>
      <c r="AZ96" s="2"/>
      <c r="BA96" s="2"/>
      <c r="BB96" s="2"/>
      <c r="BC96" s="2"/>
    </row>
    <row r="97" spans="2:55" x14ac:dyDescent="0.3">
      <c r="B97" s="105"/>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2"/>
      <c r="AQ97" s="2"/>
      <c r="AR97" s="2"/>
      <c r="AS97" s="2"/>
      <c r="AT97" s="2"/>
      <c r="AU97" s="2"/>
      <c r="AV97" s="2"/>
      <c r="AW97" s="2"/>
      <c r="AX97" s="2"/>
      <c r="AY97" s="2"/>
      <c r="AZ97" s="2"/>
      <c r="BA97" s="2"/>
      <c r="BB97" s="2"/>
      <c r="BC97" s="2"/>
    </row>
    <row r="98" spans="2:55" x14ac:dyDescent="0.3">
      <c r="B98" s="105"/>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2"/>
      <c r="AQ98" s="2"/>
      <c r="AR98" s="2"/>
      <c r="AS98" s="2"/>
      <c r="AT98" s="2"/>
      <c r="AU98" s="2"/>
      <c r="AV98" s="2"/>
      <c r="AW98" s="2"/>
      <c r="AX98" s="2"/>
      <c r="AY98" s="2"/>
      <c r="AZ98" s="2"/>
      <c r="BA98" s="2"/>
      <c r="BB98" s="2"/>
      <c r="BC98" s="2"/>
    </row>
    <row r="99" spans="2:55" x14ac:dyDescent="0.3">
      <c r="B99" s="105"/>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2"/>
      <c r="AQ99" s="2"/>
      <c r="AR99" s="2"/>
      <c r="AS99" s="2"/>
      <c r="AT99" s="2"/>
      <c r="AU99" s="2"/>
      <c r="AV99" s="2"/>
      <c r="AW99" s="2"/>
      <c r="AX99" s="2"/>
      <c r="AY99" s="2"/>
      <c r="AZ99" s="2"/>
      <c r="BA99" s="2"/>
      <c r="BB99" s="2"/>
      <c r="BC99" s="2"/>
    </row>
    <row r="100" spans="2:55" x14ac:dyDescent="0.3">
      <c r="B100" s="105"/>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2"/>
      <c r="AQ100" s="2"/>
      <c r="AR100" s="2"/>
      <c r="AS100" s="2"/>
      <c r="AT100" s="2"/>
      <c r="AU100" s="2"/>
      <c r="AV100" s="2"/>
      <c r="AW100" s="2"/>
      <c r="AX100" s="2"/>
      <c r="AY100" s="2"/>
      <c r="AZ100" s="2"/>
      <c r="BA100" s="2"/>
      <c r="BB100" s="2"/>
      <c r="BC100" s="2"/>
    </row>
    <row r="101" spans="2:55" x14ac:dyDescent="0.3">
      <c r="B101" s="105"/>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2"/>
      <c r="AQ101" s="2"/>
      <c r="AR101" s="2"/>
      <c r="AS101" s="2"/>
      <c r="AT101" s="2"/>
      <c r="AU101" s="2"/>
      <c r="AV101" s="2"/>
      <c r="AW101" s="2"/>
      <c r="AX101" s="2"/>
      <c r="AY101" s="2"/>
      <c r="AZ101" s="2"/>
      <c r="BA101" s="2"/>
      <c r="BB101" s="2"/>
      <c r="BC101" s="2"/>
    </row>
    <row r="102" spans="2:55" x14ac:dyDescent="0.3">
      <c r="B102" s="105"/>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2"/>
      <c r="AQ102" s="2"/>
      <c r="AR102" s="2"/>
      <c r="AS102" s="2"/>
      <c r="AT102" s="2"/>
      <c r="AU102" s="2"/>
      <c r="AV102" s="2"/>
      <c r="AW102" s="2"/>
      <c r="AX102" s="2"/>
      <c r="AY102" s="2"/>
      <c r="AZ102" s="2"/>
      <c r="BA102" s="2"/>
      <c r="BB102" s="2"/>
      <c r="BC102" s="2"/>
    </row>
    <row r="103" spans="2:55" x14ac:dyDescent="0.3">
      <c r="B103" s="105"/>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2"/>
      <c r="AQ103" s="2"/>
      <c r="AR103" s="2"/>
      <c r="AS103" s="2"/>
      <c r="AT103" s="2"/>
      <c r="AU103" s="2"/>
      <c r="AV103" s="2"/>
      <c r="AW103" s="2"/>
      <c r="AX103" s="2"/>
      <c r="AY103" s="2"/>
      <c r="AZ103" s="2"/>
      <c r="BA103" s="2"/>
      <c r="BB103" s="2"/>
      <c r="BC103" s="2"/>
    </row>
    <row r="104" spans="2:55" x14ac:dyDescent="0.3">
      <c r="B104" s="105"/>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2"/>
      <c r="AQ104" s="2"/>
      <c r="AR104" s="2"/>
      <c r="AS104" s="2"/>
      <c r="AT104" s="2"/>
      <c r="AU104" s="2"/>
      <c r="AV104" s="2"/>
      <c r="AW104" s="2"/>
      <c r="AX104" s="2"/>
      <c r="AY104" s="2"/>
      <c r="AZ104" s="2"/>
      <c r="BA104" s="2"/>
      <c r="BB104" s="2"/>
      <c r="BC104" s="2"/>
    </row>
    <row r="105" spans="2:55" x14ac:dyDescent="0.3">
      <c r="B105" s="105"/>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2"/>
      <c r="AQ105" s="2"/>
      <c r="AR105" s="2"/>
      <c r="AS105" s="2"/>
      <c r="AT105" s="2"/>
      <c r="AU105" s="2"/>
      <c r="AV105" s="2"/>
      <c r="AW105" s="2"/>
      <c r="AX105" s="2"/>
      <c r="AY105" s="2"/>
      <c r="AZ105" s="2"/>
      <c r="BA105" s="2"/>
      <c r="BB105" s="2"/>
      <c r="BC105" s="2"/>
    </row>
    <row r="106" spans="2:55" x14ac:dyDescent="0.3">
      <c r="B106" s="105"/>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2"/>
      <c r="AQ106" s="2"/>
      <c r="AR106" s="2"/>
      <c r="AS106" s="2"/>
      <c r="AT106" s="2"/>
      <c r="AU106" s="2"/>
      <c r="AV106" s="2"/>
      <c r="AW106" s="2"/>
      <c r="AX106" s="2"/>
      <c r="AY106" s="2"/>
      <c r="AZ106" s="2"/>
      <c r="BA106" s="2"/>
      <c r="BB106" s="2"/>
      <c r="BC106" s="2"/>
    </row>
    <row r="107" spans="2:55" x14ac:dyDescent="0.3">
      <c r="B107" s="105"/>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2"/>
      <c r="AQ107" s="2"/>
      <c r="AR107" s="2"/>
      <c r="AS107" s="2"/>
      <c r="AT107" s="2"/>
      <c r="AU107" s="2"/>
      <c r="AV107" s="2"/>
      <c r="AW107" s="2"/>
      <c r="AX107" s="2"/>
      <c r="AY107" s="2"/>
      <c r="AZ107" s="2"/>
      <c r="BA107" s="2"/>
      <c r="BB107" s="2"/>
      <c r="BC107" s="2"/>
    </row>
    <row r="108" spans="2:55" x14ac:dyDescent="0.3">
      <c r="B108" s="105"/>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2"/>
      <c r="AQ108" s="2"/>
      <c r="AR108" s="2"/>
      <c r="AS108" s="2"/>
      <c r="AT108" s="2"/>
      <c r="AU108" s="2"/>
      <c r="AV108" s="2"/>
      <c r="AW108" s="2"/>
      <c r="AX108" s="2"/>
      <c r="AY108" s="2"/>
      <c r="AZ108" s="2"/>
      <c r="BA108" s="2"/>
      <c r="BB108" s="2"/>
      <c r="BC108" s="2"/>
    </row>
    <row r="109" spans="2:55" x14ac:dyDescent="0.3">
      <c r="B109" s="105"/>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2"/>
      <c r="AQ109" s="2"/>
      <c r="AR109" s="2"/>
      <c r="AS109" s="2"/>
      <c r="AT109" s="2"/>
      <c r="AU109" s="2"/>
      <c r="AV109" s="2"/>
      <c r="AW109" s="2"/>
      <c r="AX109" s="2"/>
      <c r="AY109" s="2"/>
      <c r="AZ109" s="2"/>
      <c r="BA109" s="2"/>
      <c r="BB109" s="2"/>
      <c r="BC109" s="2"/>
    </row>
    <row r="110" spans="2:55" x14ac:dyDescent="0.3">
      <c r="B110" s="105"/>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2"/>
      <c r="AQ110" s="2"/>
      <c r="AR110" s="2"/>
      <c r="AS110" s="2"/>
      <c r="AT110" s="2"/>
      <c r="AU110" s="2"/>
      <c r="AV110" s="2"/>
      <c r="AW110" s="2"/>
      <c r="AX110" s="2"/>
      <c r="AY110" s="2"/>
      <c r="AZ110" s="2"/>
      <c r="BA110" s="2"/>
      <c r="BB110" s="2"/>
      <c r="BC110" s="2"/>
    </row>
    <row r="111" spans="2:55" x14ac:dyDescent="0.3">
      <c r="B111" s="105"/>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2"/>
      <c r="AQ111" s="2"/>
      <c r="AR111" s="2"/>
      <c r="AS111" s="2"/>
      <c r="AT111" s="2"/>
      <c r="AU111" s="2"/>
      <c r="AV111" s="2"/>
      <c r="AW111" s="2"/>
      <c r="AX111" s="2"/>
      <c r="AY111" s="2"/>
      <c r="AZ111" s="2"/>
      <c r="BA111" s="2"/>
      <c r="BB111" s="2"/>
      <c r="BC111" s="2"/>
    </row>
    <row r="112" spans="2:55" x14ac:dyDescent="0.3">
      <c r="B112" s="105"/>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2"/>
      <c r="AQ112" s="2"/>
      <c r="AR112" s="2"/>
      <c r="AS112" s="2"/>
      <c r="AT112" s="2"/>
      <c r="AU112" s="2"/>
      <c r="AV112" s="2"/>
      <c r="AW112" s="2"/>
      <c r="AX112" s="2"/>
      <c r="AY112" s="2"/>
      <c r="AZ112" s="2"/>
      <c r="BA112" s="2"/>
      <c r="BB112" s="2"/>
      <c r="BC112" s="2"/>
    </row>
    <row r="113" spans="2:55" x14ac:dyDescent="0.3">
      <c r="B113" s="105"/>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2"/>
      <c r="AQ113" s="2"/>
      <c r="AR113" s="2"/>
      <c r="AS113" s="2"/>
      <c r="AT113" s="2"/>
      <c r="AU113" s="2"/>
      <c r="AV113" s="2"/>
      <c r="AW113" s="2"/>
      <c r="AX113" s="2"/>
      <c r="AY113" s="2"/>
      <c r="AZ113" s="2"/>
      <c r="BA113" s="2"/>
      <c r="BB113" s="2"/>
      <c r="BC113" s="2"/>
    </row>
    <row r="114" spans="2:55" x14ac:dyDescent="0.3">
      <c r="B114" s="105"/>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2"/>
      <c r="AQ114" s="2"/>
      <c r="AR114" s="2"/>
      <c r="AS114" s="2"/>
      <c r="AT114" s="2"/>
      <c r="AU114" s="2"/>
      <c r="AV114" s="2"/>
      <c r="AW114" s="2"/>
      <c r="AX114" s="2"/>
      <c r="AY114" s="2"/>
      <c r="AZ114" s="2"/>
      <c r="BA114" s="2"/>
      <c r="BB114" s="2"/>
      <c r="BC114" s="2"/>
    </row>
    <row r="115" spans="2:55" x14ac:dyDescent="0.3">
      <c r="B115" s="105"/>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2"/>
      <c r="AQ115" s="2"/>
      <c r="AR115" s="2"/>
      <c r="AS115" s="2"/>
      <c r="AT115" s="2"/>
      <c r="AU115" s="2"/>
      <c r="AV115" s="2"/>
      <c r="AW115" s="2"/>
      <c r="AX115" s="2"/>
      <c r="AY115" s="2"/>
      <c r="AZ115" s="2"/>
      <c r="BA115" s="2"/>
      <c r="BB115" s="2"/>
      <c r="BC115" s="2"/>
    </row>
    <row r="116" spans="2:55" x14ac:dyDescent="0.3">
      <c r="B116" s="105"/>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2"/>
      <c r="AQ116" s="2"/>
      <c r="AR116" s="2"/>
      <c r="AS116" s="2"/>
      <c r="AT116" s="2"/>
      <c r="AU116" s="2"/>
      <c r="AV116" s="2"/>
      <c r="AW116" s="2"/>
      <c r="AX116" s="2"/>
      <c r="AY116" s="2"/>
      <c r="AZ116" s="2"/>
      <c r="BA116" s="2"/>
      <c r="BB116" s="2"/>
      <c r="BC116" s="2"/>
    </row>
    <row r="117" spans="2:55" x14ac:dyDescent="0.3">
      <c r="B117" s="105"/>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2"/>
      <c r="AQ117" s="2"/>
      <c r="AR117" s="2"/>
      <c r="AS117" s="2"/>
      <c r="AT117" s="2"/>
      <c r="AU117" s="2"/>
      <c r="AV117" s="2"/>
      <c r="AW117" s="2"/>
      <c r="AX117" s="2"/>
      <c r="AY117" s="2"/>
      <c r="AZ117" s="2"/>
      <c r="BA117" s="2"/>
      <c r="BB117" s="2"/>
      <c r="BC117" s="2"/>
    </row>
    <row r="118" spans="2:55" x14ac:dyDescent="0.3">
      <c r="B118" s="105"/>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2"/>
      <c r="AQ118" s="2"/>
      <c r="AR118" s="2"/>
      <c r="AS118" s="2"/>
      <c r="AT118" s="2"/>
      <c r="AU118" s="2"/>
      <c r="AV118" s="2"/>
      <c r="AW118" s="2"/>
      <c r="AX118" s="2"/>
      <c r="AY118" s="2"/>
      <c r="AZ118" s="2"/>
      <c r="BA118" s="2"/>
      <c r="BB118" s="2"/>
      <c r="BC118" s="2"/>
    </row>
    <row r="119" spans="2:55" x14ac:dyDescent="0.3">
      <c r="B119" s="105"/>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2"/>
      <c r="AQ119" s="2"/>
      <c r="AR119" s="2"/>
      <c r="AS119" s="2"/>
      <c r="AT119" s="2"/>
      <c r="AU119" s="2"/>
      <c r="AV119" s="2"/>
      <c r="AW119" s="2"/>
      <c r="AX119" s="2"/>
      <c r="AY119" s="2"/>
      <c r="AZ119" s="2"/>
      <c r="BA119" s="2"/>
      <c r="BB119" s="2"/>
      <c r="BC119" s="2"/>
    </row>
    <row r="120" spans="2:55" x14ac:dyDescent="0.3">
      <c r="B120" s="105"/>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2"/>
      <c r="AQ120" s="2"/>
      <c r="AR120" s="2"/>
      <c r="AS120" s="2"/>
      <c r="AT120" s="2"/>
      <c r="AU120" s="2"/>
      <c r="AV120" s="2"/>
      <c r="AW120" s="2"/>
      <c r="AX120" s="2"/>
      <c r="AY120" s="2"/>
      <c r="AZ120" s="2"/>
      <c r="BA120" s="2"/>
      <c r="BB120" s="2"/>
      <c r="BC120" s="2"/>
    </row>
    <row r="121" spans="2:55" x14ac:dyDescent="0.3">
      <c r="B121" s="105"/>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2"/>
      <c r="AQ121" s="2"/>
      <c r="AR121" s="2"/>
      <c r="AS121" s="2"/>
      <c r="AT121" s="2"/>
      <c r="AU121" s="2"/>
      <c r="AV121" s="2"/>
      <c r="AW121" s="2"/>
      <c r="AX121" s="2"/>
      <c r="AY121" s="2"/>
      <c r="AZ121" s="2"/>
      <c r="BA121" s="2"/>
      <c r="BB121" s="2"/>
      <c r="BC121" s="2"/>
    </row>
    <row r="122" spans="2:55" x14ac:dyDescent="0.3">
      <c r="B122" s="105"/>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2"/>
      <c r="AQ122" s="2"/>
      <c r="AR122" s="2"/>
      <c r="AS122" s="2"/>
      <c r="AT122" s="2"/>
      <c r="AU122" s="2"/>
      <c r="AV122" s="2"/>
      <c r="AW122" s="2"/>
      <c r="AX122" s="2"/>
      <c r="AY122" s="2"/>
      <c r="AZ122" s="2"/>
      <c r="BA122" s="2"/>
      <c r="BB122" s="2"/>
      <c r="BC122" s="2"/>
    </row>
    <row r="123" spans="2:55" x14ac:dyDescent="0.3">
      <c r="B123" s="105"/>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2"/>
      <c r="AQ123" s="2"/>
      <c r="AR123" s="2"/>
      <c r="AS123" s="2"/>
      <c r="AT123" s="2"/>
      <c r="AU123" s="2"/>
      <c r="AV123" s="2"/>
      <c r="AW123" s="2"/>
      <c r="AX123" s="2"/>
      <c r="AY123" s="2"/>
      <c r="AZ123" s="2"/>
      <c r="BA123" s="2"/>
      <c r="BB123" s="2"/>
      <c r="BC123" s="2"/>
    </row>
    <row r="124" spans="2:55" x14ac:dyDescent="0.3">
      <c r="B124" s="105"/>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2"/>
      <c r="AQ124" s="2"/>
      <c r="AR124" s="2"/>
      <c r="AS124" s="2"/>
      <c r="AT124" s="2"/>
      <c r="AU124" s="2"/>
      <c r="AV124" s="2"/>
      <c r="AW124" s="2"/>
      <c r="AX124" s="2"/>
      <c r="AY124" s="2"/>
      <c r="AZ124" s="2"/>
      <c r="BA124" s="2"/>
      <c r="BB124" s="2"/>
      <c r="BC124" s="2"/>
    </row>
    <row r="125" spans="2:55" x14ac:dyDescent="0.3">
      <c r="B125" s="105"/>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2"/>
      <c r="AQ125" s="2"/>
      <c r="AR125" s="2"/>
      <c r="AS125" s="2"/>
      <c r="AT125" s="2"/>
      <c r="AU125" s="2"/>
      <c r="AV125" s="2"/>
      <c r="AW125" s="2"/>
      <c r="AX125" s="2"/>
      <c r="AY125" s="2"/>
      <c r="AZ125" s="2"/>
      <c r="BA125" s="2"/>
      <c r="BB125" s="2"/>
      <c r="BC125" s="2"/>
    </row>
    <row r="126" spans="2:55" x14ac:dyDescent="0.3">
      <c r="B126" s="105"/>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2"/>
      <c r="AQ126" s="2"/>
      <c r="AR126" s="2"/>
      <c r="AS126" s="2"/>
      <c r="AT126" s="2"/>
      <c r="AU126" s="2"/>
      <c r="AV126" s="2"/>
      <c r="AW126" s="2"/>
      <c r="AX126" s="2"/>
      <c r="AY126" s="2"/>
      <c r="AZ126" s="2"/>
      <c r="BA126" s="2"/>
      <c r="BB126" s="2"/>
      <c r="BC126" s="2"/>
    </row>
    <row r="127" spans="2:55" x14ac:dyDescent="0.3">
      <c r="B127" s="105"/>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2"/>
      <c r="AQ127" s="2"/>
      <c r="AR127" s="2"/>
      <c r="AS127" s="2"/>
      <c r="AT127" s="2"/>
      <c r="AU127" s="2"/>
      <c r="AV127" s="2"/>
      <c r="AW127" s="2"/>
      <c r="AX127" s="2"/>
      <c r="AY127" s="2"/>
      <c r="AZ127" s="2"/>
      <c r="BA127" s="2"/>
      <c r="BB127" s="2"/>
      <c r="BC127" s="2"/>
    </row>
    <row r="128" spans="2:55" x14ac:dyDescent="0.3">
      <c r="B128" s="105"/>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2"/>
      <c r="AQ128" s="2"/>
      <c r="AR128" s="2"/>
      <c r="AS128" s="2"/>
      <c r="AT128" s="2"/>
      <c r="AU128" s="2"/>
      <c r="AV128" s="2"/>
      <c r="AW128" s="2"/>
      <c r="AX128" s="2"/>
      <c r="AY128" s="2"/>
      <c r="AZ128" s="2"/>
      <c r="BA128" s="2"/>
      <c r="BB128" s="2"/>
      <c r="BC128" s="2"/>
    </row>
    <row r="129" spans="2:55" x14ac:dyDescent="0.3">
      <c r="B129" s="105"/>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2"/>
      <c r="AQ129" s="2"/>
      <c r="AR129" s="2"/>
      <c r="AS129" s="2"/>
      <c r="AT129" s="2"/>
      <c r="AU129" s="2"/>
      <c r="AV129" s="2"/>
      <c r="AW129" s="2"/>
      <c r="AX129" s="2"/>
      <c r="AY129" s="2"/>
      <c r="AZ129" s="2"/>
      <c r="BA129" s="2"/>
      <c r="BB129" s="2"/>
      <c r="BC129" s="2"/>
    </row>
    <row r="130" spans="2:55" x14ac:dyDescent="0.3">
      <c r="B130" s="105"/>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2"/>
      <c r="AQ130" s="2"/>
      <c r="AR130" s="2"/>
      <c r="AS130" s="2"/>
      <c r="AT130" s="2"/>
      <c r="AU130" s="2"/>
      <c r="AV130" s="2"/>
      <c r="AW130" s="2"/>
      <c r="AX130" s="2"/>
      <c r="AY130" s="2"/>
      <c r="AZ130" s="2"/>
      <c r="BA130" s="2"/>
      <c r="BB130" s="2"/>
      <c r="BC130" s="2"/>
    </row>
    <row r="131" spans="2:55" x14ac:dyDescent="0.3">
      <c r="B131" s="105"/>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2"/>
      <c r="AQ131" s="2"/>
      <c r="AR131" s="2"/>
      <c r="AS131" s="2"/>
      <c r="AT131" s="2"/>
      <c r="AU131" s="2"/>
      <c r="AV131" s="2"/>
      <c r="AW131" s="2"/>
      <c r="AX131" s="2"/>
      <c r="AY131" s="2"/>
      <c r="AZ131" s="2"/>
      <c r="BA131" s="2"/>
      <c r="BB131" s="2"/>
      <c r="BC131" s="2"/>
    </row>
    <row r="132" spans="2:55" x14ac:dyDescent="0.3">
      <c r="B132" s="105"/>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2"/>
      <c r="AQ132" s="2"/>
      <c r="AR132" s="2"/>
      <c r="AS132" s="2"/>
      <c r="AT132" s="2"/>
      <c r="AU132" s="2"/>
      <c r="AV132" s="2"/>
      <c r="AW132" s="2"/>
      <c r="AX132" s="2"/>
      <c r="AY132" s="2"/>
      <c r="AZ132" s="2"/>
      <c r="BA132" s="2"/>
      <c r="BB132" s="2"/>
      <c r="BC132" s="2"/>
    </row>
    <row r="133" spans="2:55" x14ac:dyDescent="0.3">
      <c r="B133" s="105"/>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2"/>
      <c r="AQ133" s="2"/>
      <c r="AR133" s="2"/>
      <c r="AS133" s="2"/>
      <c r="AT133" s="2"/>
      <c r="AU133" s="2"/>
      <c r="AV133" s="2"/>
      <c r="AW133" s="2"/>
      <c r="AX133" s="2"/>
      <c r="AY133" s="2"/>
      <c r="AZ133" s="2"/>
      <c r="BA133" s="2"/>
      <c r="BB133" s="2"/>
      <c r="BC133" s="2"/>
    </row>
    <row r="134" spans="2:55" x14ac:dyDescent="0.3">
      <c r="B134" s="105"/>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2"/>
      <c r="AQ134" s="2"/>
      <c r="AR134" s="2"/>
      <c r="AS134" s="2"/>
      <c r="AT134" s="2"/>
      <c r="AU134" s="2"/>
      <c r="AV134" s="2"/>
      <c r="AW134" s="2"/>
      <c r="AX134" s="2"/>
      <c r="AY134" s="2"/>
      <c r="AZ134" s="2"/>
      <c r="BA134" s="2"/>
      <c r="BB134" s="2"/>
      <c r="BC134" s="2"/>
    </row>
    <row r="135" spans="2:55" x14ac:dyDescent="0.3">
      <c r="B135" s="105"/>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2"/>
      <c r="AQ135" s="2"/>
      <c r="AR135" s="2"/>
      <c r="AS135" s="2"/>
      <c r="AT135" s="2"/>
      <c r="AU135" s="2"/>
      <c r="AV135" s="2"/>
      <c r="AW135" s="2"/>
      <c r="AX135" s="2"/>
      <c r="AY135" s="2"/>
      <c r="AZ135" s="2"/>
      <c r="BA135" s="2"/>
      <c r="BB135" s="2"/>
      <c r="BC135" s="2"/>
    </row>
    <row r="136" spans="2:55" x14ac:dyDescent="0.3">
      <c r="B136" s="105"/>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2"/>
      <c r="AQ136" s="2"/>
      <c r="AR136" s="2"/>
      <c r="AS136" s="2"/>
      <c r="AT136" s="2"/>
      <c r="AU136" s="2"/>
      <c r="AV136" s="2"/>
      <c r="AW136" s="2"/>
      <c r="AX136" s="2"/>
      <c r="AY136" s="2"/>
      <c r="AZ136" s="2"/>
      <c r="BA136" s="2"/>
      <c r="BB136" s="2"/>
      <c r="BC136" s="2"/>
    </row>
    <row r="137" spans="2:55" x14ac:dyDescent="0.3">
      <c r="B137" s="105"/>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2"/>
      <c r="AQ137" s="2"/>
      <c r="AR137" s="2"/>
      <c r="AS137" s="2"/>
      <c r="AT137" s="2"/>
      <c r="AU137" s="2"/>
      <c r="AV137" s="2"/>
      <c r="AW137" s="2"/>
      <c r="AX137" s="2"/>
      <c r="AY137" s="2"/>
      <c r="AZ137" s="2"/>
      <c r="BA137" s="2"/>
      <c r="BB137" s="2"/>
      <c r="BC137" s="2"/>
    </row>
    <row r="138" spans="2:55" x14ac:dyDescent="0.3">
      <c r="B138" s="105"/>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2"/>
      <c r="AQ138" s="2"/>
      <c r="AR138" s="2"/>
      <c r="AS138" s="2"/>
      <c r="AT138" s="2"/>
      <c r="AU138" s="2"/>
      <c r="AV138" s="2"/>
      <c r="AW138" s="2"/>
      <c r="AX138" s="2"/>
      <c r="AY138" s="2"/>
      <c r="AZ138" s="2"/>
      <c r="BA138" s="2"/>
      <c r="BB138" s="2"/>
      <c r="BC138" s="2"/>
    </row>
    <row r="139" spans="2:55" x14ac:dyDescent="0.3">
      <c r="B139" s="105"/>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2"/>
      <c r="AQ139" s="2"/>
      <c r="AR139" s="2"/>
      <c r="AS139" s="2"/>
      <c r="AT139" s="2"/>
      <c r="AU139" s="2"/>
      <c r="AV139" s="2"/>
      <c r="AW139" s="2"/>
      <c r="AX139" s="2"/>
      <c r="AY139" s="2"/>
      <c r="AZ139" s="2"/>
      <c r="BA139" s="2"/>
      <c r="BB139" s="2"/>
      <c r="BC139" s="2"/>
    </row>
    <row r="140" spans="2:55" x14ac:dyDescent="0.3">
      <c r="B140" s="105"/>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2"/>
      <c r="AQ140" s="2"/>
      <c r="AR140" s="2"/>
      <c r="AS140" s="2"/>
      <c r="AT140" s="2"/>
      <c r="AU140" s="2"/>
      <c r="AV140" s="2"/>
      <c r="AW140" s="2"/>
      <c r="AX140" s="2"/>
      <c r="AY140" s="2"/>
      <c r="AZ140" s="2"/>
      <c r="BA140" s="2"/>
      <c r="BB140" s="2"/>
      <c r="BC140" s="2"/>
    </row>
    <row r="141" spans="2:55" x14ac:dyDescent="0.3">
      <c r="B141" s="105"/>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2"/>
      <c r="AQ141" s="2"/>
      <c r="AR141" s="2"/>
      <c r="AS141" s="2"/>
      <c r="AT141" s="2"/>
      <c r="AU141" s="2"/>
      <c r="AV141" s="2"/>
      <c r="AW141" s="2"/>
      <c r="AX141" s="2"/>
      <c r="AY141" s="2"/>
      <c r="AZ141" s="2"/>
      <c r="BA141" s="2"/>
      <c r="BB141" s="2"/>
      <c r="BC141" s="2"/>
    </row>
    <row r="142" spans="2:55" x14ac:dyDescent="0.3">
      <c r="B142" s="105"/>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2"/>
      <c r="AQ142" s="2"/>
      <c r="AR142" s="2"/>
      <c r="AS142" s="2"/>
      <c r="AT142" s="2"/>
      <c r="AU142" s="2"/>
      <c r="AV142" s="2"/>
      <c r="AW142" s="2"/>
      <c r="AX142" s="2"/>
      <c r="AY142" s="2"/>
      <c r="AZ142" s="2"/>
      <c r="BA142" s="2"/>
      <c r="BB142" s="2"/>
      <c r="BC142" s="2"/>
    </row>
    <row r="143" spans="2:55" x14ac:dyDescent="0.3">
      <c r="B143" s="105"/>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2"/>
      <c r="AQ143" s="2"/>
      <c r="AR143" s="2"/>
      <c r="AS143" s="2"/>
      <c r="AT143" s="2"/>
      <c r="AU143" s="2"/>
      <c r="AV143" s="2"/>
      <c r="AW143" s="2"/>
      <c r="AX143" s="2"/>
      <c r="AY143" s="2"/>
      <c r="AZ143" s="2"/>
      <c r="BA143" s="2"/>
      <c r="BB143" s="2"/>
      <c r="BC143" s="2"/>
    </row>
    <row r="144" spans="2:55" x14ac:dyDescent="0.3">
      <c r="B144" s="105"/>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2"/>
      <c r="AQ144" s="2"/>
      <c r="AR144" s="2"/>
      <c r="AS144" s="2"/>
      <c r="AT144" s="2"/>
      <c r="AU144" s="2"/>
      <c r="AV144" s="2"/>
      <c r="AW144" s="2"/>
      <c r="AX144" s="2"/>
      <c r="AY144" s="2"/>
      <c r="AZ144" s="2"/>
      <c r="BA144" s="2"/>
      <c r="BB144" s="2"/>
      <c r="BC144" s="2"/>
    </row>
    <row r="145" spans="2:55" x14ac:dyDescent="0.3">
      <c r="B145" s="105"/>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2"/>
      <c r="AQ145" s="2"/>
      <c r="AR145" s="2"/>
      <c r="AS145" s="2"/>
      <c r="AT145" s="2"/>
      <c r="AU145" s="2"/>
      <c r="AV145" s="2"/>
      <c r="AW145" s="2"/>
      <c r="AX145" s="2"/>
      <c r="AY145" s="2"/>
      <c r="AZ145" s="2"/>
      <c r="BA145" s="2"/>
      <c r="BB145" s="2"/>
      <c r="BC145" s="2"/>
    </row>
    <row r="146" spans="2:55" x14ac:dyDescent="0.3">
      <c r="B146" s="105"/>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2"/>
      <c r="AQ146" s="2"/>
      <c r="AR146" s="2"/>
      <c r="AS146" s="2"/>
      <c r="AT146" s="2"/>
      <c r="AU146" s="2"/>
      <c r="AV146" s="2"/>
      <c r="AW146" s="2"/>
      <c r="AX146" s="2"/>
      <c r="AY146" s="2"/>
      <c r="AZ146" s="2"/>
      <c r="BA146" s="2"/>
      <c r="BB146" s="2"/>
      <c r="BC146" s="2"/>
    </row>
    <row r="147" spans="2:55" x14ac:dyDescent="0.3">
      <c r="B147" s="105"/>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2"/>
      <c r="AQ147" s="2"/>
      <c r="AR147" s="2"/>
      <c r="AS147" s="2"/>
      <c r="AT147" s="2"/>
      <c r="AU147" s="2"/>
      <c r="AV147" s="2"/>
      <c r="AW147" s="2"/>
      <c r="AX147" s="2"/>
      <c r="AY147" s="2"/>
      <c r="AZ147" s="2"/>
      <c r="BA147" s="2"/>
      <c r="BB147" s="2"/>
      <c r="BC147" s="2"/>
    </row>
    <row r="148" spans="2:55" x14ac:dyDescent="0.3">
      <c r="B148" s="105"/>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2"/>
      <c r="AQ148" s="2"/>
      <c r="AR148" s="2"/>
      <c r="AS148" s="2"/>
      <c r="AT148" s="2"/>
      <c r="AU148" s="2"/>
      <c r="AV148" s="2"/>
      <c r="AW148" s="2"/>
      <c r="AX148" s="2"/>
      <c r="AY148" s="2"/>
      <c r="AZ148" s="2"/>
      <c r="BA148" s="2"/>
      <c r="BB148" s="2"/>
      <c r="BC148" s="2"/>
    </row>
    <row r="149" spans="2:55" x14ac:dyDescent="0.3">
      <c r="B149" s="105"/>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2"/>
      <c r="AQ149" s="2"/>
      <c r="AR149" s="2"/>
      <c r="AS149" s="2"/>
      <c r="AT149" s="2"/>
      <c r="AU149" s="2"/>
      <c r="AV149" s="2"/>
      <c r="AW149" s="2"/>
      <c r="AX149" s="2"/>
      <c r="AY149" s="2"/>
      <c r="AZ149" s="2"/>
      <c r="BA149" s="2"/>
      <c r="BB149" s="2"/>
      <c r="BC149" s="2"/>
    </row>
    <row r="150" spans="2:55" x14ac:dyDescent="0.3">
      <c r="B150" s="105"/>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2"/>
      <c r="AQ150" s="2"/>
      <c r="AR150" s="2"/>
      <c r="AS150" s="2"/>
      <c r="AT150" s="2"/>
      <c r="AU150" s="2"/>
      <c r="AV150" s="2"/>
      <c r="AW150" s="2"/>
      <c r="AX150" s="2"/>
      <c r="AY150" s="2"/>
      <c r="AZ150" s="2"/>
      <c r="BA150" s="2"/>
      <c r="BB150" s="2"/>
      <c r="BC150" s="2"/>
    </row>
    <row r="151" spans="2:55" x14ac:dyDescent="0.3">
      <c r="B151" s="105"/>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2"/>
      <c r="AQ151" s="2"/>
      <c r="AR151" s="2"/>
      <c r="AS151" s="2"/>
      <c r="AT151" s="2"/>
      <c r="AU151" s="2"/>
      <c r="AV151" s="2"/>
      <c r="AW151" s="2"/>
      <c r="AX151" s="2"/>
      <c r="AY151" s="2"/>
      <c r="AZ151" s="2"/>
      <c r="BA151" s="2"/>
      <c r="BB151" s="2"/>
      <c r="BC151" s="2"/>
    </row>
    <row r="152" spans="2:55" x14ac:dyDescent="0.3">
      <c r="B152" s="105"/>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2"/>
      <c r="AQ152" s="2"/>
      <c r="AR152" s="2"/>
      <c r="AS152" s="2"/>
      <c r="AT152" s="2"/>
      <c r="AU152" s="2"/>
      <c r="AV152" s="2"/>
      <c r="AW152" s="2"/>
      <c r="AX152" s="2"/>
      <c r="AY152" s="2"/>
      <c r="AZ152" s="2"/>
      <c r="BA152" s="2"/>
      <c r="BB152" s="2"/>
      <c r="BC152" s="2"/>
    </row>
    <row r="153" spans="2:55" x14ac:dyDescent="0.3">
      <c r="B153" s="105"/>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2"/>
      <c r="AQ153" s="2"/>
      <c r="AR153" s="2"/>
      <c r="AS153" s="2"/>
      <c r="AT153" s="2"/>
      <c r="AU153" s="2"/>
      <c r="AV153" s="2"/>
      <c r="AW153" s="2"/>
      <c r="AX153" s="2"/>
      <c r="AY153" s="2"/>
      <c r="AZ153" s="2"/>
      <c r="BA153" s="2"/>
      <c r="BB153" s="2"/>
      <c r="BC153" s="2"/>
    </row>
    <row r="154" spans="2:55" x14ac:dyDescent="0.3">
      <c r="B154" s="105"/>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2"/>
      <c r="AQ154" s="2"/>
      <c r="AR154" s="2"/>
      <c r="AS154" s="2"/>
      <c r="AT154" s="2"/>
      <c r="AU154" s="2"/>
      <c r="AV154" s="2"/>
      <c r="AW154" s="2"/>
      <c r="AX154" s="2"/>
      <c r="AY154" s="2"/>
      <c r="AZ154" s="2"/>
      <c r="BA154" s="2"/>
      <c r="BB154" s="2"/>
      <c r="BC154" s="2"/>
    </row>
    <row r="155" spans="2:55" x14ac:dyDescent="0.3">
      <c r="B155" s="105"/>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2"/>
      <c r="AQ155" s="2"/>
      <c r="AR155" s="2"/>
      <c r="AS155" s="2"/>
      <c r="AT155" s="2"/>
      <c r="AU155" s="2"/>
      <c r="AV155" s="2"/>
      <c r="AW155" s="2"/>
      <c r="AX155" s="2"/>
      <c r="AY155" s="2"/>
      <c r="AZ155" s="2"/>
      <c r="BA155" s="2"/>
      <c r="BB155" s="2"/>
      <c r="BC155" s="2"/>
    </row>
    <row r="156" spans="2:55" x14ac:dyDescent="0.3">
      <c r="B156" s="105"/>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2"/>
      <c r="AQ156" s="2"/>
      <c r="AR156" s="2"/>
      <c r="AS156" s="2"/>
      <c r="AT156" s="2"/>
      <c r="AU156" s="2"/>
      <c r="AV156" s="2"/>
      <c r="AW156" s="2"/>
      <c r="AX156" s="2"/>
      <c r="AY156" s="2"/>
      <c r="AZ156" s="2"/>
      <c r="BA156" s="2"/>
      <c r="BB156" s="2"/>
      <c r="BC156" s="2"/>
    </row>
    <row r="157" spans="2:55" x14ac:dyDescent="0.3">
      <c r="B157" s="105"/>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2"/>
      <c r="AQ157" s="2"/>
      <c r="AR157" s="2"/>
      <c r="AS157" s="2"/>
      <c r="AT157" s="2"/>
      <c r="AU157" s="2"/>
      <c r="AV157" s="2"/>
      <c r="AW157" s="2"/>
      <c r="AX157" s="2"/>
      <c r="AY157" s="2"/>
      <c r="AZ157" s="2"/>
      <c r="BA157" s="2"/>
      <c r="BB157" s="2"/>
      <c r="BC157" s="2"/>
    </row>
    <row r="158" spans="2:55" x14ac:dyDescent="0.3">
      <c r="B158" s="105"/>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2"/>
      <c r="AQ158" s="2"/>
      <c r="AR158" s="2"/>
      <c r="AS158" s="2"/>
      <c r="AT158" s="2"/>
      <c r="AU158" s="2"/>
      <c r="AV158" s="2"/>
      <c r="AW158" s="2"/>
      <c r="AX158" s="2"/>
      <c r="AY158" s="2"/>
      <c r="AZ158" s="2"/>
      <c r="BA158" s="2"/>
      <c r="BB158" s="2"/>
      <c r="BC158" s="2"/>
    </row>
    <row r="159" spans="2:55" x14ac:dyDescent="0.3">
      <c r="B159" s="105"/>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2"/>
      <c r="AQ159" s="2"/>
      <c r="AR159" s="2"/>
      <c r="AS159" s="2"/>
      <c r="AT159" s="2"/>
      <c r="AU159" s="2"/>
      <c r="AV159" s="2"/>
      <c r="AW159" s="2"/>
      <c r="AX159" s="2"/>
      <c r="AY159" s="2"/>
      <c r="AZ159" s="2"/>
      <c r="BA159" s="2"/>
      <c r="BB159" s="2"/>
      <c r="BC159" s="2"/>
    </row>
    <row r="160" spans="2:55" x14ac:dyDescent="0.3">
      <c r="B160" s="105"/>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2"/>
      <c r="AQ160" s="2"/>
      <c r="AR160" s="2"/>
      <c r="AS160" s="2"/>
      <c r="AT160" s="2"/>
      <c r="AU160" s="2"/>
      <c r="AV160" s="2"/>
      <c r="AW160" s="2"/>
      <c r="AX160" s="2"/>
      <c r="AY160" s="2"/>
      <c r="AZ160" s="2"/>
      <c r="BA160" s="2"/>
      <c r="BB160" s="2"/>
      <c r="BC160" s="2"/>
    </row>
    <row r="161" spans="2:55" x14ac:dyDescent="0.3">
      <c r="B161" s="105"/>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2"/>
      <c r="AQ161" s="2"/>
      <c r="AR161" s="2"/>
      <c r="AS161" s="2"/>
      <c r="AT161" s="2"/>
      <c r="AU161" s="2"/>
      <c r="AV161" s="2"/>
      <c r="AW161" s="2"/>
      <c r="AX161" s="2"/>
      <c r="AY161" s="2"/>
      <c r="AZ161" s="2"/>
      <c r="BA161" s="2"/>
      <c r="BB161" s="2"/>
      <c r="BC161" s="2"/>
    </row>
    <row r="162" spans="2:55" x14ac:dyDescent="0.3">
      <c r="B162" s="105"/>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2"/>
      <c r="AQ162" s="2"/>
      <c r="AR162" s="2"/>
      <c r="AS162" s="2"/>
      <c r="AT162" s="2"/>
      <c r="AU162" s="2"/>
      <c r="AV162" s="2"/>
      <c r="AW162" s="2"/>
      <c r="AX162" s="2"/>
      <c r="AY162" s="2"/>
      <c r="AZ162" s="2"/>
      <c r="BA162" s="2"/>
      <c r="BB162" s="2"/>
      <c r="BC162" s="2"/>
    </row>
    <row r="163" spans="2:55" x14ac:dyDescent="0.3">
      <c r="B163" s="105"/>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2"/>
      <c r="AQ163" s="2"/>
      <c r="AR163" s="2"/>
      <c r="AS163" s="2"/>
      <c r="AT163" s="2"/>
      <c r="AU163" s="2"/>
      <c r="AV163" s="2"/>
      <c r="AW163" s="2"/>
      <c r="AX163" s="2"/>
      <c r="AY163" s="2"/>
      <c r="AZ163" s="2"/>
      <c r="BA163" s="2"/>
      <c r="BB163" s="2"/>
      <c r="BC163" s="2"/>
    </row>
    <row r="164" spans="2:55" x14ac:dyDescent="0.3">
      <c r="B164" s="105"/>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2"/>
      <c r="AQ164" s="2"/>
      <c r="AR164" s="2"/>
      <c r="AS164" s="2"/>
      <c r="AT164" s="2"/>
      <c r="AU164" s="2"/>
      <c r="AV164" s="2"/>
      <c r="AW164" s="2"/>
      <c r="AX164" s="2"/>
      <c r="AY164" s="2"/>
      <c r="AZ164" s="2"/>
      <c r="BA164" s="2"/>
      <c r="BB164" s="2"/>
      <c r="BC164" s="2"/>
    </row>
    <row r="165" spans="2:55" x14ac:dyDescent="0.3">
      <c r="B165" s="105"/>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2"/>
      <c r="AQ165" s="2"/>
      <c r="AR165" s="2"/>
      <c r="AS165" s="2"/>
      <c r="AT165" s="2"/>
      <c r="AU165" s="2"/>
      <c r="AV165" s="2"/>
      <c r="AW165" s="2"/>
      <c r="AX165" s="2"/>
      <c r="AY165" s="2"/>
      <c r="AZ165" s="2"/>
      <c r="BA165" s="2"/>
      <c r="BB165" s="2"/>
      <c r="BC165" s="2"/>
    </row>
    <row r="166" spans="2:55" x14ac:dyDescent="0.3">
      <c r="B166" s="105"/>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2"/>
      <c r="AQ166" s="2"/>
      <c r="AR166" s="2"/>
      <c r="AS166" s="2"/>
      <c r="AT166" s="2"/>
      <c r="AU166" s="2"/>
      <c r="AV166" s="2"/>
      <c r="AW166" s="2"/>
      <c r="AX166" s="2"/>
      <c r="AY166" s="2"/>
      <c r="AZ166" s="2"/>
      <c r="BA166" s="2"/>
      <c r="BB166" s="2"/>
      <c r="BC166" s="2"/>
    </row>
    <row r="167" spans="2:55" x14ac:dyDescent="0.3">
      <c r="B167" s="105"/>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2"/>
      <c r="AQ167" s="2"/>
      <c r="AR167" s="2"/>
      <c r="AS167" s="2"/>
      <c r="AT167" s="2"/>
      <c r="AU167" s="2"/>
      <c r="AV167" s="2"/>
      <c r="AW167" s="2"/>
      <c r="AX167" s="2"/>
      <c r="AY167" s="2"/>
      <c r="AZ167" s="2"/>
      <c r="BA167" s="2"/>
      <c r="BB167" s="2"/>
      <c r="BC167" s="2"/>
    </row>
    <row r="168" spans="2:55" x14ac:dyDescent="0.3">
      <c r="B168" s="105"/>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2"/>
      <c r="AQ168" s="2"/>
      <c r="AR168" s="2"/>
      <c r="AS168" s="2"/>
      <c r="AT168" s="2"/>
      <c r="AU168" s="2"/>
      <c r="AV168" s="2"/>
      <c r="AW168" s="2"/>
      <c r="AX168" s="2"/>
      <c r="AY168" s="2"/>
      <c r="AZ168" s="2"/>
      <c r="BA168" s="2"/>
      <c r="BB168" s="2"/>
      <c r="BC168" s="2"/>
    </row>
    <row r="169" spans="2:55" x14ac:dyDescent="0.3">
      <c r="B169" s="105"/>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2"/>
      <c r="AQ169" s="2"/>
      <c r="AR169" s="2"/>
      <c r="AS169" s="2"/>
      <c r="AT169" s="2"/>
      <c r="AU169" s="2"/>
      <c r="AV169" s="2"/>
      <c r="AW169" s="2"/>
      <c r="AX169" s="2"/>
      <c r="AY169" s="2"/>
      <c r="AZ169" s="2"/>
      <c r="BA169" s="2"/>
      <c r="BB169" s="2"/>
      <c r="BC169" s="2"/>
    </row>
    <row r="170" spans="2:55" x14ac:dyDescent="0.3">
      <c r="B170" s="105"/>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2"/>
      <c r="AQ170" s="2"/>
      <c r="AR170" s="2"/>
      <c r="AS170" s="2"/>
      <c r="AT170" s="2"/>
      <c r="AU170" s="2"/>
      <c r="AV170" s="2"/>
      <c r="AW170" s="2"/>
      <c r="AX170" s="2"/>
      <c r="AY170" s="2"/>
      <c r="AZ170" s="2"/>
      <c r="BA170" s="2"/>
      <c r="BB170" s="2"/>
      <c r="BC170" s="2"/>
    </row>
    <row r="171" spans="2:55" x14ac:dyDescent="0.3">
      <c r="B171" s="105"/>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2"/>
      <c r="AQ171" s="2"/>
      <c r="AR171" s="2"/>
      <c r="AS171" s="2"/>
      <c r="AT171" s="2"/>
      <c r="AU171" s="2"/>
      <c r="AV171" s="2"/>
      <c r="AW171" s="2"/>
      <c r="AX171" s="2"/>
      <c r="AY171" s="2"/>
      <c r="AZ171" s="2"/>
      <c r="BA171" s="2"/>
      <c r="BB171" s="2"/>
      <c r="BC171" s="2"/>
    </row>
    <row r="172" spans="2:55" x14ac:dyDescent="0.3">
      <c r="B172" s="105"/>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2"/>
      <c r="AQ172" s="2"/>
      <c r="AR172" s="2"/>
      <c r="AS172" s="2"/>
      <c r="AT172" s="2"/>
      <c r="AU172" s="2"/>
      <c r="AV172" s="2"/>
      <c r="AW172" s="2"/>
      <c r="AX172" s="2"/>
      <c r="AY172" s="2"/>
      <c r="AZ172" s="2"/>
      <c r="BA172" s="2"/>
      <c r="BB172" s="2"/>
      <c r="BC172" s="2"/>
    </row>
    <row r="173" spans="2:55" x14ac:dyDescent="0.3">
      <c r="B173" s="105"/>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2"/>
      <c r="AQ173" s="2"/>
      <c r="AR173" s="2"/>
      <c r="AS173" s="2"/>
      <c r="AT173" s="2"/>
      <c r="AU173" s="2"/>
      <c r="AV173" s="2"/>
      <c r="AW173" s="2"/>
      <c r="AX173" s="2"/>
      <c r="AY173" s="2"/>
      <c r="AZ173" s="2"/>
      <c r="BA173" s="2"/>
      <c r="BB173" s="2"/>
      <c r="BC173" s="2"/>
    </row>
    <row r="174" spans="2:55" x14ac:dyDescent="0.3">
      <c r="B174" s="105"/>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2"/>
      <c r="AQ174" s="2"/>
      <c r="AR174" s="2"/>
      <c r="AS174" s="2"/>
      <c r="AT174" s="2"/>
      <c r="AU174" s="2"/>
      <c r="AV174" s="2"/>
      <c r="AW174" s="2"/>
      <c r="AX174" s="2"/>
      <c r="AY174" s="2"/>
      <c r="AZ174" s="2"/>
      <c r="BA174" s="2"/>
      <c r="BB174" s="2"/>
      <c r="BC174" s="2"/>
    </row>
    <row r="175" spans="2:55" x14ac:dyDescent="0.3">
      <c r="B175" s="105"/>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2"/>
      <c r="AQ175" s="2"/>
      <c r="AR175" s="2"/>
      <c r="AS175" s="2"/>
      <c r="AT175" s="2"/>
      <c r="AU175" s="2"/>
      <c r="AV175" s="2"/>
      <c r="AW175" s="2"/>
      <c r="AX175" s="2"/>
      <c r="AY175" s="2"/>
      <c r="AZ175" s="2"/>
      <c r="BA175" s="2"/>
      <c r="BB175" s="2"/>
      <c r="BC175" s="2"/>
    </row>
    <row r="176" spans="2:55" x14ac:dyDescent="0.3">
      <c r="B176" s="105"/>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2"/>
      <c r="AQ176" s="2"/>
      <c r="AR176" s="2"/>
      <c r="AS176" s="2"/>
      <c r="AT176" s="2"/>
      <c r="AU176" s="2"/>
      <c r="AV176" s="2"/>
      <c r="AW176" s="2"/>
      <c r="AX176" s="2"/>
      <c r="AY176" s="2"/>
      <c r="AZ176" s="2"/>
      <c r="BA176" s="2"/>
      <c r="BB176" s="2"/>
      <c r="BC176" s="2"/>
    </row>
    <row r="177" spans="2:55" x14ac:dyDescent="0.3">
      <c r="B177" s="105"/>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2"/>
      <c r="AQ177" s="2"/>
      <c r="AR177" s="2"/>
      <c r="AS177" s="2"/>
      <c r="AT177" s="2"/>
      <c r="AU177" s="2"/>
      <c r="AV177" s="2"/>
      <c r="AW177" s="2"/>
      <c r="AX177" s="2"/>
      <c r="AY177" s="2"/>
      <c r="AZ177" s="2"/>
      <c r="BA177" s="2"/>
      <c r="BB177" s="2"/>
      <c r="BC177" s="2"/>
    </row>
    <row r="178" spans="2:55" x14ac:dyDescent="0.3">
      <c r="B178" s="105"/>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2"/>
      <c r="AQ178" s="2"/>
      <c r="AR178" s="2"/>
      <c r="AS178" s="2"/>
      <c r="AT178" s="2"/>
      <c r="AU178" s="2"/>
      <c r="AV178" s="2"/>
      <c r="AW178" s="2"/>
      <c r="AX178" s="2"/>
      <c r="AY178" s="2"/>
      <c r="AZ178" s="2"/>
      <c r="BA178" s="2"/>
      <c r="BB178" s="2"/>
      <c r="BC178" s="2"/>
    </row>
    <row r="179" spans="2:55" x14ac:dyDescent="0.3">
      <c r="B179" s="105"/>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2"/>
      <c r="AQ179" s="2"/>
      <c r="AR179" s="2"/>
      <c r="AS179" s="2"/>
      <c r="AT179" s="2"/>
      <c r="AU179" s="2"/>
      <c r="AV179" s="2"/>
      <c r="AW179" s="2"/>
      <c r="AX179" s="2"/>
      <c r="AY179" s="2"/>
      <c r="AZ179" s="2"/>
      <c r="BA179" s="2"/>
      <c r="BB179" s="2"/>
      <c r="BC179" s="2"/>
    </row>
    <row r="180" spans="2:55" x14ac:dyDescent="0.3">
      <c r="B180" s="105"/>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2"/>
      <c r="AQ180" s="2"/>
      <c r="AR180" s="2"/>
      <c r="AS180" s="2"/>
      <c r="AT180" s="2"/>
      <c r="AU180" s="2"/>
      <c r="AV180" s="2"/>
      <c r="AW180" s="2"/>
      <c r="AX180" s="2"/>
      <c r="AY180" s="2"/>
      <c r="AZ180" s="2"/>
      <c r="BA180" s="2"/>
      <c r="BB180" s="2"/>
      <c r="BC180" s="2"/>
    </row>
    <row r="181" spans="2:55" x14ac:dyDescent="0.3">
      <c r="B181" s="105"/>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2"/>
      <c r="AQ181" s="2"/>
      <c r="AR181" s="2"/>
      <c r="AS181" s="2"/>
      <c r="AT181" s="2"/>
      <c r="AU181" s="2"/>
      <c r="AV181" s="2"/>
      <c r="AW181" s="2"/>
      <c r="AX181" s="2"/>
      <c r="AY181" s="2"/>
      <c r="AZ181" s="2"/>
      <c r="BA181" s="2"/>
      <c r="BB181" s="2"/>
      <c r="BC181" s="2"/>
    </row>
    <row r="182" spans="2:55" x14ac:dyDescent="0.3">
      <c r="B182" s="105"/>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2"/>
      <c r="AQ182" s="2"/>
      <c r="AR182" s="2"/>
      <c r="AS182" s="2"/>
      <c r="AT182" s="2"/>
      <c r="AU182" s="2"/>
      <c r="AV182" s="2"/>
      <c r="AW182" s="2"/>
      <c r="AX182" s="2"/>
      <c r="AY182" s="2"/>
      <c r="AZ182" s="2"/>
      <c r="BA182" s="2"/>
      <c r="BB182" s="2"/>
      <c r="BC182" s="2"/>
    </row>
    <row r="183" spans="2:55" x14ac:dyDescent="0.3">
      <c r="B183" s="105"/>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2"/>
      <c r="AQ183" s="2"/>
      <c r="AR183" s="2"/>
      <c r="AS183" s="2"/>
      <c r="AT183" s="2"/>
      <c r="AU183" s="2"/>
      <c r="AV183" s="2"/>
      <c r="AW183" s="2"/>
      <c r="AX183" s="2"/>
      <c r="AY183" s="2"/>
      <c r="AZ183" s="2"/>
      <c r="BA183" s="2"/>
      <c r="BB183" s="2"/>
      <c r="BC183" s="2"/>
    </row>
    <row r="184" spans="2:55" x14ac:dyDescent="0.3">
      <c r="B184" s="105"/>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2"/>
      <c r="AQ184" s="2"/>
      <c r="AR184" s="2"/>
      <c r="AS184" s="2"/>
      <c r="AT184" s="2"/>
      <c r="AU184" s="2"/>
      <c r="AV184" s="2"/>
      <c r="AW184" s="2"/>
      <c r="AX184" s="2"/>
      <c r="AY184" s="2"/>
      <c r="AZ184" s="2"/>
      <c r="BA184" s="2"/>
      <c r="BB184" s="2"/>
      <c r="BC184" s="2"/>
    </row>
    <row r="185" spans="2:55" x14ac:dyDescent="0.3">
      <c r="B185" s="105"/>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2"/>
      <c r="AQ185" s="2"/>
      <c r="AR185" s="2"/>
      <c r="AS185" s="2"/>
      <c r="AT185" s="2"/>
      <c r="AU185" s="2"/>
      <c r="AV185" s="2"/>
      <c r="AW185" s="2"/>
      <c r="AX185" s="2"/>
      <c r="AY185" s="2"/>
      <c r="AZ185" s="2"/>
      <c r="BA185" s="2"/>
      <c r="BB185" s="2"/>
      <c r="BC185" s="2"/>
    </row>
  </sheetData>
  <autoFilter ref="B7:AZ180" xr:uid="{00000000-0001-0000-0000-000000000000}">
    <sortState xmlns:xlrd2="http://schemas.microsoft.com/office/spreadsheetml/2017/richdata2" ref="B8:AZ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O2 Y13:AJ13 Y14 Y15:AJ15 Y16:AA16 Y17:Y22 Y23:AA24 Y25:AJ40 Y41:AO1048576">
    <cfRule type="cellIs" dxfId="28" priority="21" operator="equal">
      <formula>"YES"</formula>
    </cfRule>
  </conditionalFormatting>
  <conditionalFormatting sqref="AB8:AJ12 AL8:AO40 Y9:AA9">
    <cfRule type="cellIs" dxfId="27" priority="3" operator="equal">
      <formula>"YES"</formula>
    </cfRule>
  </conditionalFormatting>
  <conditionalFormatting sqref="AB14:AJ14">
    <cfRule type="cellIs" dxfId="26" priority="2" operator="equal">
      <formula>"YES"</formula>
    </cfRule>
  </conditionalFormatting>
  <conditionalFormatting sqref="AB16:AJ24">
    <cfRule type="cellIs" dxfId="25" priority="1" operator="equal">
      <formula>"YES"</formula>
    </cfRule>
  </conditionalFormatting>
  <hyperlinks>
    <hyperlink ref="AR12" r:id="rId1" display="../../../../../../../../:f:/s/02.Projects/IgDhtdVpXNJbSYoc1y2WwRnfAbuzwiG6Uut1APx78OaSXC8?e=PGJtJs" xr:uid="{9F96F854-773E-4A42-80A9-61F4F342C4DC}"/>
    <hyperlink ref="AR10" r:id="rId2" display="../../../../../../../../:f:/s/02.Projects/IgDiDTFbwpUlSKdCVCOWqLWAAXpsiVrsp4WcXIlNCWili_M?e=Dw2yPE" xr:uid="{C979A131-49D2-405C-96C1-2320C2A428AF}"/>
    <hyperlink ref="AR11" r:id="rId3" display="../../../../../../../../:f:/s/02.Projects/IgDiDTFbwpUlSKdCVCOWqLWAAXpsiVrsp4WcXIlNCWili_M?e=Dw2yPE" xr:uid="{69AED8F9-A513-4F0C-A521-16F74F61A624}"/>
    <hyperlink ref="AR14" r:id="rId4" display="../../../../../../../../:f:/s/02.Projects/IgDUKLZy3-0LRbf19n5zy-afASR7RElg1vwhHBTk8H9t1Jw?e=JaO57d" xr:uid="{16E1709B-A184-44D5-8037-F764498B2192}"/>
    <hyperlink ref="AR17" r:id="rId5" display="../../../../../../../../:f:/s/02.Projects/IgCArctgLiLoRrOcnSZbyaxXAZBNlYC1gxIkc_hxrNt2X1M?e=Q1RShE" xr:uid="{17793E91-25FF-4D1B-8095-3D2376AF55AB}"/>
    <hyperlink ref="AR19" r:id="rId6" display="../../../../../../../../:f:/s/02.Projects/IgBNI_XOGu0bRp1RhoUMVtMSAY63Li7gwQizpP0WSEfSwk8?e=aFHPDA" xr:uid="{7DE32A2A-CE52-46D3-9AB5-C1D00960CC96}"/>
    <hyperlink ref="AR20" r:id="rId7" display="../../../../../../../../:f:/s/02.Projects/IgBNI_XOGu0bRp1RhoUMVtMSAY63Li7gwQizpP0WSEfSwk8?e=aFHPDA" xr:uid="{9ED7C47D-DD16-435F-AF6E-A2F512079B2A}"/>
    <hyperlink ref="AR18" r:id="rId8" display="../../../../../../../../:f:/s/02.Projects/IgDA_XPwWFvURpkwtnjfVlnoAWPO1u-ZGjBbuBkMxy-W7gU?e=fio76x" xr:uid="{3C30A1DE-50DC-4DC1-B6BE-E86B4430CE3E}"/>
    <hyperlink ref="AR8" r:id="rId9" display="../../../../../../../../:f:/s/02.Projects/IgCnFB_bxtV0SIVsXyJwsLLrAfIrEoh1jlgzj8h5gaUgnhc?e=plDKjV" xr:uid="{AFF843F8-63C6-4DD3-B73A-AF5B5794ADF2}"/>
    <hyperlink ref="AR22" r:id="rId10" display="../../../../../../../../:b:/s/02.Projects/IQCvBijrCFiLRLPEKfVshY7hAc3Gxm84rb5JGBW8W-HM7oE?e=ZVQIqy" xr:uid="{A9D7AD60-BAC3-48B1-A56B-7D3D2F540A60}"/>
    <hyperlink ref="AR21" r:id="rId11" display="../../../../../../../../:b:/s/02.Projects/IQAkxotu714WQ5iyCXwa8VARAagckT5MPkHaHvExErhxqzk?e=ai5EyW" xr:uid="{898957BB-8DF0-496A-8422-0E752BBCC752}"/>
    <hyperlink ref="AS10" r:id="rId12" display="../../../../../../../../../:f:/s/02.Projects/IgDSe2H7zLFPTI_qWKLCXnBXAcq8FmwyAUOw6bK562PaFzM?e=577mAM" xr:uid="{05C88F2F-8D40-4905-9ADB-8D21DFDCEAE5}"/>
    <hyperlink ref="AS17" r:id="rId13" display="../../../../../../../../../:f:/s/02.Projects/IgDgjQTLbudASq3mUxmDgkG7AWQGTo4A6kSTXdhXFKnKSBU?e=s8QAZT" xr:uid="{2F35573C-0E49-4751-8760-0B5913A22857}"/>
  </hyperlinks>
  <pageMargins left="0.7" right="0.7" top="0.75" bottom="0.75" header="0.3" footer="0.3"/>
  <pageSetup paperSize="9" scale="12" fitToHeight="0" orientation="landscape" r:id="rId14"/>
  <legacyDrawing r:id="rId15"/>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CD7181A-D7A7-45B4-BE77-C689FA131091}">
          <x14:formula1>
            <xm:f>Sheet1!$A$1:$A$18</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8671875" defaultRowHeight="30" customHeight="1" x14ac:dyDescent="0.3"/>
  <cols>
    <col min="1" max="1" width="4.6640625" style="81" customWidth="1"/>
    <col min="2" max="2" width="40.44140625" customWidth="1"/>
    <col min="3" max="3" width="13.33203125" bestFit="1" customWidth="1"/>
    <col min="4" max="4" width="11.33203125" hidden="1" customWidth="1"/>
    <col min="5" max="5" width="15.6640625" customWidth="1"/>
    <col min="6" max="7" width="13.6640625" style="12" customWidth="1"/>
    <col min="8" max="8" width="10.44140625" customWidth="1"/>
    <col min="9" max="9" width="2.6640625" customWidth="1"/>
    <col min="10" max="591" width="1.5546875" customWidth="1"/>
  </cols>
  <sheetData>
    <row r="1" spans="1:591" ht="25.2" customHeight="1" x14ac:dyDescent="0.3"/>
    <row r="2" spans="1:591" ht="49.95" customHeight="1" x14ac:dyDescent="0.3">
      <c r="A2" s="82"/>
      <c r="B2" s="134" t="s">
        <v>97</v>
      </c>
      <c r="C2" s="134"/>
      <c r="D2" s="134"/>
      <c r="E2" s="134"/>
      <c r="F2" s="134"/>
      <c r="G2" s="134"/>
      <c r="H2" s="134"/>
      <c r="I2" s="134"/>
      <c r="J2" s="135"/>
      <c r="K2" s="135"/>
      <c r="L2" s="135"/>
      <c r="M2" s="135"/>
      <c r="N2" s="135"/>
      <c r="O2" s="135"/>
      <c r="P2" s="136"/>
      <c r="Q2" s="136"/>
      <c r="R2" s="136"/>
      <c r="S2" s="136"/>
      <c r="T2" s="136"/>
      <c r="U2" s="136"/>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c r="FJ2" s="68"/>
      <c r="FK2" s="68"/>
      <c r="FL2" s="68"/>
      <c r="FM2" s="68"/>
      <c r="FN2" s="68"/>
      <c r="FO2" s="68"/>
      <c r="FP2" s="68"/>
      <c r="FQ2" s="68"/>
      <c r="FR2" s="68"/>
      <c r="FS2" s="68"/>
      <c r="FT2" s="68"/>
      <c r="FU2" s="68"/>
      <c r="FV2" s="68"/>
      <c r="FW2" s="68"/>
      <c r="FX2" s="68"/>
      <c r="FY2" s="68"/>
      <c r="FZ2" s="68"/>
      <c r="GA2" s="68"/>
      <c r="GB2" s="68"/>
      <c r="GC2" s="68"/>
      <c r="GD2" s="68"/>
      <c r="GE2" s="68"/>
      <c r="GF2" s="68"/>
      <c r="GG2" s="68"/>
      <c r="GH2" s="68"/>
      <c r="GI2" s="68"/>
      <c r="GJ2" s="68"/>
      <c r="GK2" s="68"/>
      <c r="GL2" s="68"/>
      <c r="GM2" s="68"/>
      <c r="GN2" s="68"/>
      <c r="GO2" s="68"/>
      <c r="GP2" s="68"/>
      <c r="GQ2" s="68"/>
      <c r="GR2" s="68"/>
      <c r="GS2" s="68"/>
      <c r="GT2" s="68"/>
      <c r="GU2" s="68"/>
      <c r="GV2" s="68"/>
      <c r="GW2" s="68"/>
      <c r="GX2" s="68"/>
      <c r="GY2" s="68"/>
      <c r="GZ2" s="68"/>
      <c r="HA2" s="68"/>
      <c r="HB2" s="68"/>
      <c r="HC2" s="68"/>
      <c r="HD2" s="68"/>
      <c r="HE2" s="68"/>
      <c r="HF2" s="68"/>
      <c r="HG2" s="68"/>
      <c r="HH2" s="68"/>
      <c r="HI2" s="68"/>
      <c r="HJ2" s="68"/>
      <c r="HK2" s="68"/>
      <c r="HL2" s="68"/>
      <c r="HM2" s="68"/>
      <c r="HN2" s="68"/>
      <c r="HO2" s="68"/>
      <c r="HP2" s="68"/>
      <c r="HQ2" s="68"/>
      <c r="HR2" s="68"/>
      <c r="HS2" s="68"/>
      <c r="HT2" s="68"/>
      <c r="HU2" s="68"/>
      <c r="HV2" s="68"/>
      <c r="HW2" s="68"/>
      <c r="HX2" s="68"/>
      <c r="HY2" s="68"/>
      <c r="HZ2" s="68"/>
      <c r="IA2" s="68"/>
      <c r="IB2" s="68"/>
      <c r="IC2" s="68"/>
      <c r="ID2" s="68"/>
      <c r="IE2" s="68"/>
      <c r="IF2" s="68"/>
      <c r="IG2" s="68"/>
      <c r="IH2" s="68"/>
      <c r="II2" s="68"/>
      <c r="IJ2" s="68"/>
      <c r="IK2" s="68"/>
      <c r="IL2" s="68"/>
      <c r="IM2" s="68"/>
      <c r="IN2" s="68"/>
      <c r="IO2" s="68"/>
      <c r="IP2" s="68"/>
      <c r="IQ2" s="68"/>
      <c r="IR2" s="68"/>
      <c r="IS2" s="68"/>
      <c r="IT2" s="68"/>
      <c r="IU2" s="68"/>
      <c r="IV2" s="68"/>
      <c r="IW2" s="68"/>
      <c r="IX2" s="68"/>
      <c r="IY2" s="68"/>
      <c r="IZ2" s="68"/>
      <c r="JA2" s="68"/>
      <c r="JB2" s="68"/>
      <c r="JC2" s="68"/>
      <c r="JD2" s="68"/>
      <c r="JE2" s="68"/>
      <c r="JF2" s="68"/>
      <c r="JG2" s="68"/>
      <c r="JH2" s="68"/>
      <c r="JI2" s="68"/>
      <c r="JJ2" s="68"/>
      <c r="JK2" s="68"/>
      <c r="JL2" s="68"/>
      <c r="JM2" s="68"/>
      <c r="JN2" s="68"/>
      <c r="JO2" s="68"/>
      <c r="JP2" s="68"/>
      <c r="JQ2" s="68"/>
      <c r="JR2" s="68"/>
      <c r="JS2" s="68"/>
      <c r="JT2" s="68"/>
      <c r="JU2" s="68"/>
      <c r="JV2" s="68"/>
      <c r="JW2" s="68"/>
      <c r="JX2" s="68"/>
      <c r="JY2" s="68"/>
      <c r="JZ2" s="68"/>
      <c r="KA2" s="68"/>
      <c r="KB2" s="68"/>
      <c r="KC2" s="68"/>
      <c r="KD2" s="68"/>
      <c r="KE2" s="68"/>
      <c r="KF2" s="68"/>
      <c r="KG2" s="68"/>
      <c r="KH2" s="68"/>
      <c r="KI2" s="68"/>
      <c r="KJ2" s="68"/>
      <c r="KK2" s="68"/>
      <c r="KL2" s="68"/>
      <c r="KM2" s="68"/>
      <c r="KN2" s="68"/>
      <c r="KO2" s="68"/>
      <c r="KP2" s="68"/>
      <c r="KQ2" s="68"/>
      <c r="KR2" s="68"/>
      <c r="KS2" s="68"/>
      <c r="KT2" s="68"/>
      <c r="KU2" s="68"/>
      <c r="KV2" s="68"/>
      <c r="KW2" s="68"/>
      <c r="KX2" s="68"/>
      <c r="KY2" s="68"/>
      <c r="KZ2" s="68"/>
      <c r="LA2" s="68"/>
      <c r="LB2" s="68"/>
      <c r="LC2" s="68"/>
      <c r="LD2" s="68"/>
      <c r="LE2" s="68"/>
      <c r="LF2" s="68"/>
      <c r="LG2" s="68"/>
      <c r="LH2" s="68"/>
      <c r="LI2" s="68"/>
      <c r="LJ2" s="68"/>
      <c r="LK2" s="68"/>
      <c r="LL2" s="68"/>
      <c r="LM2" s="68"/>
      <c r="LN2" s="68"/>
      <c r="LO2" s="68"/>
      <c r="LP2" s="68"/>
      <c r="LQ2" s="68"/>
      <c r="LR2" s="68"/>
      <c r="LS2" s="68"/>
      <c r="LT2" s="68"/>
      <c r="LU2" s="68"/>
      <c r="LV2" s="68"/>
      <c r="LW2" s="68"/>
      <c r="LX2" s="68"/>
      <c r="LY2" s="68"/>
      <c r="LZ2" s="68"/>
      <c r="MA2" s="68"/>
      <c r="MB2" s="68"/>
      <c r="MC2" s="68"/>
      <c r="MD2" s="68"/>
      <c r="ME2" s="68"/>
      <c r="MF2" s="68"/>
      <c r="MG2" s="68"/>
      <c r="MH2" s="68"/>
      <c r="MI2" s="68"/>
      <c r="MJ2" s="68"/>
      <c r="MK2" s="68"/>
      <c r="ML2" s="68"/>
      <c r="MM2" s="68"/>
      <c r="MN2" s="68"/>
      <c r="MO2" s="68"/>
      <c r="MP2" s="68"/>
      <c r="MQ2" s="68"/>
      <c r="MR2" s="68"/>
      <c r="MS2" s="68"/>
      <c r="MT2" s="68"/>
      <c r="MU2" s="68"/>
      <c r="MV2" s="68"/>
      <c r="MW2" s="68"/>
      <c r="MX2" s="68"/>
      <c r="MY2" s="68"/>
      <c r="MZ2" s="68"/>
      <c r="NA2" s="68"/>
      <c r="NB2" s="68"/>
      <c r="NC2" s="68"/>
      <c r="ND2" s="68"/>
      <c r="NE2" s="68"/>
      <c r="NF2" s="68"/>
      <c r="NG2" s="68"/>
      <c r="NH2" s="68"/>
      <c r="NI2" s="68"/>
      <c r="NJ2" s="68"/>
      <c r="NK2" s="68"/>
      <c r="NL2" s="68"/>
      <c r="NM2" s="68"/>
      <c r="NN2" s="68"/>
      <c r="NO2" s="68"/>
      <c r="NP2" s="68"/>
      <c r="NQ2" s="68"/>
      <c r="NR2" s="68"/>
      <c r="NS2" s="68"/>
      <c r="NT2" s="68"/>
      <c r="NU2" s="68"/>
      <c r="NV2" s="68"/>
      <c r="NW2" s="68"/>
      <c r="NX2" s="68"/>
      <c r="NY2" s="68"/>
      <c r="NZ2" s="68"/>
      <c r="OA2" s="68"/>
      <c r="OB2" s="68"/>
      <c r="OC2" s="68"/>
      <c r="OD2" s="68"/>
      <c r="OE2" s="68"/>
      <c r="OF2" s="68"/>
      <c r="OG2" s="68"/>
      <c r="OH2" s="68"/>
      <c r="OI2" s="68"/>
      <c r="OJ2" s="68"/>
      <c r="OK2" s="68"/>
      <c r="OL2" s="68"/>
      <c r="OM2" s="68"/>
      <c r="ON2" s="68"/>
      <c r="OO2" s="68"/>
      <c r="OP2" s="68"/>
      <c r="OQ2" s="68"/>
      <c r="OR2" s="68"/>
      <c r="OS2" s="68"/>
      <c r="OT2" s="68"/>
      <c r="OU2" s="68"/>
      <c r="OV2" s="68"/>
      <c r="OW2" s="68"/>
      <c r="OX2" s="68"/>
      <c r="OY2" s="68"/>
      <c r="OZ2" s="68"/>
      <c r="PA2" s="68"/>
      <c r="PB2" s="68"/>
      <c r="PC2" s="68"/>
      <c r="PD2" s="68"/>
      <c r="PE2" s="68"/>
      <c r="PF2" s="68"/>
      <c r="PG2" s="68"/>
      <c r="PH2" s="68"/>
      <c r="PI2" s="68"/>
      <c r="PJ2" s="68"/>
      <c r="PK2" s="68"/>
      <c r="PL2" s="68"/>
      <c r="PM2" s="68"/>
      <c r="PN2" s="68"/>
      <c r="PO2" s="68"/>
      <c r="PP2" s="68"/>
      <c r="PQ2" s="68"/>
      <c r="PR2" s="68"/>
      <c r="PS2" s="68"/>
      <c r="PT2" s="68"/>
      <c r="PU2" s="68"/>
      <c r="PV2" s="68"/>
      <c r="PW2" s="68"/>
      <c r="PX2" s="68"/>
      <c r="PY2" s="68"/>
      <c r="PZ2" s="68"/>
      <c r="QA2" s="68"/>
      <c r="QB2" s="68"/>
      <c r="QC2" s="68"/>
      <c r="QD2" s="68"/>
      <c r="QE2" s="68"/>
      <c r="QF2" s="68"/>
      <c r="QG2" s="68"/>
      <c r="QH2" s="68"/>
      <c r="QI2" s="68"/>
      <c r="QJ2" s="68"/>
      <c r="QK2" s="68"/>
      <c r="QL2" s="68"/>
      <c r="QM2" s="68"/>
      <c r="QN2" s="68"/>
      <c r="QO2" s="68"/>
      <c r="QP2" s="68"/>
      <c r="QQ2" s="68"/>
      <c r="QR2" s="68"/>
      <c r="QS2" s="68"/>
      <c r="QT2" s="68"/>
      <c r="QU2" s="68"/>
      <c r="QV2" s="68"/>
      <c r="QW2" s="68"/>
      <c r="QX2" s="68"/>
      <c r="QY2" s="68"/>
      <c r="QZ2" s="68"/>
      <c r="RA2" s="68"/>
      <c r="RB2" s="68"/>
      <c r="RC2" s="68"/>
      <c r="RD2" s="68"/>
      <c r="RE2" s="68"/>
      <c r="RF2" s="68"/>
      <c r="RG2" s="68"/>
      <c r="RH2" s="68"/>
      <c r="RI2" s="68"/>
      <c r="RJ2" s="68"/>
      <c r="RK2" s="68"/>
      <c r="RL2" s="68"/>
      <c r="RM2" s="68"/>
      <c r="RN2" s="68"/>
      <c r="RO2" s="68"/>
      <c r="RP2" s="68"/>
      <c r="RQ2" s="68"/>
      <c r="RR2" s="68"/>
      <c r="RS2" s="68"/>
      <c r="RT2" s="68"/>
      <c r="RU2" s="68"/>
      <c r="RV2" s="68"/>
      <c r="RW2" s="68"/>
      <c r="RX2" s="68"/>
      <c r="RY2" s="68"/>
      <c r="RZ2" s="68"/>
      <c r="SA2" s="68"/>
      <c r="SB2" s="68"/>
      <c r="SC2" s="68"/>
      <c r="SD2" s="68"/>
      <c r="SE2" s="68"/>
      <c r="SF2" s="68"/>
      <c r="SG2" s="68"/>
      <c r="SH2" s="68"/>
      <c r="SI2" s="68"/>
      <c r="SJ2" s="68"/>
      <c r="SK2" s="68"/>
      <c r="SL2" s="68"/>
      <c r="SM2" s="68"/>
      <c r="SN2" s="68"/>
      <c r="SO2" s="68"/>
      <c r="SP2" s="68"/>
      <c r="SQ2" s="68"/>
      <c r="SR2" s="68"/>
      <c r="SS2" s="68"/>
      <c r="ST2" s="68"/>
      <c r="SU2" s="68"/>
      <c r="SV2" s="68"/>
      <c r="SW2" s="68"/>
      <c r="SX2" s="68"/>
      <c r="SY2" s="68"/>
      <c r="SZ2" s="68"/>
      <c r="TA2" s="68"/>
      <c r="TB2" s="68"/>
      <c r="TC2" s="68"/>
      <c r="TD2" s="68"/>
      <c r="TE2" s="68"/>
      <c r="TF2" s="68"/>
      <c r="TG2" s="68"/>
      <c r="TH2" s="68"/>
      <c r="TI2" s="68"/>
      <c r="TJ2" s="68"/>
      <c r="TK2" s="68"/>
      <c r="TL2" s="68"/>
      <c r="TM2" s="68"/>
      <c r="TN2" s="68"/>
      <c r="TO2" s="68"/>
      <c r="TP2" s="68"/>
      <c r="TQ2" s="68"/>
      <c r="TR2" s="68"/>
      <c r="TS2" s="68"/>
      <c r="TT2" s="68"/>
      <c r="TU2" s="68"/>
      <c r="TV2" s="68"/>
      <c r="TW2" s="68"/>
      <c r="TX2" s="68"/>
      <c r="TY2" s="68"/>
      <c r="TZ2" s="68"/>
      <c r="UA2" s="68"/>
      <c r="UB2" s="68"/>
      <c r="UC2" s="68"/>
      <c r="UD2" s="68"/>
      <c r="UE2" s="68"/>
      <c r="UF2" s="68"/>
      <c r="UG2" s="68"/>
      <c r="UH2" s="68"/>
      <c r="UI2" s="68"/>
      <c r="UJ2" s="68"/>
      <c r="UK2" s="68"/>
      <c r="UL2" s="68"/>
      <c r="UM2" s="68"/>
      <c r="UN2" s="68"/>
      <c r="UO2" s="68"/>
      <c r="UP2" s="68"/>
      <c r="UQ2" s="68"/>
      <c r="UR2" s="68"/>
      <c r="US2" s="68"/>
      <c r="UT2" s="68"/>
      <c r="UU2" s="68"/>
      <c r="UV2" s="68"/>
      <c r="UW2" s="68"/>
      <c r="UX2" s="68"/>
      <c r="UY2" s="68"/>
      <c r="UZ2" s="68"/>
      <c r="VA2" s="68"/>
      <c r="VB2" s="68"/>
      <c r="VC2" s="68"/>
      <c r="VD2" s="68"/>
      <c r="VE2" s="68"/>
      <c r="VF2" s="68"/>
      <c r="VG2" s="68"/>
      <c r="VH2" s="68"/>
      <c r="VI2" s="68"/>
      <c r="VJ2" s="68"/>
      <c r="VK2" s="68"/>
      <c r="VL2" s="68"/>
      <c r="VM2" s="68"/>
      <c r="VN2" s="68"/>
      <c r="VO2" s="68"/>
      <c r="VP2" s="68"/>
      <c r="VQ2" s="68"/>
      <c r="VR2" s="68"/>
      <c r="VS2" s="68"/>
    </row>
    <row r="3" spans="1:591" ht="19.95" customHeight="1" x14ac:dyDescent="0.3">
      <c r="A3" s="82"/>
      <c r="B3" s="59"/>
      <c r="C3" s="58"/>
      <c r="D3" s="56"/>
      <c r="E3" s="56"/>
      <c r="F3" s="57"/>
      <c r="G3" s="57"/>
      <c r="H3" s="56"/>
      <c r="I3" s="56"/>
      <c r="J3" s="55"/>
      <c r="K3" s="17"/>
      <c r="L3" s="17"/>
      <c r="M3" s="17"/>
    </row>
    <row r="4" spans="1:591" ht="30" customHeight="1" x14ac:dyDescent="0.3">
      <c r="A4" s="82"/>
      <c r="B4" s="54"/>
      <c r="C4" s="53"/>
      <c r="D4" s="42"/>
      <c r="E4" s="22"/>
      <c r="F4" s="49"/>
      <c r="G4" s="49"/>
      <c r="H4" s="52" t="s">
        <v>91</v>
      </c>
      <c r="I4" s="22"/>
      <c r="J4" s="137" t="s">
        <v>90</v>
      </c>
      <c r="K4" s="137"/>
      <c r="L4" s="137"/>
      <c r="M4" s="137"/>
      <c r="N4" s="72"/>
      <c r="O4" s="138" t="s">
        <v>89</v>
      </c>
      <c r="P4" s="138"/>
      <c r="Q4" s="138"/>
      <c r="R4" s="138"/>
      <c r="S4" s="72"/>
      <c r="T4" s="139" t="s">
        <v>88</v>
      </c>
      <c r="U4" s="139"/>
      <c r="V4" s="139"/>
      <c r="W4" s="139"/>
      <c r="X4" s="72"/>
      <c r="Y4" s="132" t="s">
        <v>87</v>
      </c>
      <c r="Z4" s="132"/>
      <c r="AA4" s="132"/>
      <c r="AB4" s="132"/>
      <c r="AC4" s="72"/>
      <c r="AD4" s="133" t="s">
        <v>86</v>
      </c>
      <c r="AE4" s="133"/>
      <c r="AF4" s="133"/>
      <c r="AG4" s="133"/>
      <c r="AH4" s="71"/>
    </row>
    <row r="5" spans="1:591" ht="30" customHeight="1" x14ac:dyDescent="0.3">
      <c r="A5" s="82"/>
      <c r="B5" s="67" t="s">
        <v>98</v>
      </c>
      <c r="C5" s="42"/>
      <c r="D5" s="42"/>
      <c r="E5" s="22"/>
      <c r="F5" s="49"/>
      <c r="G5" s="49"/>
      <c r="H5" s="22"/>
      <c r="I5" s="22"/>
    </row>
    <row r="6" spans="1:591" ht="30" customHeight="1" x14ac:dyDescent="0.4">
      <c r="A6" s="82"/>
      <c r="B6" s="44" t="s">
        <v>85</v>
      </c>
      <c r="C6" s="51">
        <v>45901</v>
      </c>
      <c r="D6" s="50"/>
      <c r="E6" s="22"/>
      <c r="F6" s="49"/>
      <c r="G6" s="49"/>
      <c r="H6" s="22"/>
      <c r="I6" s="22"/>
      <c r="J6" s="48" t="str">
        <f ca="1">TEXT(J7,"mmmm")</f>
        <v>November</v>
      </c>
      <c r="K6" s="48"/>
      <c r="L6" s="48"/>
      <c r="M6" s="48"/>
      <c r="N6" s="48"/>
      <c r="O6" s="48"/>
      <c r="P6" s="48"/>
      <c r="Q6" s="48" t="str">
        <f ca="1">IF(TEXT(Q7,"mmmm")=J6,"",TEXT(Q7,"mmmm"))</f>
        <v/>
      </c>
      <c r="R6" s="48"/>
      <c r="S6" s="48"/>
      <c r="T6" s="48"/>
      <c r="U6" s="140" t="str">
        <f ca="1">IF(OR(TEXT(X7,"mmmm")=Q6,TEXT(X7,"mmmm")=J6),"",TEXT(X7,"mmmm"))</f>
        <v>December</v>
      </c>
      <c r="V6" s="140"/>
      <c r="W6" s="140"/>
      <c r="X6" s="140"/>
      <c r="Y6" s="140"/>
      <c r="Z6" s="140"/>
      <c r="AA6" s="140"/>
      <c r="AB6" s="140"/>
      <c r="AC6" s="140"/>
      <c r="AD6" s="140"/>
      <c r="AE6" s="140"/>
      <c r="AF6" s="140"/>
      <c r="AG6" s="140"/>
      <c r="AH6" s="140"/>
      <c r="AI6" s="140"/>
      <c r="AJ6" s="140"/>
      <c r="AK6" s="140"/>
      <c r="AL6" s="140"/>
      <c r="AM6" s="140"/>
      <c r="AN6" s="140"/>
      <c r="AO6" s="140"/>
      <c r="AP6" s="140"/>
      <c r="AQ6" s="140"/>
      <c r="AR6" s="140"/>
      <c r="AS6" s="140"/>
      <c r="AT6" s="140"/>
      <c r="AU6" s="140"/>
      <c r="AV6" s="140"/>
      <c r="AW6" s="140"/>
      <c r="AX6" s="140"/>
      <c r="AY6" s="140"/>
      <c r="AZ6" s="143" t="str">
        <f ca="1">IF(OR(TEXT(AZ7,"mmmm")=AS6,TEXT(AZ7,"mmmm")=AL6,TEXT(AZ7,"mmmm")=AE6,TEXT(AZ7,"mmmm")=U6),"",TEXT(AZ7,"mmmm"))</f>
        <v>January</v>
      </c>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c r="BY6" s="143"/>
      <c r="BZ6" s="143"/>
      <c r="CA6" s="143"/>
      <c r="CB6" s="143"/>
      <c r="CC6" s="143"/>
      <c r="CD6" s="47"/>
      <c r="CE6" s="141" t="str">
        <f t="shared" ref="CE6" ca="1" si="0">IF(OR(TEXT(CE7,"mmmm")=BX6,TEXT(CE7,"mmmm")=BQ6,TEXT(CE7,"mmmm")=BJ6,TEXT(CE7,"mmmm")=BC6),"",TEXT(CE7,"mmmm"))</f>
        <v>February</v>
      </c>
      <c r="CF6" s="141"/>
      <c r="CG6" s="141"/>
      <c r="CH6" s="141"/>
      <c r="CI6" s="141"/>
      <c r="CJ6" s="141"/>
      <c r="CK6" s="141"/>
      <c r="CL6" s="141"/>
      <c r="CM6" s="141"/>
      <c r="CN6" s="141"/>
      <c r="CO6" s="141"/>
      <c r="CP6" s="141"/>
      <c r="CQ6" s="141"/>
      <c r="CR6" s="141"/>
      <c r="CS6" s="141"/>
      <c r="CT6" s="141"/>
      <c r="CU6" s="141"/>
      <c r="CV6" s="141"/>
      <c r="CW6" s="141"/>
      <c r="CX6" s="141"/>
      <c r="CY6" s="141"/>
      <c r="CZ6" s="141"/>
      <c r="DA6" s="141"/>
      <c r="DB6" s="141"/>
      <c r="DC6" s="141"/>
      <c r="DD6" s="141"/>
      <c r="DE6" s="141"/>
      <c r="DF6" s="141"/>
      <c r="DG6" s="142" t="str">
        <f ca="1">IF(OR(TEXT(DJ7,"mmmm")=DC6,TEXT(DJ7,"mmmm")=CV6,TEXT(DJ7,"mmmm")=CO6,TEXT(DJ7,"mmmm")=CH6),"",TEXT(DJ7,"mmmm"))</f>
        <v>March</v>
      </c>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1" t="str">
        <f ca="1">IF(OR(TEXT(EO7,"mmmm")=EH6,TEXT(EO7,"mmmm")=EA6,TEXT(EO7,"mmmm")=DT6,TEXT(EO7,"mmmm")=DM6),"",TEXT(EO7,"mmmm"))</f>
        <v>April</v>
      </c>
      <c r="EM6" s="141"/>
      <c r="EN6" s="141"/>
      <c r="EO6" s="141"/>
      <c r="EP6" s="141"/>
      <c r="EQ6" s="141"/>
      <c r="ER6" s="141"/>
      <c r="ES6" s="141"/>
      <c r="ET6" s="141"/>
      <c r="EU6" s="141"/>
      <c r="EV6" s="141"/>
      <c r="EW6" s="141"/>
      <c r="EX6" s="141"/>
      <c r="EY6" s="141"/>
      <c r="EZ6" s="141"/>
      <c r="FA6" s="141"/>
      <c r="FB6" s="141"/>
      <c r="FC6" s="141"/>
      <c r="FD6" s="141"/>
      <c r="FE6" s="141"/>
      <c r="FF6" s="141"/>
      <c r="FG6" s="141"/>
      <c r="FH6" s="141"/>
      <c r="FI6" s="141"/>
      <c r="FJ6" s="141"/>
      <c r="FK6" s="141"/>
      <c r="FL6" s="141"/>
      <c r="FM6" s="141"/>
      <c r="FN6" s="141"/>
      <c r="FO6" s="141"/>
      <c r="FP6" s="142" t="str">
        <f ca="1">IF(OR(TEXT(FT7,"mmmm")=FM6,TEXT(FT7,"mmmm")=FF6,TEXT(FT7,"mmmm")=EY6,TEXT(FT7,"mmmm")=ER6),"",TEXT(FT7,"mmmm"))</f>
        <v>May</v>
      </c>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1" t="str">
        <f ca="1">IF(OR(TEXT(GY7,"mmmm")=GR6,TEXT(GY7,"mmmm")=GK6,TEXT(GY7,"mmmm")=GD6,TEXT(GY7,"mmmm")=FW6),"",TEXT(GY7,"mmmm"))</f>
        <v>June</v>
      </c>
      <c r="GV6" s="141"/>
      <c r="GW6" s="141"/>
      <c r="GX6" s="141"/>
      <c r="GY6" s="141"/>
      <c r="GZ6" s="141"/>
      <c r="HA6" s="141"/>
      <c r="HB6" s="141"/>
      <c r="HC6" s="141"/>
      <c r="HD6" s="141"/>
      <c r="HE6" s="141"/>
      <c r="HF6" s="141"/>
      <c r="HG6" s="141"/>
      <c r="HH6" s="141"/>
      <c r="HI6" s="141"/>
      <c r="HJ6" s="141"/>
      <c r="HK6" s="141"/>
      <c r="HL6" s="141"/>
      <c r="HM6" s="141"/>
      <c r="HN6" s="141"/>
      <c r="HO6" s="141"/>
      <c r="HP6" s="141"/>
      <c r="HQ6" s="141"/>
      <c r="HR6" s="141"/>
      <c r="HS6" s="141"/>
      <c r="HT6" s="141"/>
      <c r="HU6" s="141"/>
      <c r="HV6" s="141"/>
      <c r="HW6" s="141"/>
      <c r="HX6" s="141"/>
      <c r="HY6" s="142" t="str">
        <f ca="1">IF(OR(TEXT(ID7,"mmmm")=HW6,TEXT(ID7,"mmmm")=HP6,TEXT(ID7,"mmmm")=HI6,TEXT(ID7,"mmmm")=HB6),"",TEXT(ID7,"mmmm"))</f>
        <v>July</v>
      </c>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1" t="str">
        <f ca="1">IF(OR(TEXT(JI7,"mmmm")=JB6,TEXT(JI7,"mmmm")=IU6,TEXT(JI7,"mmmm")=IN6,TEXT(JI7,"mmmm")=IG6),"",TEXT(JI7,"mmmm"))</f>
        <v>August</v>
      </c>
      <c r="JE6" s="141"/>
      <c r="JF6" s="141"/>
      <c r="JG6" s="141"/>
      <c r="JH6" s="141"/>
      <c r="JI6" s="141"/>
      <c r="JJ6" s="141"/>
      <c r="JK6" s="141"/>
      <c r="JL6" s="141"/>
      <c r="JM6" s="141"/>
      <c r="JN6" s="141"/>
      <c r="JO6" s="141"/>
      <c r="JP6" s="141"/>
      <c r="JQ6" s="141"/>
      <c r="JR6" s="141"/>
      <c r="JS6" s="141"/>
      <c r="JT6" s="141"/>
      <c r="JU6" s="141"/>
      <c r="JV6" s="141"/>
      <c r="JW6" s="141"/>
      <c r="JX6" s="141"/>
      <c r="JY6" s="141"/>
      <c r="JZ6" s="141"/>
      <c r="KA6" s="141"/>
      <c r="KB6" s="141"/>
      <c r="KC6" s="141"/>
      <c r="KD6" s="141"/>
      <c r="KE6" s="141"/>
      <c r="KF6" s="141"/>
      <c r="KG6" s="141"/>
      <c r="KH6" s="141"/>
      <c r="KI6" s="142" t="str">
        <f ca="1">IF(OR(TEXT(KN7,"mmmm")=KG6,TEXT(KN7,"mmmm")=JZ6,TEXT(KN7,"mmmm")=JS6,TEXT(KN7,"mmmm")=JL6),"",TEXT(KN7,"mmmm"))</f>
        <v>September</v>
      </c>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1" t="str">
        <f ca="1">IF(OR(TEXT(LS7,"mmmm")=LL6,TEXT(LS7,"mmmm")=LE6,TEXT(LS7,"mmmm")=KX6,TEXT(LS7,"mmmm")=KQ6),"",TEXT(LS7,"mmmm"))</f>
        <v>October</v>
      </c>
      <c r="LN6" s="141"/>
      <c r="LO6" s="141"/>
      <c r="LP6" s="141"/>
      <c r="LQ6" s="141"/>
      <c r="LR6" s="141"/>
      <c r="LS6" s="141"/>
      <c r="LT6" s="141"/>
      <c r="LU6" s="141"/>
      <c r="LV6" s="141"/>
      <c r="LW6" s="141"/>
      <c r="LX6" s="141"/>
      <c r="LY6" s="141"/>
      <c r="LZ6" s="141"/>
      <c r="MA6" s="141"/>
      <c r="MB6" s="141"/>
      <c r="MC6" s="141"/>
      <c r="MD6" s="141"/>
      <c r="ME6" s="141"/>
      <c r="MF6" s="141"/>
      <c r="MG6" s="141"/>
      <c r="MH6" s="141"/>
      <c r="MI6" s="141"/>
      <c r="MJ6" s="141"/>
      <c r="MK6" s="141"/>
      <c r="ML6" s="141"/>
      <c r="MM6" s="141"/>
      <c r="MN6" s="141"/>
      <c r="MO6" s="141"/>
      <c r="MP6" s="141"/>
      <c r="MQ6" s="141"/>
      <c r="MR6" s="142" t="str">
        <f ca="1">IF(OR(TEXT(MX7,"mmmm")=MQ6,TEXT(MX7,"mmmm")=MJ6,TEXT(MX7,"mmmm")=MC6,TEXT(MX7,"mmmm")=LV6),"",TEXT(MX7,"mmmm"))</f>
        <v>November</v>
      </c>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5" t="str">
        <f t="shared" ref="NV6" ca="1" si="1">IF(OR(TEXT(NV7,"mmmm")=NO6,TEXT(NV7,"mmmm")=NH6,TEXT(NV7,"mmmm")=NA6,TEXT(NV7,"mmmm")=MT6),"",TEXT(NV7,"mmmm"))</f>
        <v>December</v>
      </c>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4" t="str">
        <f t="shared" ref="PA6" ca="1" si="2">IF(OR(TEXT(PA7,"mmmm")=OT6,TEXT(PA7,"mmmm")=OM6,TEXT(PA7,"mmmm")=OF6,TEXT(PA7,"mmmm")=NY6),"",TEXT(PA7,"mmmm"))</f>
        <v>January</v>
      </c>
      <c r="PB6" s="144"/>
      <c r="PC6" s="144"/>
      <c r="PD6" s="144"/>
      <c r="PE6" s="144"/>
      <c r="PF6" s="144"/>
      <c r="PG6" s="144"/>
      <c r="PH6" s="144"/>
      <c r="PI6" s="144"/>
      <c r="PJ6" s="144"/>
      <c r="PK6" s="144"/>
      <c r="PL6" s="144"/>
      <c r="PM6" s="144"/>
      <c r="PN6" s="144"/>
      <c r="PO6" s="144"/>
      <c r="PP6" s="144"/>
      <c r="PQ6" s="144"/>
      <c r="PR6" s="144"/>
      <c r="PS6" s="144"/>
      <c r="PT6" s="144"/>
      <c r="PU6" s="144"/>
      <c r="PV6" s="144"/>
      <c r="PW6" s="144"/>
      <c r="PX6" s="144"/>
      <c r="PY6" s="144"/>
      <c r="PZ6" s="144"/>
      <c r="QA6" s="144"/>
      <c r="QB6" s="144"/>
      <c r="QC6" s="144"/>
      <c r="QD6" s="144"/>
      <c r="QE6" s="144"/>
      <c r="QF6" s="141" t="str">
        <f ca="1">IF(OR(TEXT(QL7,"mmmm")=QE6,TEXT(QL7,"mmmm")=PX6,TEXT(QL7,"mmmm")=PQ6,TEXT(QL7,"mmmm")=PJ6),"",TEXT(QL7,"mmmm"))</f>
        <v>February</v>
      </c>
      <c r="QG6" s="141"/>
      <c r="QH6" s="141"/>
      <c r="QI6" s="141"/>
      <c r="QJ6" s="141"/>
      <c r="QK6" s="141"/>
      <c r="QL6" s="141"/>
      <c r="QM6" s="141"/>
      <c r="QN6" s="141"/>
      <c r="QO6" s="141"/>
      <c r="QP6" s="141"/>
      <c r="QQ6" s="141"/>
      <c r="QR6" s="141"/>
      <c r="QS6" s="141"/>
      <c r="QT6" s="141"/>
      <c r="QU6" s="141"/>
      <c r="QV6" s="141"/>
      <c r="QW6" s="141"/>
      <c r="QX6" s="141"/>
      <c r="QY6" s="141"/>
      <c r="QZ6" s="141"/>
      <c r="RA6" s="141"/>
      <c r="RB6" s="141"/>
      <c r="RC6" s="141"/>
      <c r="RD6" s="141"/>
      <c r="RE6" s="141"/>
      <c r="RF6" s="141"/>
      <c r="RG6" s="141"/>
      <c r="RH6" s="144" t="str">
        <f ca="1">IF(OR(TEXT(RI7,"mmmm")=RB6,TEXT(RI7,"mmmm")=QU6,TEXT(RI7,"mmmm")=QN6,TEXT(RI7,"mmmm")=QG6),"",TEXT(RI7,"mmmm"))</f>
        <v>March</v>
      </c>
      <c r="RI6" s="144"/>
      <c r="RJ6" s="144"/>
      <c r="RK6" s="144"/>
      <c r="RL6" s="144"/>
      <c r="RM6" s="144"/>
      <c r="RN6" s="144"/>
      <c r="RO6" s="144"/>
      <c r="RP6" s="144"/>
      <c r="RQ6" s="144"/>
      <c r="RR6" s="144"/>
      <c r="RS6" s="144"/>
      <c r="RT6" s="144"/>
      <c r="RU6" s="144"/>
      <c r="RV6" s="144"/>
      <c r="RW6" s="144"/>
      <c r="RX6" s="144"/>
      <c r="RY6" s="144"/>
      <c r="RZ6" s="144"/>
      <c r="SA6" s="144"/>
      <c r="SB6" s="144"/>
      <c r="SC6" s="144"/>
      <c r="SD6" s="144"/>
      <c r="SE6" s="144"/>
      <c r="SF6" s="144"/>
      <c r="SG6" s="144"/>
      <c r="SH6" s="144"/>
      <c r="SI6" s="144"/>
      <c r="SJ6" s="144"/>
      <c r="SK6" s="144"/>
      <c r="SL6" s="144"/>
      <c r="SM6" s="145" t="str">
        <f t="shared" ref="SM6" ca="1" si="3">IF(OR(TEXT(SM7,"mmmm")=SF6,TEXT(SM7,"mmmm")=RY6,TEXT(SM7,"mmmm")=RR6,TEXT(SM7,"mmmm")=RK6),"",TEXT(SM7,"mmmm"))</f>
        <v>April</v>
      </c>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4" t="str">
        <f t="shared" ref="TQ6" ca="1" si="4">IF(OR(TEXT(TQ7,"mmmm")=TJ6,TEXT(TQ7,"mmmm")=TC6,TEXT(TQ7,"mmmm")=SV6,TEXT(TQ7,"mmmm")=SO6),"",TEXT(TQ7,"mmmm"))</f>
        <v>May</v>
      </c>
      <c r="TR6" s="144"/>
      <c r="TS6" s="144"/>
      <c r="TT6" s="144"/>
      <c r="TU6" s="144"/>
      <c r="TV6" s="144"/>
      <c r="TW6" s="144"/>
      <c r="TX6" s="144"/>
      <c r="TY6" s="144"/>
      <c r="TZ6" s="144"/>
      <c r="UA6" s="144"/>
      <c r="UB6" s="144"/>
      <c r="UC6" s="144"/>
      <c r="UD6" s="144"/>
      <c r="UE6" s="144"/>
      <c r="UF6" s="144"/>
      <c r="UG6" s="144"/>
      <c r="UH6" s="144"/>
      <c r="UI6" s="144"/>
      <c r="UJ6" s="144"/>
      <c r="UK6" s="144"/>
      <c r="UL6" s="144"/>
      <c r="UM6" s="144"/>
      <c r="UN6" s="144"/>
      <c r="UO6" s="144"/>
      <c r="UP6" s="144"/>
      <c r="UQ6" s="144"/>
      <c r="UR6" s="144"/>
      <c r="US6" s="144"/>
      <c r="UT6" s="144"/>
      <c r="UU6" s="144"/>
      <c r="UV6" s="48"/>
      <c r="UW6" s="48"/>
      <c r="UX6" s="48"/>
      <c r="UY6" s="48"/>
      <c r="UZ6" s="48"/>
      <c r="VA6" s="47"/>
      <c r="VB6" s="47" t="str">
        <f t="shared" ref="VB6" ca="1" si="5">IF(OR(TEXT(VB7,"mmmm")=UU6,TEXT(VB7,"mmmm")=UN6,TEXT(VB7,"mmmm")=UG6,TEXT(VB7,"mmmm")=TZ6),"",TEXT(VB7,"mmmm"))</f>
        <v>June</v>
      </c>
      <c r="VC6" s="47"/>
      <c r="VD6" s="47"/>
      <c r="VE6" s="46"/>
      <c r="VF6" s="45"/>
      <c r="VG6" s="45"/>
      <c r="VH6" s="45"/>
      <c r="VI6" s="45" t="str">
        <f t="shared" ref="VI6" ca="1" si="6">IF(OR(TEXT(VI7,"mmmm")=VB6,TEXT(VI7,"mmmm")=UU6,TEXT(VI7,"mmmm")=UN6,TEXT(VI7,"mmmm")=UG6),"",TEXT(VI7,"mmmm"))</f>
        <v/>
      </c>
      <c r="VJ6" s="45"/>
      <c r="VK6" s="45"/>
      <c r="VL6" s="45"/>
      <c r="VM6" s="45"/>
      <c r="VN6" s="48"/>
      <c r="VO6" s="48"/>
      <c r="VP6" s="48"/>
      <c r="VQ6" s="48"/>
      <c r="VR6" s="48" t="str">
        <f t="shared" ref="VR6" ca="1" si="7">IF(OR(TEXT(VR7,"mmmm")=VK6,TEXT(VR7,"mmmm")=VD6,TEXT(VR7,"mmmm")=UW6,TEXT(VR7,"mmmm")=UP6),"",TEXT(VR7,"mmmm"))</f>
        <v>June</v>
      </c>
      <c r="VS6" s="48"/>
    </row>
    <row r="7" spans="1:591" s="66" customFormat="1" ht="30" customHeight="1" x14ac:dyDescent="0.15">
      <c r="A7" s="83"/>
      <c r="B7" s="44" t="s">
        <v>84</v>
      </c>
      <c r="C7" s="43">
        <v>80</v>
      </c>
      <c r="D7" s="60"/>
      <c r="E7" s="61"/>
      <c r="F7" s="61"/>
      <c r="G7" s="61"/>
      <c r="H7" s="61"/>
      <c r="I7" s="62"/>
      <c r="J7" s="63">
        <f ca="1">IFERROR(Project_Start+Scrolling_Increment,TODAY())</f>
        <v>45981</v>
      </c>
      <c r="K7" s="64">
        <f t="shared" ref="K7:AP7" ca="1" si="8">J7+1</f>
        <v>45982</v>
      </c>
      <c r="L7" s="64">
        <f t="shared" ca="1" si="8"/>
        <v>45983</v>
      </c>
      <c r="M7" s="64">
        <f t="shared" ca="1" si="8"/>
        <v>45984</v>
      </c>
      <c r="N7" s="64">
        <f t="shared" ca="1" si="8"/>
        <v>45985</v>
      </c>
      <c r="O7" s="64">
        <f t="shared" ca="1" si="8"/>
        <v>45986</v>
      </c>
      <c r="P7" s="65">
        <f t="shared" ca="1" si="8"/>
        <v>45987</v>
      </c>
      <c r="Q7" s="64">
        <f t="shared" ca="1" si="8"/>
        <v>45988</v>
      </c>
      <c r="R7" s="64">
        <f t="shared" ca="1" si="8"/>
        <v>45989</v>
      </c>
      <c r="S7" s="64">
        <f t="shared" ca="1" si="8"/>
        <v>45990</v>
      </c>
      <c r="T7" s="64">
        <f t="shared" ca="1" si="8"/>
        <v>45991</v>
      </c>
      <c r="U7" s="64">
        <f t="shared" ca="1" si="8"/>
        <v>45992</v>
      </c>
      <c r="V7" s="64">
        <f t="shared" ca="1" si="8"/>
        <v>45993</v>
      </c>
      <c r="W7" s="65">
        <f t="shared" ca="1" si="8"/>
        <v>45994</v>
      </c>
      <c r="X7" s="64">
        <f t="shared" ca="1" si="8"/>
        <v>45995</v>
      </c>
      <c r="Y7" s="64">
        <f t="shared" ca="1" si="8"/>
        <v>45996</v>
      </c>
      <c r="Z7" s="64">
        <f t="shared" ca="1" si="8"/>
        <v>45997</v>
      </c>
      <c r="AA7" s="64">
        <f t="shared" ca="1" si="8"/>
        <v>45998</v>
      </c>
      <c r="AB7" s="64">
        <f t="shared" ca="1" si="8"/>
        <v>45999</v>
      </c>
      <c r="AC7" s="64">
        <f t="shared" ca="1" si="8"/>
        <v>46000</v>
      </c>
      <c r="AD7" s="65">
        <f t="shared" ca="1" si="8"/>
        <v>46001</v>
      </c>
      <c r="AE7" s="64">
        <f t="shared" ca="1" si="8"/>
        <v>46002</v>
      </c>
      <c r="AF7" s="64">
        <f t="shared" ca="1" si="8"/>
        <v>46003</v>
      </c>
      <c r="AG7" s="64">
        <f t="shared" ca="1" si="8"/>
        <v>46004</v>
      </c>
      <c r="AH7" s="64">
        <f t="shared" ca="1" si="8"/>
        <v>46005</v>
      </c>
      <c r="AI7" s="64">
        <f t="shared" ca="1" si="8"/>
        <v>46006</v>
      </c>
      <c r="AJ7" s="64">
        <f t="shared" ca="1" si="8"/>
        <v>46007</v>
      </c>
      <c r="AK7" s="65">
        <f t="shared" ca="1" si="8"/>
        <v>46008</v>
      </c>
      <c r="AL7" s="64">
        <f t="shared" ca="1" si="8"/>
        <v>46009</v>
      </c>
      <c r="AM7" s="64">
        <f t="shared" ca="1" si="8"/>
        <v>46010</v>
      </c>
      <c r="AN7" s="64">
        <f t="shared" ca="1" si="8"/>
        <v>46011</v>
      </c>
      <c r="AO7" s="64">
        <f t="shared" ca="1" si="8"/>
        <v>46012</v>
      </c>
      <c r="AP7" s="64">
        <f t="shared" ca="1" si="8"/>
        <v>46013</v>
      </c>
      <c r="AQ7" s="64">
        <f t="shared" ref="AQ7:BL7" ca="1" si="9">AP7+1</f>
        <v>46014</v>
      </c>
      <c r="AR7" s="65">
        <f t="shared" ca="1" si="9"/>
        <v>46015</v>
      </c>
      <c r="AS7" s="64">
        <f t="shared" ca="1" si="9"/>
        <v>46016</v>
      </c>
      <c r="AT7" s="64">
        <f t="shared" ca="1" si="9"/>
        <v>46017</v>
      </c>
      <c r="AU7" s="64">
        <f t="shared" ca="1" si="9"/>
        <v>46018</v>
      </c>
      <c r="AV7" s="64">
        <f t="shared" ca="1" si="9"/>
        <v>46019</v>
      </c>
      <c r="AW7" s="64">
        <f t="shared" ca="1" si="9"/>
        <v>46020</v>
      </c>
      <c r="AX7" s="64">
        <f t="shared" ca="1" si="9"/>
        <v>46021</v>
      </c>
      <c r="AY7" s="65">
        <f t="shared" ca="1" si="9"/>
        <v>46022</v>
      </c>
      <c r="AZ7" s="64">
        <f t="shared" ca="1" si="9"/>
        <v>46023</v>
      </c>
      <c r="BA7" s="64">
        <f t="shared" ca="1" si="9"/>
        <v>46024</v>
      </c>
      <c r="BB7" s="64">
        <f t="shared" ca="1" si="9"/>
        <v>46025</v>
      </c>
      <c r="BC7" s="64">
        <f t="shared" ca="1" si="9"/>
        <v>46026</v>
      </c>
      <c r="BD7" s="64">
        <f t="shared" ca="1" si="9"/>
        <v>46027</v>
      </c>
      <c r="BE7" s="64">
        <f t="shared" ca="1" si="9"/>
        <v>46028</v>
      </c>
      <c r="BF7" s="65">
        <f t="shared" ca="1" si="9"/>
        <v>46029</v>
      </c>
      <c r="BG7" s="64">
        <f t="shared" ca="1" si="9"/>
        <v>46030</v>
      </c>
      <c r="BH7" s="64">
        <f t="shared" ca="1" si="9"/>
        <v>46031</v>
      </c>
      <c r="BI7" s="64">
        <f t="shared" ca="1" si="9"/>
        <v>46032</v>
      </c>
      <c r="BJ7" s="64">
        <f t="shared" ca="1" si="9"/>
        <v>46033</v>
      </c>
      <c r="BK7" s="64">
        <f t="shared" ca="1" si="9"/>
        <v>46034</v>
      </c>
      <c r="BL7" s="64">
        <f t="shared" ca="1" si="9"/>
        <v>46035</v>
      </c>
      <c r="BM7" s="64">
        <f t="shared" ref="BM7:DX7" ca="1" si="10">BL7+1</f>
        <v>46036</v>
      </c>
      <c r="BN7" s="64">
        <f t="shared" ca="1" si="10"/>
        <v>46037</v>
      </c>
      <c r="BO7" s="64">
        <f t="shared" ca="1" si="10"/>
        <v>46038</v>
      </c>
      <c r="BP7" s="65">
        <f t="shared" ca="1" si="10"/>
        <v>46039</v>
      </c>
      <c r="BQ7" s="64">
        <f t="shared" ca="1" si="10"/>
        <v>46040</v>
      </c>
      <c r="BR7" s="64">
        <f t="shared" ca="1" si="10"/>
        <v>46041</v>
      </c>
      <c r="BS7" s="64">
        <f t="shared" ca="1" si="10"/>
        <v>46042</v>
      </c>
      <c r="BT7" s="64">
        <f t="shared" ca="1" si="10"/>
        <v>46043</v>
      </c>
      <c r="BU7" s="64">
        <f t="shared" ca="1" si="10"/>
        <v>46044</v>
      </c>
      <c r="BV7" s="64">
        <f t="shared" ca="1" si="10"/>
        <v>46045</v>
      </c>
      <c r="BW7" s="65">
        <f t="shared" ca="1" si="10"/>
        <v>46046</v>
      </c>
      <c r="BX7" s="64">
        <f t="shared" ca="1" si="10"/>
        <v>46047</v>
      </c>
      <c r="BY7" s="64">
        <f t="shared" ca="1" si="10"/>
        <v>46048</v>
      </c>
      <c r="BZ7" s="64">
        <f t="shared" ca="1" si="10"/>
        <v>46049</v>
      </c>
      <c r="CA7" s="64">
        <f t="shared" ca="1" si="10"/>
        <v>46050</v>
      </c>
      <c r="CB7" s="64">
        <f t="shared" ca="1" si="10"/>
        <v>46051</v>
      </c>
      <c r="CC7" s="64">
        <f t="shared" ca="1" si="10"/>
        <v>46052</v>
      </c>
      <c r="CD7" s="65">
        <f t="shared" ca="1" si="10"/>
        <v>46053</v>
      </c>
      <c r="CE7" s="64">
        <f t="shared" ca="1" si="10"/>
        <v>46054</v>
      </c>
      <c r="CF7" s="64">
        <f t="shared" ca="1" si="10"/>
        <v>46055</v>
      </c>
      <c r="CG7" s="64">
        <f t="shared" ca="1" si="10"/>
        <v>46056</v>
      </c>
      <c r="CH7" s="64">
        <f t="shared" ca="1" si="10"/>
        <v>46057</v>
      </c>
      <c r="CI7" s="64">
        <f t="shared" ca="1" si="10"/>
        <v>46058</v>
      </c>
      <c r="CJ7" s="64">
        <f t="shared" ca="1" si="10"/>
        <v>46059</v>
      </c>
      <c r="CK7" s="65">
        <f t="shared" ca="1" si="10"/>
        <v>46060</v>
      </c>
      <c r="CL7" s="64">
        <f t="shared" ca="1" si="10"/>
        <v>46061</v>
      </c>
      <c r="CM7" s="64">
        <f t="shared" ca="1" si="10"/>
        <v>46062</v>
      </c>
      <c r="CN7" s="64">
        <f t="shared" ca="1" si="10"/>
        <v>46063</v>
      </c>
      <c r="CO7" s="64">
        <f t="shared" ca="1" si="10"/>
        <v>46064</v>
      </c>
      <c r="CP7" s="64">
        <f t="shared" ca="1" si="10"/>
        <v>46065</v>
      </c>
      <c r="CQ7" s="64">
        <f t="shared" ca="1" si="10"/>
        <v>46066</v>
      </c>
      <c r="CR7" s="64">
        <f t="shared" ca="1" si="10"/>
        <v>46067</v>
      </c>
      <c r="CS7" s="64">
        <f t="shared" ca="1" si="10"/>
        <v>46068</v>
      </c>
      <c r="CT7" s="64">
        <f t="shared" ca="1" si="10"/>
        <v>46069</v>
      </c>
      <c r="CU7" s="65">
        <f t="shared" ca="1" si="10"/>
        <v>46070</v>
      </c>
      <c r="CV7" s="64">
        <f t="shared" ca="1" si="10"/>
        <v>46071</v>
      </c>
      <c r="CW7" s="64">
        <f t="shared" ca="1" si="10"/>
        <v>46072</v>
      </c>
      <c r="CX7" s="64">
        <f t="shared" ca="1" si="10"/>
        <v>46073</v>
      </c>
      <c r="CY7" s="64">
        <f t="shared" ca="1" si="10"/>
        <v>46074</v>
      </c>
      <c r="CZ7" s="64">
        <f t="shared" ca="1" si="10"/>
        <v>46075</v>
      </c>
      <c r="DA7" s="64">
        <f t="shared" ca="1" si="10"/>
        <v>46076</v>
      </c>
      <c r="DB7" s="65">
        <f t="shared" ca="1" si="10"/>
        <v>46077</v>
      </c>
      <c r="DC7" s="64">
        <f t="shared" ca="1" si="10"/>
        <v>46078</v>
      </c>
      <c r="DD7" s="64">
        <f t="shared" ca="1" si="10"/>
        <v>46079</v>
      </c>
      <c r="DE7" s="64">
        <f t="shared" ca="1" si="10"/>
        <v>46080</v>
      </c>
      <c r="DF7" s="64">
        <f t="shared" ca="1" si="10"/>
        <v>46081</v>
      </c>
      <c r="DG7" s="64">
        <f t="shared" ca="1" si="10"/>
        <v>46082</v>
      </c>
      <c r="DH7" s="64">
        <f t="shared" ca="1" si="10"/>
        <v>46083</v>
      </c>
      <c r="DI7" s="65">
        <f t="shared" ca="1" si="10"/>
        <v>46084</v>
      </c>
      <c r="DJ7" s="64">
        <f t="shared" ca="1" si="10"/>
        <v>46085</v>
      </c>
      <c r="DK7" s="64">
        <f t="shared" ca="1" si="10"/>
        <v>46086</v>
      </c>
      <c r="DL7" s="64">
        <f t="shared" ca="1" si="10"/>
        <v>46087</v>
      </c>
      <c r="DM7" s="64">
        <f t="shared" ca="1" si="10"/>
        <v>46088</v>
      </c>
      <c r="DN7" s="64">
        <f t="shared" ca="1" si="10"/>
        <v>46089</v>
      </c>
      <c r="DO7" s="64">
        <f t="shared" ca="1" si="10"/>
        <v>46090</v>
      </c>
      <c r="DP7" s="65">
        <f t="shared" ca="1" si="10"/>
        <v>46091</v>
      </c>
      <c r="DQ7" s="64">
        <f t="shared" ca="1" si="10"/>
        <v>46092</v>
      </c>
      <c r="DR7" s="64">
        <f t="shared" ca="1" si="10"/>
        <v>46093</v>
      </c>
      <c r="DS7" s="64">
        <f t="shared" ca="1" si="10"/>
        <v>46094</v>
      </c>
      <c r="DT7" s="64">
        <f t="shared" ca="1" si="10"/>
        <v>46095</v>
      </c>
      <c r="DU7" s="64">
        <f t="shared" ca="1" si="10"/>
        <v>46096</v>
      </c>
      <c r="DV7" s="64">
        <f t="shared" ca="1" si="10"/>
        <v>46097</v>
      </c>
      <c r="DW7" s="64">
        <f t="shared" ca="1" si="10"/>
        <v>46098</v>
      </c>
      <c r="DX7" s="64">
        <f t="shared" ca="1" si="10"/>
        <v>46099</v>
      </c>
      <c r="DY7" s="64">
        <f t="shared" ref="DY7:GJ7" ca="1" si="11">DX7+1</f>
        <v>46100</v>
      </c>
      <c r="DZ7" s="65">
        <f t="shared" ca="1" si="11"/>
        <v>46101</v>
      </c>
      <c r="EA7" s="64">
        <f t="shared" ca="1" si="11"/>
        <v>46102</v>
      </c>
      <c r="EB7" s="64">
        <f t="shared" ca="1" si="11"/>
        <v>46103</v>
      </c>
      <c r="EC7" s="64">
        <f t="shared" ca="1" si="11"/>
        <v>46104</v>
      </c>
      <c r="ED7" s="64">
        <f t="shared" ca="1" si="11"/>
        <v>46105</v>
      </c>
      <c r="EE7" s="64">
        <f t="shared" ca="1" si="11"/>
        <v>46106</v>
      </c>
      <c r="EF7" s="64">
        <f t="shared" ca="1" si="11"/>
        <v>46107</v>
      </c>
      <c r="EG7" s="65">
        <f t="shared" ca="1" si="11"/>
        <v>46108</v>
      </c>
      <c r="EH7" s="64">
        <f t="shared" ca="1" si="11"/>
        <v>46109</v>
      </c>
      <c r="EI7" s="64">
        <f t="shared" ca="1" si="11"/>
        <v>46110</v>
      </c>
      <c r="EJ7" s="64">
        <f t="shared" ca="1" si="11"/>
        <v>46111</v>
      </c>
      <c r="EK7" s="64">
        <f t="shared" ca="1" si="11"/>
        <v>46112</v>
      </c>
      <c r="EL7" s="64">
        <f t="shared" ca="1" si="11"/>
        <v>46113</v>
      </c>
      <c r="EM7" s="64">
        <f t="shared" ca="1" si="11"/>
        <v>46114</v>
      </c>
      <c r="EN7" s="65">
        <f t="shared" ca="1" si="11"/>
        <v>46115</v>
      </c>
      <c r="EO7" s="64">
        <f t="shared" ca="1" si="11"/>
        <v>46116</v>
      </c>
      <c r="EP7" s="64">
        <f t="shared" ca="1" si="11"/>
        <v>46117</v>
      </c>
      <c r="EQ7" s="64">
        <f t="shared" ca="1" si="11"/>
        <v>46118</v>
      </c>
      <c r="ER7" s="64">
        <f t="shared" ca="1" si="11"/>
        <v>46119</v>
      </c>
      <c r="ES7" s="64">
        <f t="shared" ca="1" si="11"/>
        <v>46120</v>
      </c>
      <c r="ET7" s="64">
        <f t="shared" ca="1" si="11"/>
        <v>46121</v>
      </c>
      <c r="EU7" s="65">
        <f t="shared" ca="1" si="11"/>
        <v>46122</v>
      </c>
      <c r="EV7" s="64">
        <f t="shared" ca="1" si="11"/>
        <v>46123</v>
      </c>
      <c r="EW7" s="64">
        <f t="shared" ca="1" si="11"/>
        <v>46124</v>
      </c>
      <c r="EX7" s="64">
        <f t="shared" ca="1" si="11"/>
        <v>46125</v>
      </c>
      <c r="EY7" s="64">
        <f t="shared" ca="1" si="11"/>
        <v>46126</v>
      </c>
      <c r="EZ7" s="64">
        <f t="shared" ca="1" si="11"/>
        <v>46127</v>
      </c>
      <c r="FA7" s="64">
        <f t="shared" ca="1" si="11"/>
        <v>46128</v>
      </c>
      <c r="FB7" s="64">
        <f t="shared" ca="1" si="11"/>
        <v>46129</v>
      </c>
      <c r="FC7" s="64">
        <f t="shared" ca="1" si="11"/>
        <v>46130</v>
      </c>
      <c r="FD7" s="64">
        <f t="shared" ca="1" si="11"/>
        <v>46131</v>
      </c>
      <c r="FE7" s="65">
        <f t="shared" ca="1" si="11"/>
        <v>46132</v>
      </c>
      <c r="FF7" s="64">
        <f t="shared" ca="1" si="11"/>
        <v>46133</v>
      </c>
      <c r="FG7" s="64">
        <f t="shared" ca="1" si="11"/>
        <v>46134</v>
      </c>
      <c r="FH7" s="64">
        <f t="shared" ca="1" si="11"/>
        <v>46135</v>
      </c>
      <c r="FI7" s="64">
        <f t="shared" ca="1" si="11"/>
        <v>46136</v>
      </c>
      <c r="FJ7" s="64">
        <f t="shared" ca="1" si="11"/>
        <v>46137</v>
      </c>
      <c r="FK7" s="64">
        <f t="shared" ca="1" si="11"/>
        <v>46138</v>
      </c>
      <c r="FL7" s="65">
        <f t="shared" ca="1" si="11"/>
        <v>46139</v>
      </c>
      <c r="FM7" s="64">
        <f t="shared" ca="1" si="11"/>
        <v>46140</v>
      </c>
      <c r="FN7" s="64">
        <f t="shared" ca="1" si="11"/>
        <v>46141</v>
      </c>
      <c r="FO7" s="64">
        <f t="shared" ca="1" si="11"/>
        <v>46142</v>
      </c>
      <c r="FP7" s="64">
        <f t="shared" ca="1" si="11"/>
        <v>46143</v>
      </c>
      <c r="FQ7" s="64">
        <f t="shared" ca="1" si="11"/>
        <v>46144</v>
      </c>
      <c r="FR7" s="64">
        <f t="shared" ca="1" si="11"/>
        <v>46145</v>
      </c>
      <c r="FS7" s="65">
        <f t="shared" ca="1" si="11"/>
        <v>46146</v>
      </c>
      <c r="FT7" s="64">
        <f t="shared" ca="1" si="11"/>
        <v>46147</v>
      </c>
      <c r="FU7" s="64">
        <f t="shared" ca="1" si="11"/>
        <v>46148</v>
      </c>
      <c r="FV7" s="64">
        <f t="shared" ca="1" si="11"/>
        <v>46149</v>
      </c>
      <c r="FW7" s="64">
        <f t="shared" ca="1" si="11"/>
        <v>46150</v>
      </c>
      <c r="FX7" s="64">
        <f t="shared" ca="1" si="11"/>
        <v>46151</v>
      </c>
      <c r="FY7" s="64">
        <f t="shared" ca="1" si="11"/>
        <v>46152</v>
      </c>
      <c r="FZ7" s="65">
        <f t="shared" ca="1" si="11"/>
        <v>46153</v>
      </c>
      <c r="GA7" s="64">
        <f t="shared" ca="1" si="11"/>
        <v>46154</v>
      </c>
      <c r="GB7" s="64">
        <f t="shared" ca="1" si="11"/>
        <v>46155</v>
      </c>
      <c r="GC7" s="64">
        <f t="shared" ca="1" si="11"/>
        <v>46156</v>
      </c>
      <c r="GD7" s="64">
        <f t="shared" ca="1" si="11"/>
        <v>46157</v>
      </c>
      <c r="GE7" s="64">
        <f t="shared" ca="1" si="11"/>
        <v>46158</v>
      </c>
      <c r="GF7" s="64">
        <f t="shared" ca="1" si="11"/>
        <v>46159</v>
      </c>
      <c r="GG7" s="64">
        <f t="shared" ca="1" si="11"/>
        <v>46160</v>
      </c>
      <c r="GH7" s="64">
        <f t="shared" ca="1" si="11"/>
        <v>46161</v>
      </c>
      <c r="GI7" s="64">
        <f t="shared" ca="1" si="11"/>
        <v>46162</v>
      </c>
      <c r="GJ7" s="65">
        <f t="shared" ca="1" si="11"/>
        <v>46163</v>
      </c>
      <c r="GK7" s="64">
        <f t="shared" ref="GK7:HO7" ca="1" si="12">GJ7+1</f>
        <v>46164</v>
      </c>
      <c r="GL7" s="64">
        <f t="shared" ca="1" si="12"/>
        <v>46165</v>
      </c>
      <c r="GM7" s="64">
        <f t="shared" ca="1" si="12"/>
        <v>46166</v>
      </c>
      <c r="GN7" s="64">
        <f t="shared" ca="1" si="12"/>
        <v>46167</v>
      </c>
      <c r="GO7" s="64">
        <f t="shared" ca="1" si="12"/>
        <v>46168</v>
      </c>
      <c r="GP7" s="64">
        <f t="shared" ca="1" si="12"/>
        <v>46169</v>
      </c>
      <c r="GQ7" s="65">
        <f t="shared" ca="1" si="12"/>
        <v>46170</v>
      </c>
      <c r="GR7" s="64">
        <f t="shared" ca="1" si="12"/>
        <v>46171</v>
      </c>
      <c r="GS7" s="64">
        <f t="shared" ca="1" si="12"/>
        <v>46172</v>
      </c>
      <c r="GT7" s="64">
        <f t="shared" ca="1" si="12"/>
        <v>46173</v>
      </c>
      <c r="GU7" s="64">
        <f t="shared" ca="1" si="12"/>
        <v>46174</v>
      </c>
      <c r="GV7" s="64">
        <f t="shared" ca="1" si="12"/>
        <v>46175</v>
      </c>
      <c r="GW7" s="64">
        <f t="shared" ca="1" si="12"/>
        <v>46176</v>
      </c>
      <c r="GX7" s="65">
        <f t="shared" ca="1" si="12"/>
        <v>46177</v>
      </c>
      <c r="GY7" s="64">
        <f t="shared" ca="1" si="12"/>
        <v>46178</v>
      </c>
      <c r="GZ7" s="64">
        <f t="shared" ca="1" si="12"/>
        <v>46179</v>
      </c>
      <c r="HA7" s="64">
        <f t="shared" ca="1" si="12"/>
        <v>46180</v>
      </c>
      <c r="HB7" s="64">
        <f t="shared" ca="1" si="12"/>
        <v>46181</v>
      </c>
      <c r="HC7" s="64">
        <f t="shared" ca="1" si="12"/>
        <v>46182</v>
      </c>
      <c r="HD7" s="64">
        <f t="shared" ca="1" si="12"/>
        <v>46183</v>
      </c>
      <c r="HE7" s="65">
        <f t="shared" ca="1" si="12"/>
        <v>46184</v>
      </c>
      <c r="HF7" s="64">
        <f t="shared" ca="1" si="12"/>
        <v>46185</v>
      </c>
      <c r="HG7" s="64">
        <f t="shared" ca="1" si="12"/>
        <v>46186</v>
      </c>
      <c r="HH7" s="64">
        <f t="shared" ca="1" si="12"/>
        <v>46187</v>
      </c>
      <c r="HI7" s="64">
        <f t="shared" ca="1" si="12"/>
        <v>46188</v>
      </c>
      <c r="HJ7" s="64">
        <f t="shared" ca="1" si="12"/>
        <v>46189</v>
      </c>
      <c r="HK7" s="64">
        <f t="shared" ca="1" si="12"/>
        <v>46190</v>
      </c>
      <c r="HL7" s="64">
        <f t="shared" ca="1" si="12"/>
        <v>46191</v>
      </c>
      <c r="HM7" s="64">
        <f t="shared" ca="1" si="12"/>
        <v>46192</v>
      </c>
      <c r="HN7" s="64">
        <f t="shared" ca="1" si="12"/>
        <v>46193</v>
      </c>
      <c r="HO7" s="65">
        <f t="shared" ca="1" si="12"/>
        <v>46194</v>
      </c>
      <c r="HP7" s="64">
        <f t="shared" ref="HP7:KA7" ca="1" si="13">HO7+1</f>
        <v>46195</v>
      </c>
      <c r="HQ7" s="64">
        <f t="shared" ca="1" si="13"/>
        <v>46196</v>
      </c>
      <c r="HR7" s="64">
        <f t="shared" ca="1" si="13"/>
        <v>46197</v>
      </c>
      <c r="HS7" s="64">
        <f t="shared" ca="1" si="13"/>
        <v>46198</v>
      </c>
      <c r="HT7" s="64">
        <f t="shared" ca="1" si="13"/>
        <v>46199</v>
      </c>
      <c r="HU7" s="64">
        <f t="shared" ca="1" si="13"/>
        <v>46200</v>
      </c>
      <c r="HV7" s="65">
        <f t="shared" ca="1" si="13"/>
        <v>46201</v>
      </c>
      <c r="HW7" s="64">
        <f t="shared" ca="1" si="13"/>
        <v>46202</v>
      </c>
      <c r="HX7" s="64">
        <f t="shared" ca="1" si="13"/>
        <v>46203</v>
      </c>
      <c r="HY7" s="64">
        <f t="shared" ca="1" si="13"/>
        <v>46204</v>
      </c>
      <c r="HZ7" s="64">
        <f t="shared" ca="1" si="13"/>
        <v>46205</v>
      </c>
      <c r="IA7" s="64">
        <f t="shared" ca="1" si="13"/>
        <v>46206</v>
      </c>
      <c r="IB7" s="64">
        <f t="shared" ca="1" si="13"/>
        <v>46207</v>
      </c>
      <c r="IC7" s="65">
        <f t="shared" ca="1" si="13"/>
        <v>46208</v>
      </c>
      <c r="ID7" s="64">
        <f t="shared" ca="1" si="13"/>
        <v>46209</v>
      </c>
      <c r="IE7" s="64">
        <f t="shared" ca="1" si="13"/>
        <v>46210</v>
      </c>
      <c r="IF7" s="64">
        <f t="shared" ca="1" si="13"/>
        <v>46211</v>
      </c>
      <c r="IG7" s="64">
        <f t="shared" ca="1" si="13"/>
        <v>46212</v>
      </c>
      <c r="IH7" s="64">
        <f t="shared" ca="1" si="13"/>
        <v>46213</v>
      </c>
      <c r="II7" s="64">
        <f t="shared" ca="1" si="13"/>
        <v>46214</v>
      </c>
      <c r="IJ7" s="65">
        <f t="shared" ca="1" si="13"/>
        <v>46215</v>
      </c>
      <c r="IK7" s="64">
        <f t="shared" ca="1" si="13"/>
        <v>46216</v>
      </c>
      <c r="IL7" s="64">
        <f t="shared" ca="1" si="13"/>
        <v>46217</v>
      </c>
      <c r="IM7" s="64">
        <f t="shared" ca="1" si="13"/>
        <v>46218</v>
      </c>
      <c r="IN7" s="64">
        <f t="shared" ca="1" si="13"/>
        <v>46219</v>
      </c>
      <c r="IO7" s="64">
        <f t="shared" ca="1" si="13"/>
        <v>46220</v>
      </c>
      <c r="IP7" s="64">
        <f t="shared" ca="1" si="13"/>
        <v>46221</v>
      </c>
      <c r="IQ7" s="64">
        <f t="shared" ca="1" si="13"/>
        <v>46222</v>
      </c>
      <c r="IR7" s="64">
        <f t="shared" ca="1" si="13"/>
        <v>46223</v>
      </c>
      <c r="IS7" s="64">
        <f t="shared" ca="1" si="13"/>
        <v>46224</v>
      </c>
      <c r="IT7" s="65">
        <f t="shared" ca="1" si="13"/>
        <v>46225</v>
      </c>
      <c r="IU7" s="64">
        <f t="shared" ca="1" si="13"/>
        <v>46226</v>
      </c>
      <c r="IV7" s="64">
        <f t="shared" ca="1" si="13"/>
        <v>46227</v>
      </c>
      <c r="IW7" s="64">
        <f t="shared" ca="1" si="13"/>
        <v>46228</v>
      </c>
      <c r="IX7" s="64">
        <f t="shared" ca="1" si="13"/>
        <v>46229</v>
      </c>
      <c r="IY7" s="64">
        <f t="shared" ca="1" si="13"/>
        <v>46230</v>
      </c>
      <c r="IZ7" s="64">
        <f t="shared" ca="1" si="13"/>
        <v>46231</v>
      </c>
      <c r="JA7" s="65">
        <f t="shared" ca="1" si="13"/>
        <v>46232</v>
      </c>
      <c r="JB7" s="64">
        <f t="shared" ca="1" si="13"/>
        <v>46233</v>
      </c>
      <c r="JC7" s="64">
        <f t="shared" ca="1" si="13"/>
        <v>46234</v>
      </c>
      <c r="JD7" s="64">
        <f t="shared" ca="1" si="13"/>
        <v>46235</v>
      </c>
      <c r="JE7" s="64">
        <f t="shared" ca="1" si="13"/>
        <v>46236</v>
      </c>
      <c r="JF7" s="64">
        <f t="shared" ca="1" si="13"/>
        <v>46237</v>
      </c>
      <c r="JG7" s="64">
        <f t="shared" ca="1" si="13"/>
        <v>46238</v>
      </c>
      <c r="JH7" s="65">
        <f t="shared" ca="1" si="13"/>
        <v>46239</v>
      </c>
      <c r="JI7" s="64">
        <f t="shared" ca="1" si="13"/>
        <v>46240</v>
      </c>
      <c r="JJ7" s="64">
        <f t="shared" ca="1" si="13"/>
        <v>46241</v>
      </c>
      <c r="JK7" s="64">
        <f t="shared" ca="1" si="13"/>
        <v>46242</v>
      </c>
      <c r="JL7" s="64">
        <f t="shared" ca="1" si="13"/>
        <v>46243</v>
      </c>
      <c r="JM7" s="64">
        <f t="shared" ca="1" si="13"/>
        <v>46244</v>
      </c>
      <c r="JN7" s="64">
        <f t="shared" ca="1" si="13"/>
        <v>46245</v>
      </c>
      <c r="JO7" s="65">
        <f t="shared" ca="1" si="13"/>
        <v>46246</v>
      </c>
      <c r="JP7" s="64">
        <f t="shared" ca="1" si="13"/>
        <v>46247</v>
      </c>
      <c r="JQ7" s="64">
        <f t="shared" ca="1" si="13"/>
        <v>46248</v>
      </c>
      <c r="JR7" s="64">
        <f t="shared" ca="1" si="13"/>
        <v>46249</v>
      </c>
      <c r="JS7" s="64">
        <f t="shared" ca="1" si="13"/>
        <v>46250</v>
      </c>
      <c r="JT7" s="64">
        <f t="shared" ca="1" si="13"/>
        <v>46251</v>
      </c>
      <c r="JU7" s="64">
        <f t="shared" ca="1" si="13"/>
        <v>46252</v>
      </c>
      <c r="JV7" s="64">
        <f t="shared" ca="1" si="13"/>
        <v>46253</v>
      </c>
      <c r="JW7" s="64">
        <f t="shared" ca="1" si="13"/>
        <v>46254</v>
      </c>
      <c r="JX7" s="64">
        <f t="shared" ca="1" si="13"/>
        <v>46255</v>
      </c>
      <c r="JY7" s="65">
        <f t="shared" ca="1" si="13"/>
        <v>46256</v>
      </c>
      <c r="JZ7" s="64">
        <f t="shared" ca="1" si="13"/>
        <v>46257</v>
      </c>
      <c r="KA7" s="64">
        <f t="shared" ca="1" si="13"/>
        <v>46258</v>
      </c>
      <c r="KB7" s="64">
        <f t="shared" ref="KB7:MM7" ca="1" si="14">KA7+1</f>
        <v>46259</v>
      </c>
      <c r="KC7" s="64">
        <f t="shared" ca="1" si="14"/>
        <v>46260</v>
      </c>
      <c r="KD7" s="64">
        <f t="shared" ca="1" si="14"/>
        <v>46261</v>
      </c>
      <c r="KE7" s="64">
        <f t="shared" ca="1" si="14"/>
        <v>46262</v>
      </c>
      <c r="KF7" s="65">
        <f t="shared" ca="1" si="14"/>
        <v>46263</v>
      </c>
      <c r="KG7" s="64">
        <f t="shared" ca="1" si="14"/>
        <v>46264</v>
      </c>
      <c r="KH7" s="64">
        <f t="shared" ca="1" si="14"/>
        <v>46265</v>
      </c>
      <c r="KI7" s="64">
        <f t="shared" ca="1" si="14"/>
        <v>46266</v>
      </c>
      <c r="KJ7" s="64">
        <f t="shared" ca="1" si="14"/>
        <v>46267</v>
      </c>
      <c r="KK7" s="64">
        <f t="shared" ca="1" si="14"/>
        <v>46268</v>
      </c>
      <c r="KL7" s="64">
        <f t="shared" ca="1" si="14"/>
        <v>46269</v>
      </c>
      <c r="KM7" s="65">
        <f t="shared" ca="1" si="14"/>
        <v>46270</v>
      </c>
      <c r="KN7" s="64">
        <f t="shared" ca="1" si="14"/>
        <v>46271</v>
      </c>
      <c r="KO7" s="64">
        <f t="shared" ca="1" si="14"/>
        <v>46272</v>
      </c>
      <c r="KP7" s="64">
        <f t="shared" ca="1" si="14"/>
        <v>46273</v>
      </c>
      <c r="KQ7" s="64">
        <f t="shared" ca="1" si="14"/>
        <v>46274</v>
      </c>
      <c r="KR7" s="64">
        <f t="shared" ca="1" si="14"/>
        <v>46275</v>
      </c>
      <c r="KS7" s="64">
        <f t="shared" ca="1" si="14"/>
        <v>46276</v>
      </c>
      <c r="KT7" s="65">
        <f t="shared" ca="1" si="14"/>
        <v>46277</v>
      </c>
      <c r="KU7" s="64">
        <f t="shared" ca="1" si="14"/>
        <v>46278</v>
      </c>
      <c r="KV7" s="64">
        <f t="shared" ca="1" si="14"/>
        <v>46279</v>
      </c>
      <c r="KW7" s="64">
        <f t="shared" ca="1" si="14"/>
        <v>46280</v>
      </c>
      <c r="KX7" s="64">
        <f t="shared" ca="1" si="14"/>
        <v>46281</v>
      </c>
      <c r="KY7" s="64">
        <f t="shared" ca="1" si="14"/>
        <v>46282</v>
      </c>
      <c r="KZ7" s="64">
        <f t="shared" ca="1" si="14"/>
        <v>46283</v>
      </c>
      <c r="LA7" s="64">
        <f t="shared" ca="1" si="14"/>
        <v>46284</v>
      </c>
      <c r="LB7" s="64">
        <f t="shared" ca="1" si="14"/>
        <v>46285</v>
      </c>
      <c r="LC7" s="64">
        <f t="shared" ca="1" si="14"/>
        <v>46286</v>
      </c>
      <c r="LD7" s="65">
        <f t="shared" ca="1" si="14"/>
        <v>46287</v>
      </c>
      <c r="LE7" s="64">
        <f t="shared" ca="1" si="14"/>
        <v>46288</v>
      </c>
      <c r="LF7" s="64">
        <f t="shared" ca="1" si="14"/>
        <v>46289</v>
      </c>
      <c r="LG7" s="64">
        <f t="shared" ca="1" si="14"/>
        <v>46290</v>
      </c>
      <c r="LH7" s="64">
        <f t="shared" ca="1" si="14"/>
        <v>46291</v>
      </c>
      <c r="LI7" s="64">
        <f t="shared" ca="1" si="14"/>
        <v>46292</v>
      </c>
      <c r="LJ7" s="64">
        <f t="shared" ca="1" si="14"/>
        <v>46293</v>
      </c>
      <c r="LK7" s="65">
        <f t="shared" ca="1" si="14"/>
        <v>46294</v>
      </c>
      <c r="LL7" s="64">
        <f t="shared" ca="1" si="14"/>
        <v>46295</v>
      </c>
      <c r="LM7" s="64">
        <f t="shared" ca="1" si="14"/>
        <v>46296</v>
      </c>
      <c r="LN7" s="64">
        <f t="shared" ca="1" si="14"/>
        <v>46297</v>
      </c>
      <c r="LO7" s="64">
        <f t="shared" ca="1" si="14"/>
        <v>46298</v>
      </c>
      <c r="LP7" s="64">
        <f t="shared" ca="1" si="14"/>
        <v>46299</v>
      </c>
      <c r="LQ7" s="64">
        <f t="shared" ca="1" si="14"/>
        <v>46300</v>
      </c>
      <c r="LR7" s="65">
        <f t="shared" ca="1" si="14"/>
        <v>46301</v>
      </c>
      <c r="LS7" s="64">
        <f t="shared" ca="1" si="14"/>
        <v>46302</v>
      </c>
      <c r="LT7" s="64">
        <f t="shared" ca="1" si="14"/>
        <v>46303</v>
      </c>
      <c r="LU7" s="64">
        <f t="shared" ca="1" si="14"/>
        <v>46304</v>
      </c>
      <c r="LV7" s="64">
        <f t="shared" ca="1" si="14"/>
        <v>46305</v>
      </c>
      <c r="LW7" s="64">
        <f t="shared" ca="1" si="14"/>
        <v>46306</v>
      </c>
      <c r="LX7" s="64">
        <f t="shared" ca="1" si="14"/>
        <v>46307</v>
      </c>
      <c r="LY7" s="65">
        <f t="shared" ca="1" si="14"/>
        <v>46308</v>
      </c>
      <c r="LZ7" s="64">
        <f t="shared" ca="1" si="14"/>
        <v>46309</v>
      </c>
      <c r="MA7" s="64">
        <f t="shared" ca="1" si="14"/>
        <v>46310</v>
      </c>
      <c r="MB7" s="64">
        <f t="shared" ca="1" si="14"/>
        <v>46311</v>
      </c>
      <c r="MC7" s="64">
        <f t="shared" ca="1" si="14"/>
        <v>46312</v>
      </c>
      <c r="MD7" s="64">
        <f t="shared" ca="1" si="14"/>
        <v>46313</v>
      </c>
      <c r="ME7" s="64">
        <f t="shared" ca="1" si="14"/>
        <v>46314</v>
      </c>
      <c r="MF7" s="64">
        <f t="shared" ca="1" si="14"/>
        <v>46315</v>
      </c>
      <c r="MG7" s="64">
        <f t="shared" ca="1" si="14"/>
        <v>46316</v>
      </c>
      <c r="MH7" s="64">
        <f t="shared" ca="1" si="14"/>
        <v>46317</v>
      </c>
      <c r="MI7" s="65">
        <f t="shared" ca="1" si="14"/>
        <v>46318</v>
      </c>
      <c r="MJ7" s="64">
        <f t="shared" ca="1" si="14"/>
        <v>46319</v>
      </c>
      <c r="MK7" s="64">
        <f t="shared" ca="1" si="14"/>
        <v>46320</v>
      </c>
      <c r="ML7" s="64">
        <f t="shared" ca="1" si="14"/>
        <v>46321</v>
      </c>
      <c r="MM7" s="64">
        <f t="shared" ca="1" si="14"/>
        <v>46322</v>
      </c>
      <c r="MN7" s="64">
        <f t="shared" ref="MN7:OY7" ca="1" si="15">MM7+1</f>
        <v>46323</v>
      </c>
      <c r="MO7" s="64">
        <f t="shared" ca="1" si="15"/>
        <v>46324</v>
      </c>
      <c r="MP7" s="65">
        <f t="shared" ca="1" si="15"/>
        <v>46325</v>
      </c>
      <c r="MQ7" s="64">
        <f t="shared" ca="1" si="15"/>
        <v>46326</v>
      </c>
      <c r="MR7" s="64">
        <f t="shared" ca="1" si="15"/>
        <v>46327</v>
      </c>
      <c r="MS7" s="64">
        <f t="shared" ca="1" si="15"/>
        <v>46328</v>
      </c>
      <c r="MT7" s="64">
        <f t="shared" ca="1" si="15"/>
        <v>46329</v>
      </c>
      <c r="MU7" s="64">
        <f t="shared" ca="1" si="15"/>
        <v>46330</v>
      </c>
      <c r="MV7" s="64">
        <f t="shared" ca="1" si="15"/>
        <v>46331</v>
      </c>
      <c r="MW7" s="65">
        <f t="shared" ca="1" si="15"/>
        <v>46332</v>
      </c>
      <c r="MX7" s="64">
        <f t="shared" ca="1" si="15"/>
        <v>46333</v>
      </c>
      <c r="MY7" s="64">
        <f t="shared" ca="1" si="15"/>
        <v>46334</v>
      </c>
      <c r="MZ7" s="64">
        <f t="shared" ca="1" si="15"/>
        <v>46335</v>
      </c>
      <c r="NA7" s="64">
        <f t="shared" ca="1" si="15"/>
        <v>46336</v>
      </c>
      <c r="NB7" s="64">
        <f t="shared" ca="1" si="15"/>
        <v>46337</v>
      </c>
      <c r="NC7" s="64">
        <f t="shared" ca="1" si="15"/>
        <v>46338</v>
      </c>
      <c r="ND7" s="65">
        <f t="shared" ca="1" si="15"/>
        <v>46339</v>
      </c>
      <c r="NE7" s="64">
        <f t="shared" ca="1" si="15"/>
        <v>46340</v>
      </c>
      <c r="NF7" s="64">
        <f t="shared" ca="1" si="15"/>
        <v>46341</v>
      </c>
      <c r="NG7" s="64">
        <f t="shared" ca="1" si="15"/>
        <v>46342</v>
      </c>
      <c r="NH7" s="64">
        <f t="shared" ca="1" si="15"/>
        <v>46343</v>
      </c>
      <c r="NI7" s="64">
        <f t="shared" ca="1" si="15"/>
        <v>46344</v>
      </c>
      <c r="NJ7" s="64">
        <f t="shared" ca="1" si="15"/>
        <v>46345</v>
      </c>
      <c r="NK7" s="64">
        <f t="shared" ca="1" si="15"/>
        <v>46346</v>
      </c>
      <c r="NL7" s="64">
        <f t="shared" ca="1" si="15"/>
        <v>46347</v>
      </c>
      <c r="NM7" s="64">
        <f t="shared" ca="1" si="15"/>
        <v>46348</v>
      </c>
      <c r="NN7" s="65">
        <f t="shared" ca="1" si="15"/>
        <v>46349</v>
      </c>
      <c r="NO7" s="64">
        <f t="shared" ca="1" si="15"/>
        <v>46350</v>
      </c>
      <c r="NP7" s="64">
        <f t="shared" ca="1" si="15"/>
        <v>46351</v>
      </c>
      <c r="NQ7" s="64">
        <f t="shared" ca="1" si="15"/>
        <v>46352</v>
      </c>
      <c r="NR7" s="64">
        <f t="shared" ca="1" si="15"/>
        <v>46353</v>
      </c>
      <c r="NS7" s="64">
        <f t="shared" ca="1" si="15"/>
        <v>46354</v>
      </c>
      <c r="NT7" s="64">
        <f t="shared" ca="1" si="15"/>
        <v>46355</v>
      </c>
      <c r="NU7" s="65">
        <f t="shared" ca="1" si="15"/>
        <v>46356</v>
      </c>
      <c r="NV7" s="64">
        <f t="shared" ca="1" si="15"/>
        <v>46357</v>
      </c>
      <c r="NW7" s="64">
        <f t="shared" ca="1" si="15"/>
        <v>46358</v>
      </c>
      <c r="NX7" s="64">
        <f t="shared" ca="1" si="15"/>
        <v>46359</v>
      </c>
      <c r="NY7" s="64">
        <f t="shared" ca="1" si="15"/>
        <v>46360</v>
      </c>
      <c r="NZ7" s="64">
        <f t="shared" ca="1" si="15"/>
        <v>46361</v>
      </c>
      <c r="OA7" s="64">
        <f t="shared" ca="1" si="15"/>
        <v>46362</v>
      </c>
      <c r="OB7" s="65">
        <f t="shared" ca="1" si="15"/>
        <v>46363</v>
      </c>
      <c r="OC7" s="64">
        <f t="shared" ca="1" si="15"/>
        <v>46364</v>
      </c>
      <c r="OD7" s="64">
        <f t="shared" ca="1" si="15"/>
        <v>46365</v>
      </c>
      <c r="OE7" s="64">
        <f t="shared" ca="1" si="15"/>
        <v>46366</v>
      </c>
      <c r="OF7" s="64">
        <f t="shared" ca="1" si="15"/>
        <v>46367</v>
      </c>
      <c r="OG7" s="64">
        <f t="shared" ca="1" si="15"/>
        <v>46368</v>
      </c>
      <c r="OH7" s="64">
        <f t="shared" ca="1" si="15"/>
        <v>46369</v>
      </c>
      <c r="OI7" s="65">
        <f t="shared" ca="1" si="15"/>
        <v>46370</v>
      </c>
      <c r="OJ7" s="64">
        <f t="shared" ca="1" si="15"/>
        <v>46371</v>
      </c>
      <c r="OK7" s="64">
        <f t="shared" ca="1" si="15"/>
        <v>46372</v>
      </c>
      <c r="OL7" s="64">
        <f t="shared" ca="1" si="15"/>
        <v>46373</v>
      </c>
      <c r="OM7" s="64">
        <f t="shared" ca="1" si="15"/>
        <v>46374</v>
      </c>
      <c r="ON7" s="64">
        <f t="shared" ca="1" si="15"/>
        <v>46375</v>
      </c>
      <c r="OO7" s="64">
        <f t="shared" ca="1" si="15"/>
        <v>46376</v>
      </c>
      <c r="OP7" s="64">
        <f t="shared" ca="1" si="15"/>
        <v>46377</v>
      </c>
      <c r="OQ7" s="64">
        <f t="shared" ca="1" si="15"/>
        <v>46378</v>
      </c>
      <c r="OR7" s="64">
        <f t="shared" ca="1" si="15"/>
        <v>46379</v>
      </c>
      <c r="OS7" s="65">
        <f t="shared" ca="1" si="15"/>
        <v>46380</v>
      </c>
      <c r="OT7" s="64">
        <f t="shared" ca="1" si="15"/>
        <v>46381</v>
      </c>
      <c r="OU7" s="64">
        <f t="shared" ca="1" si="15"/>
        <v>46382</v>
      </c>
      <c r="OV7" s="64">
        <f t="shared" ca="1" si="15"/>
        <v>46383</v>
      </c>
      <c r="OW7" s="64">
        <f t="shared" ca="1" si="15"/>
        <v>46384</v>
      </c>
      <c r="OX7" s="64">
        <f t="shared" ca="1" si="15"/>
        <v>46385</v>
      </c>
      <c r="OY7" s="64">
        <f t="shared" ca="1" si="15"/>
        <v>46386</v>
      </c>
      <c r="OZ7" s="65">
        <f t="shared" ref="OZ7:QC7" ca="1" si="16">OY7+1</f>
        <v>46387</v>
      </c>
      <c r="PA7" s="64">
        <f t="shared" ca="1" si="16"/>
        <v>46388</v>
      </c>
      <c r="PB7" s="64">
        <f t="shared" ca="1" si="16"/>
        <v>46389</v>
      </c>
      <c r="PC7" s="64">
        <f t="shared" ca="1" si="16"/>
        <v>46390</v>
      </c>
      <c r="PD7" s="64">
        <f t="shared" ca="1" si="16"/>
        <v>46391</v>
      </c>
      <c r="PE7" s="64">
        <f t="shared" ca="1" si="16"/>
        <v>46392</v>
      </c>
      <c r="PF7" s="64">
        <f t="shared" ca="1" si="16"/>
        <v>46393</v>
      </c>
      <c r="PG7" s="65">
        <f t="shared" ca="1" si="16"/>
        <v>46394</v>
      </c>
      <c r="PH7" s="64">
        <f t="shared" ca="1" si="16"/>
        <v>46395</v>
      </c>
      <c r="PI7" s="64">
        <f t="shared" ca="1" si="16"/>
        <v>46396</v>
      </c>
      <c r="PJ7" s="64">
        <f t="shared" ca="1" si="16"/>
        <v>46397</v>
      </c>
      <c r="PK7" s="64">
        <f t="shared" ca="1" si="16"/>
        <v>46398</v>
      </c>
      <c r="PL7" s="64">
        <f t="shared" ca="1" si="16"/>
        <v>46399</v>
      </c>
      <c r="PM7" s="64">
        <f t="shared" ca="1" si="16"/>
        <v>46400</v>
      </c>
      <c r="PN7" s="65">
        <f t="shared" ca="1" si="16"/>
        <v>46401</v>
      </c>
      <c r="PO7" s="64">
        <f t="shared" ca="1" si="16"/>
        <v>46402</v>
      </c>
      <c r="PP7" s="64">
        <f t="shared" ca="1" si="16"/>
        <v>46403</v>
      </c>
      <c r="PQ7" s="64">
        <f t="shared" ca="1" si="16"/>
        <v>46404</v>
      </c>
      <c r="PR7" s="64">
        <f t="shared" ca="1" si="16"/>
        <v>46405</v>
      </c>
      <c r="PS7" s="64">
        <f t="shared" ca="1" si="16"/>
        <v>46406</v>
      </c>
      <c r="PT7" s="64">
        <f t="shared" ca="1" si="16"/>
        <v>46407</v>
      </c>
      <c r="PU7" s="64">
        <f t="shared" ca="1" si="16"/>
        <v>46408</v>
      </c>
      <c r="PV7" s="64">
        <f t="shared" ca="1" si="16"/>
        <v>46409</v>
      </c>
      <c r="PW7" s="65">
        <f t="shared" ca="1" si="16"/>
        <v>46410</v>
      </c>
      <c r="PX7" s="64">
        <f t="shared" ca="1" si="16"/>
        <v>46411</v>
      </c>
      <c r="PY7" s="64">
        <f t="shared" ca="1" si="16"/>
        <v>46412</v>
      </c>
      <c r="PZ7" s="64">
        <f t="shared" ca="1" si="16"/>
        <v>46413</v>
      </c>
      <c r="QA7" s="64">
        <f t="shared" ca="1" si="16"/>
        <v>46414</v>
      </c>
      <c r="QB7" s="64">
        <f t="shared" ca="1" si="16"/>
        <v>46415</v>
      </c>
      <c r="QC7" s="64">
        <f t="shared" ca="1" si="16"/>
        <v>46416</v>
      </c>
      <c r="QD7" s="65">
        <f t="shared" ref="QD7:SO7" ca="1" si="17">QC7+1</f>
        <v>46417</v>
      </c>
      <c r="QE7" s="64">
        <f t="shared" ca="1" si="17"/>
        <v>46418</v>
      </c>
      <c r="QF7" s="64">
        <f t="shared" ca="1" si="17"/>
        <v>46419</v>
      </c>
      <c r="QG7" s="64">
        <f t="shared" ca="1" si="17"/>
        <v>46420</v>
      </c>
      <c r="QH7" s="64">
        <f t="shared" ca="1" si="17"/>
        <v>46421</v>
      </c>
      <c r="QI7" s="64">
        <f t="shared" ca="1" si="17"/>
        <v>46422</v>
      </c>
      <c r="QJ7" s="64">
        <f t="shared" ca="1" si="17"/>
        <v>46423</v>
      </c>
      <c r="QK7" s="65">
        <f t="shared" ca="1" si="17"/>
        <v>46424</v>
      </c>
      <c r="QL7" s="64">
        <f t="shared" ca="1" si="17"/>
        <v>46425</v>
      </c>
      <c r="QM7" s="64">
        <f t="shared" ca="1" si="17"/>
        <v>46426</v>
      </c>
      <c r="QN7" s="64">
        <f t="shared" ca="1" si="17"/>
        <v>46427</v>
      </c>
      <c r="QO7" s="64">
        <f t="shared" ca="1" si="17"/>
        <v>46428</v>
      </c>
      <c r="QP7" s="64">
        <f t="shared" ca="1" si="17"/>
        <v>46429</v>
      </c>
      <c r="QQ7" s="64">
        <f t="shared" ca="1" si="17"/>
        <v>46430</v>
      </c>
      <c r="QR7" s="65">
        <f t="shared" ca="1" si="17"/>
        <v>46431</v>
      </c>
      <c r="QS7" s="64">
        <f t="shared" ca="1" si="17"/>
        <v>46432</v>
      </c>
      <c r="QT7" s="64">
        <f t="shared" ca="1" si="17"/>
        <v>46433</v>
      </c>
      <c r="QU7" s="64">
        <f t="shared" ca="1" si="17"/>
        <v>46434</v>
      </c>
      <c r="QV7" s="64">
        <f t="shared" ca="1" si="17"/>
        <v>46435</v>
      </c>
      <c r="QW7" s="64">
        <f t="shared" ca="1" si="17"/>
        <v>46436</v>
      </c>
      <c r="QX7" s="64">
        <f t="shared" ca="1" si="17"/>
        <v>46437</v>
      </c>
      <c r="QY7" s="64">
        <f t="shared" ca="1" si="17"/>
        <v>46438</v>
      </c>
      <c r="QZ7" s="64">
        <f t="shared" ca="1" si="17"/>
        <v>46439</v>
      </c>
      <c r="RA7" s="65">
        <f t="shared" ca="1" si="17"/>
        <v>46440</v>
      </c>
      <c r="RB7" s="64">
        <f t="shared" ca="1" si="17"/>
        <v>46441</v>
      </c>
      <c r="RC7" s="64">
        <f t="shared" ca="1" si="17"/>
        <v>46442</v>
      </c>
      <c r="RD7" s="64">
        <f t="shared" ca="1" si="17"/>
        <v>46443</v>
      </c>
      <c r="RE7" s="64">
        <f t="shared" ca="1" si="17"/>
        <v>46444</v>
      </c>
      <c r="RF7" s="64">
        <f t="shared" ca="1" si="17"/>
        <v>46445</v>
      </c>
      <c r="RG7" s="64">
        <f t="shared" ca="1" si="17"/>
        <v>46446</v>
      </c>
      <c r="RH7" s="65">
        <f t="shared" ca="1" si="17"/>
        <v>46447</v>
      </c>
      <c r="RI7" s="64">
        <f t="shared" ca="1" si="17"/>
        <v>46448</v>
      </c>
      <c r="RJ7" s="64">
        <f t="shared" ca="1" si="17"/>
        <v>46449</v>
      </c>
      <c r="RK7" s="64">
        <f t="shared" ca="1" si="17"/>
        <v>46450</v>
      </c>
      <c r="RL7" s="64">
        <f t="shared" ca="1" si="17"/>
        <v>46451</v>
      </c>
      <c r="RM7" s="64">
        <f t="shared" ca="1" si="17"/>
        <v>46452</v>
      </c>
      <c r="RN7" s="64">
        <f t="shared" ca="1" si="17"/>
        <v>46453</v>
      </c>
      <c r="RO7" s="65">
        <f t="shared" ca="1" si="17"/>
        <v>46454</v>
      </c>
      <c r="RP7" s="64">
        <f t="shared" ca="1" si="17"/>
        <v>46455</v>
      </c>
      <c r="RQ7" s="64">
        <f t="shared" ca="1" si="17"/>
        <v>46456</v>
      </c>
      <c r="RR7" s="64">
        <f t="shared" ca="1" si="17"/>
        <v>46457</v>
      </c>
      <c r="RS7" s="64">
        <f t="shared" ca="1" si="17"/>
        <v>46458</v>
      </c>
      <c r="RT7" s="64">
        <f t="shared" ca="1" si="17"/>
        <v>46459</v>
      </c>
      <c r="RU7" s="64">
        <f t="shared" ca="1" si="17"/>
        <v>46460</v>
      </c>
      <c r="RV7" s="65">
        <f t="shared" ca="1" si="17"/>
        <v>46461</v>
      </c>
      <c r="RW7" s="64">
        <f t="shared" ca="1" si="17"/>
        <v>46462</v>
      </c>
      <c r="RX7" s="64">
        <f t="shared" ca="1" si="17"/>
        <v>46463</v>
      </c>
      <c r="RY7" s="64">
        <f t="shared" ca="1" si="17"/>
        <v>46464</v>
      </c>
      <c r="RZ7" s="64">
        <f t="shared" ca="1" si="17"/>
        <v>46465</v>
      </c>
      <c r="SA7" s="64">
        <f t="shared" ca="1" si="17"/>
        <v>46466</v>
      </c>
      <c r="SB7" s="64">
        <f t="shared" ca="1" si="17"/>
        <v>46467</v>
      </c>
      <c r="SC7" s="64">
        <f t="shared" ca="1" si="17"/>
        <v>46468</v>
      </c>
      <c r="SD7" s="64">
        <f t="shared" ca="1" si="17"/>
        <v>46469</v>
      </c>
      <c r="SE7" s="65">
        <f t="shared" ca="1" si="17"/>
        <v>46470</v>
      </c>
      <c r="SF7" s="64">
        <f t="shared" ca="1" si="17"/>
        <v>46471</v>
      </c>
      <c r="SG7" s="64">
        <f t="shared" ca="1" si="17"/>
        <v>46472</v>
      </c>
      <c r="SH7" s="64">
        <f t="shared" ca="1" si="17"/>
        <v>46473</v>
      </c>
      <c r="SI7" s="64">
        <f t="shared" ca="1" si="17"/>
        <v>46474</v>
      </c>
      <c r="SJ7" s="64">
        <f t="shared" ca="1" si="17"/>
        <v>46475</v>
      </c>
      <c r="SK7" s="64">
        <f t="shared" ca="1" si="17"/>
        <v>46476</v>
      </c>
      <c r="SL7" s="65">
        <f t="shared" ca="1" si="17"/>
        <v>46477</v>
      </c>
      <c r="SM7" s="64">
        <f t="shared" ca="1" si="17"/>
        <v>46478</v>
      </c>
      <c r="SN7" s="64">
        <f t="shared" ca="1" si="17"/>
        <v>46479</v>
      </c>
      <c r="SO7" s="64">
        <f t="shared" ca="1" si="17"/>
        <v>46480</v>
      </c>
      <c r="SP7" s="64">
        <f t="shared" ref="SP7:VA7" ca="1" si="18">SO7+1</f>
        <v>46481</v>
      </c>
      <c r="SQ7" s="64">
        <f t="shared" ca="1" si="18"/>
        <v>46482</v>
      </c>
      <c r="SR7" s="64">
        <f t="shared" ca="1" si="18"/>
        <v>46483</v>
      </c>
      <c r="SS7" s="65">
        <f t="shared" ca="1" si="18"/>
        <v>46484</v>
      </c>
      <c r="ST7" s="64">
        <f t="shared" ca="1" si="18"/>
        <v>46485</v>
      </c>
      <c r="SU7" s="64">
        <f t="shared" ca="1" si="18"/>
        <v>46486</v>
      </c>
      <c r="SV7" s="64">
        <f t="shared" ca="1" si="18"/>
        <v>46487</v>
      </c>
      <c r="SW7" s="64">
        <f t="shared" ca="1" si="18"/>
        <v>46488</v>
      </c>
      <c r="SX7" s="64">
        <f t="shared" ca="1" si="18"/>
        <v>46489</v>
      </c>
      <c r="SY7" s="64">
        <f t="shared" ca="1" si="18"/>
        <v>46490</v>
      </c>
      <c r="SZ7" s="65">
        <f t="shared" ca="1" si="18"/>
        <v>46491</v>
      </c>
      <c r="TA7" s="64">
        <f t="shared" ca="1" si="18"/>
        <v>46492</v>
      </c>
      <c r="TB7" s="64">
        <f t="shared" ca="1" si="18"/>
        <v>46493</v>
      </c>
      <c r="TC7" s="64">
        <f t="shared" ca="1" si="18"/>
        <v>46494</v>
      </c>
      <c r="TD7" s="64">
        <f t="shared" ca="1" si="18"/>
        <v>46495</v>
      </c>
      <c r="TE7" s="64">
        <f t="shared" ca="1" si="18"/>
        <v>46496</v>
      </c>
      <c r="TF7" s="64">
        <f t="shared" ca="1" si="18"/>
        <v>46497</v>
      </c>
      <c r="TG7" s="64">
        <f t="shared" ca="1" si="18"/>
        <v>46498</v>
      </c>
      <c r="TH7" s="64">
        <f t="shared" ca="1" si="18"/>
        <v>46499</v>
      </c>
      <c r="TI7" s="65">
        <f t="shared" ca="1" si="18"/>
        <v>46500</v>
      </c>
      <c r="TJ7" s="64">
        <f t="shared" ca="1" si="18"/>
        <v>46501</v>
      </c>
      <c r="TK7" s="64">
        <f t="shared" ca="1" si="18"/>
        <v>46502</v>
      </c>
      <c r="TL7" s="64">
        <f t="shared" ca="1" si="18"/>
        <v>46503</v>
      </c>
      <c r="TM7" s="64">
        <f t="shared" ca="1" si="18"/>
        <v>46504</v>
      </c>
      <c r="TN7" s="64">
        <f t="shared" ca="1" si="18"/>
        <v>46505</v>
      </c>
      <c r="TO7" s="64">
        <f t="shared" ca="1" si="18"/>
        <v>46506</v>
      </c>
      <c r="TP7" s="65">
        <f t="shared" ca="1" si="18"/>
        <v>46507</v>
      </c>
      <c r="TQ7" s="64">
        <f t="shared" ca="1" si="18"/>
        <v>46508</v>
      </c>
      <c r="TR7" s="64">
        <f t="shared" ca="1" si="18"/>
        <v>46509</v>
      </c>
      <c r="TS7" s="64">
        <f t="shared" ca="1" si="18"/>
        <v>46510</v>
      </c>
      <c r="TT7" s="64">
        <f t="shared" ca="1" si="18"/>
        <v>46511</v>
      </c>
      <c r="TU7" s="64">
        <f t="shared" ca="1" si="18"/>
        <v>46512</v>
      </c>
      <c r="TV7" s="64">
        <f t="shared" ca="1" si="18"/>
        <v>46513</v>
      </c>
      <c r="TW7" s="65">
        <f t="shared" ca="1" si="18"/>
        <v>46514</v>
      </c>
      <c r="TX7" s="64">
        <f t="shared" ca="1" si="18"/>
        <v>46515</v>
      </c>
      <c r="TY7" s="64">
        <f t="shared" ca="1" si="18"/>
        <v>46516</v>
      </c>
      <c r="TZ7" s="64">
        <f t="shared" ca="1" si="18"/>
        <v>46517</v>
      </c>
      <c r="UA7" s="64">
        <f t="shared" ca="1" si="18"/>
        <v>46518</v>
      </c>
      <c r="UB7" s="64">
        <f t="shared" ca="1" si="18"/>
        <v>46519</v>
      </c>
      <c r="UC7" s="64">
        <f t="shared" ca="1" si="18"/>
        <v>46520</v>
      </c>
      <c r="UD7" s="65">
        <f t="shared" ca="1" si="18"/>
        <v>46521</v>
      </c>
      <c r="UE7" s="64">
        <f t="shared" ca="1" si="18"/>
        <v>46522</v>
      </c>
      <c r="UF7" s="64">
        <f t="shared" ca="1" si="18"/>
        <v>46523</v>
      </c>
      <c r="UG7" s="64">
        <f t="shared" ca="1" si="18"/>
        <v>46524</v>
      </c>
      <c r="UH7" s="64">
        <f t="shared" ca="1" si="18"/>
        <v>46525</v>
      </c>
      <c r="UI7" s="64">
        <f t="shared" ca="1" si="18"/>
        <v>46526</v>
      </c>
      <c r="UJ7" s="64">
        <f t="shared" ca="1" si="18"/>
        <v>46527</v>
      </c>
      <c r="UK7" s="64">
        <f t="shared" ca="1" si="18"/>
        <v>46528</v>
      </c>
      <c r="UL7" s="64">
        <f t="shared" ca="1" si="18"/>
        <v>46529</v>
      </c>
      <c r="UM7" s="65">
        <f t="shared" ca="1" si="18"/>
        <v>46530</v>
      </c>
      <c r="UN7" s="64">
        <f t="shared" ca="1" si="18"/>
        <v>46531</v>
      </c>
      <c r="UO7" s="64">
        <f t="shared" ca="1" si="18"/>
        <v>46532</v>
      </c>
      <c r="UP7" s="64">
        <f t="shared" ca="1" si="18"/>
        <v>46533</v>
      </c>
      <c r="UQ7" s="64">
        <f t="shared" ca="1" si="18"/>
        <v>46534</v>
      </c>
      <c r="UR7" s="64">
        <f t="shared" ca="1" si="18"/>
        <v>46535</v>
      </c>
      <c r="US7" s="64">
        <f t="shared" ca="1" si="18"/>
        <v>46536</v>
      </c>
      <c r="UT7" s="65">
        <f t="shared" ca="1" si="18"/>
        <v>46537</v>
      </c>
      <c r="UU7" s="64">
        <f t="shared" ca="1" si="18"/>
        <v>46538</v>
      </c>
      <c r="UV7" s="64">
        <f t="shared" ca="1" si="18"/>
        <v>46539</v>
      </c>
      <c r="UW7" s="64">
        <f t="shared" ca="1" si="18"/>
        <v>46540</v>
      </c>
      <c r="UX7" s="64">
        <f t="shared" ca="1" si="18"/>
        <v>46541</v>
      </c>
      <c r="UY7" s="64">
        <f t="shared" ca="1" si="18"/>
        <v>46542</v>
      </c>
      <c r="UZ7" s="64">
        <f t="shared" ca="1" si="18"/>
        <v>46543</v>
      </c>
      <c r="VA7" s="65">
        <f t="shared" ca="1" si="18"/>
        <v>46544</v>
      </c>
      <c r="VB7" s="64">
        <f t="shared" ref="VB7:VS7" ca="1" si="19">VA7+1</f>
        <v>46545</v>
      </c>
      <c r="VC7" s="64">
        <f t="shared" ca="1" si="19"/>
        <v>46546</v>
      </c>
      <c r="VD7" s="64">
        <f t="shared" ca="1" si="19"/>
        <v>46547</v>
      </c>
      <c r="VE7" s="64">
        <f t="shared" ca="1" si="19"/>
        <v>46548</v>
      </c>
      <c r="VF7" s="64">
        <f t="shared" ca="1" si="19"/>
        <v>46549</v>
      </c>
      <c r="VG7" s="64">
        <f t="shared" ca="1" si="19"/>
        <v>46550</v>
      </c>
      <c r="VH7" s="65">
        <f t="shared" ca="1" si="19"/>
        <v>46551</v>
      </c>
      <c r="VI7" s="64">
        <f t="shared" ca="1" si="19"/>
        <v>46552</v>
      </c>
      <c r="VJ7" s="64">
        <f t="shared" ca="1" si="19"/>
        <v>46553</v>
      </c>
      <c r="VK7" s="64">
        <f t="shared" ca="1" si="19"/>
        <v>46554</v>
      </c>
      <c r="VL7" s="64">
        <f t="shared" ca="1" si="19"/>
        <v>46555</v>
      </c>
      <c r="VM7" s="64">
        <f t="shared" ca="1" si="19"/>
        <v>46556</v>
      </c>
      <c r="VN7" s="64">
        <f t="shared" ca="1" si="19"/>
        <v>46557</v>
      </c>
      <c r="VO7" s="64">
        <f t="shared" ca="1" si="19"/>
        <v>46558</v>
      </c>
      <c r="VP7" s="64">
        <f t="shared" ca="1" si="19"/>
        <v>46559</v>
      </c>
      <c r="VQ7" s="65">
        <f t="shared" ca="1" si="19"/>
        <v>46560</v>
      </c>
      <c r="VR7" s="64">
        <f t="shared" ca="1" si="19"/>
        <v>46561</v>
      </c>
      <c r="VS7" s="64">
        <f t="shared" ca="1" si="19"/>
        <v>46562</v>
      </c>
    </row>
    <row r="8" spans="1:591" ht="19.95" customHeight="1" x14ac:dyDescent="0.3">
      <c r="A8" s="82"/>
      <c r="B8" s="42"/>
      <c r="C8" s="42"/>
      <c r="D8" s="42"/>
      <c r="E8" s="22"/>
      <c r="F8" s="22"/>
      <c r="G8" s="22"/>
      <c r="H8" s="22"/>
      <c r="I8" s="41"/>
      <c r="J8" s="40"/>
      <c r="K8" s="37"/>
      <c r="L8" s="37"/>
      <c r="M8" s="37"/>
      <c r="N8" s="37"/>
      <c r="O8" s="37"/>
      <c r="P8" s="37"/>
      <c r="Q8" s="39"/>
      <c r="R8" s="37"/>
      <c r="S8" s="37"/>
      <c r="T8" s="37"/>
      <c r="U8" s="37"/>
      <c r="V8" s="37"/>
      <c r="W8" s="38"/>
      <c r="X8" s="37"/>
      <c r="Y8" s="37"/>
      <c r="Z8" s="37"/>
      <c r="AA8" s="37"/>
      <c r="AB8" s="37"/>
      <c r="AC8" s="37"/>
      <c r="AD8" s="38"/>
      <c r="AE8" s="37"/>
      <c r="AF8" s="37"/>
      <c r="AG8" s="37"/>
      <c r="AH8" s="37"/>
      <c r="AI8" s="37"/>
      <c r="AJ8" s="37"/>
      <c r="AK8" s="38"/>
      <c r="AL8" s="37"/>
      <c r="AM8" s="37"/>
      <c r="AN8" s="37"/>
      <c r="AO8" s="37"/>
      <c r="AP8" s="37"/>
      <c r="AQ8" s="37"/>
      <c r="AR8" s="38"/>
      <c r="AS8" s="37"/>
      <c r="AT8" s="37"/>
      <c r="AU8" s="37"/>
      <c r="AV8" s="37"/>
      <c r="AW8" s="37"/>
      <c r="AX8" s="37"/>
      <c r="AY8" s="38"/>
      <c r="AZ8" s="37"/>
      <c r="BA8" s="37"/>
      <c r="BB8" s="37"/>
      <c r="BC8" s="37"/>
      <c r="BD8" s="37"/>
      <c r="BE8" s="37"/>
      <c r="BF8" s="38"/>
      <c r="BG8" s="37"/>
      <c r="BH8" s="37"/>
      <c r="BI8" s="37"/>
      <c r="BJ8" s="37"/>
      <c r="BK8" s="37"/>
      <c r="BL8" s="37"/>
      <c r="BM8" s="37"/>
      <c r="BN8" s="37"/>
      <c r="BO8" s="37"/>
      <c r="BP8" s="38"/>
      <c r="BQ8" s="37"/>
      <c r="BR8" s="37"/>
      <c r="BS8" s="37"/>
      <c r="BT8" s="37"/>
      <c r="BU8" s="37"/>
      <c r="BV8" s="37"/>
      <c r="BW8" s="38"/>
      <c r="BX8" s="37"/>
      <c r="BY8" s="37"/>
      <c r="BZ8" s="37"/>
      <c r="CA8" s="37"/>
      <c r="CB8" s="37"/>
      <c r="CC8" s="37"/>
      <c r="CD8" s="38"/>
      <c r="CE8" s="37"/>
      <c r="CF8" s="37"/>
      <c r="CG8" s="37"/>
      <c r="CH8" s="37"/>
      <c r="CI8" s="37"/>
      <c r="CJ8" s="37"/>
      <c r="CK8" s="38"/>
      <c r="CL8" s="37"/>
      <c r="CM8" s="37"/>
      <c r="CN8" s="37"/>
      <c r="CO8" s="37"/>
      <c r="CP8" s="37"/>
      <c r="CQ8" s="37"/>
      <c r="CR8" s="37"/>
      <c r="CS8" s="37"/>
      <c r="CT8" s="37"/>
      <c r="CU8" s="38"/>
      <c r="CV8" s="37"/>
      <c r="CW8" s="37"/>
      <c r="CX8" s="37"/>
      <c r="CY8" s="37"/>
      <c r="CZ8" s="37"/>
      <c r="DA8" s="37"/>
      <c r="DB8" s="38"/>
      <c r="DC8" s="37"/>
      <c r="DD8" s="37"/>
      <c r="DE8" s="37"/>
      <c r="DF8" s="37"/>
      <c r="DG8" s="37"/>
      <c r="DH8" s="37"/>
      <c r="DI8" s="38"/>
      <c r="DJ8" s="37"/>
      <c r="DK8" s="37"/>
      <c r="DL8" s="37"/>
      <c r="DM8" s="37"/>
      <c r="DN8" s="37"/>
      <c r="DO8" s="37"/>
      <c r="DP8" s="38"/>
      <c r="DQ8" s="37"/>
      <c r="DR8" s="37"/>
      <c r="DS8" s="37"/>
      <c r="DT8" s="37"/>
      <c r="DU8" s="37"/>
      <c r="DV8" s="37"/>
      <c r="DW8" s="37"/>
      <c r="DX8" s="37"/>
      <c r="DY8" s="37"/>
      <c r="DZ8" s="38"/>
      <c r="EA8" s="37"/>
      <c r="EB8" s="37"/>
      <c r="EC8" s="37"/>
      <c r="ED8" s="37"/>
      <c r="EE8" s="37"/>
      <c r="EF8" s="37"/>
      <c r="EG8" s="38"/>
      <c r="EH8" s="37"/>
      <c r="EI8" s="37"/>
      <c r="EJ8" s="37"/>
      <c r="EK8" s="37"/>
      <c r="EL8" s="37"/>
      <c r="EM8" s="37"/>
      <c r="EN8" s="38"/>
      <c r="EO8" s="37"/>
      <c r="EP8" s="37"/>
      <c r="EQ8" s="37"/>
      <c r="ER8" s="37"/>
      <c r="ES8" s="37"/>
      <c r="ET8" s="37"/>
      <c r="EU8" s="38"/>
      <c r="EV8" s="37"/>
      <c r="EW8" s="37"/>
      <c r="EX8" s="37"/>
      <c r="EY8" s="37"/>
      <c r="EZ8" s="37"/>
      <c r="FA8" s="37"/>
      <c r="FB8" s="37"/>
      <c r="FC8" s="37"/>
      <c r="FD8" s="37"/>
      <c r="FE8" s="38"/>
      <c r="FF8" s="37"/>
      <c r="FG8" s="37"/>
      <c r="FH8" s="37"/>
      <c r="FI8" s="37"/>
      <c r="FJ8" s="37"/>
      <c r="FK8" s="37"/>
      <c r="FL8" s="38"/>
      <c r="FM8" s="37"/>
      <c r="FN8" s="37"/>
      <c r="FO8" s="37"/>
      <c r="FP8" s="37"/>
      <c r="FQ8" s="37"/>
      <c r="FR8" s="37"/>
      <c r="FS8" s="38"/>
      <c r="FT8" s="37"/>
      <c r="FU8" s="37"/>
      <c r="FV8" s="37"/>
      <c r="FW8" s="37"/>
      <c r="FX8" s="37"/>
      <c r="FY8" s="37"/>
      <c r="FZ8" s="38"/>
      <c r="GA8" s="37"/>
      <c r="GB8" s="37"/>
      <c r="GC8" s="37"/>
      <c r="GD8" s="37"/>
      <c r="GE8" s="37"/>
      <c r="GF8" s="37"/>
      <c r="GG8" s="37"/>
      <c r="GH8" s="37"/>
      <c r="GI8" s="37"/>
      <c r="GJ8" s="38"/>
      <c r="GK8" s="37"/>
      <c r="GL8" s="37"/>
      <c r="GM8" s="37"/>
      <c r="GN8" s="37"/>
      <c r="GO8" s="37"/>
      <c r="GP8" s="37"/>
      <c r="GQ8" s="38"/>
      <c r="GR8" s="37"/>
      <c r="GS8" s="37"/>
      <c r="GT8" s="37"/>
      <c r="GU8" s="37"/>
      <c r="GV8" s="37"/>
      <c r="GW8" s="37"/>
      <c r="GX8" s="38"/>
      <c r="GY8" s="37"/>
      <c r="GZ8" s="37"/>
      <c r="HA8" s="37"/>
      <c r="HB8" s="37"/>
      <c r="HC8" s="37"/>
      <c r="HD8" s="37"/>
      <c r="HE8" s="38"/>
      <c r="HF8" s="37"/>
      <c r="HG8" s="37"/>
      <c r="HH8" s="37"/>
      <c r="HI8" s="37"/>
      <c r="HJ8" s="37"/>
      <c r="HK8" s="37"/>
      <c r="HL8" s="37"/>
      <c r="HM8" s="37"/>
      <c r="HN8" s="37"/>
      <c r="HO8" s="38"/>
      <c r="HP8" s="37"/>
      <c r="HQ8" s="37"/>
      <c r="HR8" s="37"/>
      <c r="HS8" s="37"/>
      <c r="HT8" s="37"/>
      <c r="HU8" s="37"/>
      <c r="HV8" s="38"/>
      <c r="HW8" s="37"/>
      <c r="HX8" s="37"/>
      <c r="HY8" s="37"/>
      <c r="HZ8" s="37"/>
      <c r="IA8" s="37"/>
      <c r="IB8" s="37"/>
      <c r="IC8" s="38"/>
      <c r="ID8" s="37"/>
      <c r="IE8" s="37"/>
      <c r="IF8" s="37"/>
      <c r="IG8" s="37"/>
      <c r="IH8" s="37"/>
      <c r="II8" s="37"/>
      <c r="IJ8" s="38"/>
      <c r="IK8" s="37"/>
      <c r="IL8" s="37"/>
      <c r="IM8" s="37"/>
      <c r="IN8" s="37"/>
      <c r="IO8" s="37"/>
      <c r="IP8" s="37"/>
      <c r="IQ8" s="37"/>
      <c r="IR8" s="37"/>
      <c r="IS8" s="37"/>
      <c r="IT8" s="38"/>
      <c r="IU8" s="37"/>
      <c r="IV8" s="37"/>
      <c r="IW8" s="37"/>
      <c r="IX8" s="37"/>
      <c r="IY8" s="37"/>
      <c r="IZ8" s="37"/>
      <c r="JA8" s="38"/>
      <c r="JB8" s="37"/>
      <c r="JC8" s="37"/>
      <c r="JD8" s="37"/>
      <c r="JE8" s="37"/>
      <c r="JF8" s="37"/>
      <c r="JG8" s="37"/>
      <c r="JH8" s="38"/>
      <c r="JI8" s="37"/>
      <c r="JJ8" s="37"/>
      <c r="JK8" s="37"/>
      <c r="JL8" s="37"/>
      <c r="JM8" s="37"/>
      <c r="JN8" s="37"/>
      <c r="JO8" s="38"/>
      <c r="JP8" s="37"/>
      <c r="JQ8" s="37"/>
      <c r="JR8" s="37"/>
      <c r="JS8" s="37"/>
      <c r="JT8" s="37"/>
      <c r="JU8" s="37"/>
      <c r="JV8" s="37"/>
      <c r="JW8" s="37"/>
      <c r="JX8" s="37"/>
      <c r="JY8" s="38"/>
      <c r="JZ8" s="37"/>
      <c r="KA8" s="37"/>
      <c r="KB8" s="37"/>
      <c r="KC8" s="37"/>
      <c r="KD8" s="37"/>
      <c r="KE8" s="37"/>
      <c r="KF8" s="38"/>
      <c r="KG8" s="37"/>
      <c r="KH8" s="37"/>
      <c r="KI8" s="37"/>
      <c r="KJ8" s="37"/>
      <c r="KK8" s="37"/>
      <c r="KL8" s="37"/>
      <c r="KM8" s="38"/>
      <c r="KN8" s="37"/>
      <c r="KO8" s="37"/>
      <c r="KP8" s="37"/>
      <c r="KQ8" s="37"/>
      <c r="KR8" s="37"/>
      <c r="KS8" s="37"/>
      <c r="KT8" s="38"/>
      <c r="KU8" s="37"/>
      <c r="KV8" s="37"/>
      <c r="KW8" s="37"/>
      <c r="KX8" s="37"/>
      <c r="KY8" s="37"/>
      <c r="KZ8" s="37"/>
      <c r="LA8" s="37"/>
      <c r="LB8" s="37"/>
      <c r="LC8" s="37"/>
      <c r="LD8" s="38"/>
      <c r="LE8" s="37"/>
      <c r="LF8" s="37"/>
      <c r="LG8" s="37"/>
      <c r="LH8" s="37"/>
      <c r="LI8" s="37"/>
      <c r="LJ8" s="37"/>
      <c r="LK8" s="38"/>
      <c r="LL8" s="37"/>
      <c r="LM8" s="37"/>
      <c r="LN8" s="37"/>
      <c r="LO8" s="37"/>
      <c r="LP8" s="37"/>
      <c r="LQ8" s="37"/>
      <c r="LR8" s="38"/>
      <c r="LS8" s="37"/>
      <c r="LT8" s="37"/>
      <c r="LU8" s="37"/>
      <c r="LV8" s="37"/>
      <c r="LW8" s="37"/>
      <c r="LX8" s="37"/>
      <c r="LY8" s="38"/>
      <c r="LZ8" s="37"/>
      <c r="MA8" s="37"/>
      <c r="MB8" s="37"/>
      <c r="MC8" s="37"/>
      <c r="MD8" s="37"/>
      <c r="ME8" s="37"/>
      <c r="MF8" s="37"/>
      <c r="MG8" s="37"/>
      <c r="MH8" s="37"/>
      <c r="MI8" s="38"/>
      <c r="MJ8" s="37"/>
      <c r="MK8" s="37"/>
      <c r="ML8" s="37"/>
      <c r="MM8" s="37"/>
      <c r="MN8" s="37"/>
      <c r="MO8" s="37"/>
      <c r="MP8" s="38"/>
      <c r="MQ8" s="37"/>
      <c r="MR8" s="37"/>
      <c r="MS8" s="37"/>
      <c r="MT8" s="37"/>
      <c r="MU8" s="37"/>
      <c r="MV8" s="37"/>
      <c r="MW8" s="38"/>
      <c r="MX8" s="37"/>
      <c r="MY8" s="37"/>
      <c r="MZ8" s="37"/>
      <c r="NA8" s="37"/>
      <c r="NB8" s="37"/>
      <c r="NC8" s="37"/>
      <c r="ND8" s="38"/>
      <c r="NE8" s="37"/>
      <c r="NF8" s="37"/>
      <c r="NG8" s="37"/>
      <c r="NH8" s="37"/>
      <c r="NI8" s="37"/>
      <c r="NJ8" s="37"/>
      <c r="NK8" s="37"/>
      <c r="NL8" s="37"/>
      <c r="NM8" s="37"/>
      <c r="NN8" s="38"/>
      <c r="NO8" s="37"/>
      <c r="NP8" s="37"/>
      <c r="NQ8" s="37"/>
      <c r="NR8" s="37"/>
      <c r="NS8" s="37"/>
      <c r="NT8" s="37"/>
      <c r="NU8" s="38"/>
      <c r="NV8" s="37"/>
      <c r="NW8" s="37"/>
      <c r="NX8" s="37"/>
      <c r="NY8" s="37"/>
      <c r="NZ8" s="37"/>
      <c r="OA8" s="37"/>
      <c r="OB8" s="38"/>
      <c r="OC8" s="37"/>
      <c r="OD8" s="37"/>
      <c r="OE8" s="37"/>
      <c r="OF8" s="37"/>
      <c r="OG8" s="37"/>
      <c r="OH8" s="37"/>
      <c r="OI8" s="38"/>
      <c r="OJ8" s="37"/>
      <c r="OK8" s="37"/>
      <c r="OL8" s="37"/>
      <c r="OM8" s="37"/>
      <c r="ON8" s="37"/>
      <c r="OO8" s="37"/>
      <c r="OP8" s="37"/>
      <c r="OQ8" s="37"/>
      <c r="OR8" s="37"/>
      <c r="OS8" s="38"/>
      <c r="OT8" s="37"/>
      <c r="OU8" s="37"/>
      <c r="OV8" s="37"/>
      <c r="OW8" s="37"/>
      <c r="OX8" s="37"/>
      <c r="OY8" s="37"/>
      <c r="OZ8" s="38"/>
      <c r="PA8" s="37"/>
      <c r="PB8" s="37"/>
      <c r="PC8" s="37"/>
      <c r="PD8" s="37"/>
      <c r="PE8" s="37"/>
      <c r="PF8" s="37"/>
      <c r="PG8" s="38"/>
      <c r="PH8" s="37"/>
      <c r="PI8" s="37"/>
      <c r="PJ8" s="37"/>
      <c r="PK8" s="37"/>
      <c r="PL8" s="37"/>
      <c r="PM8" s="37"/>
      <c r="PN8" s="38"/>
      <c r="PO8" s="37"/>
      <c r="PP8" s="37"/>
      <c r="PQ8" s="37"/>
      <c r="PR8" s="37"/>
      <c r="PS8" s="37"/>
      <c r="PT8" s="37"/>
      <c r="PU8" s="37"/>
      <c r="PV8" s="37"/>
      <c r="PW8" s="38"/>
      <c r="PX8" s="37"/>
      <c r="PY8" s="37"/>
      <c r="PZ8" s="37"/>
      <c r="QA8" s="37"/>
      <c r="QB8" s="37"/>
      <c r="QC8" s="37"/>
      <c r="QD8" s="38"/>
      <c r="QE8" s="37"/>
      <c r="QF8" s="37"/>
      <c r="QG8" s="37"/>
      <c r="QH8" s="37"/>
      <c r="QI8" s="37"/>
      <c r="QJ8" s="37"/>
      <c r="QK8" s="38"/>
      <c r="QL8" s="37"/>
      <c r="QM8" s="37"/>
      <c r="QN8" s="37"/>
      <c r="QO8" s="37"/>
      <c r="QP8" s="37"/>
      <c r="QQ8" s="37"/>
      <c r="QR8" s="38"/>
      <c r="QS8" s="37"/>
      <c r="QT8" s="37"/>
      <c r="QU8" s="37"/>
      <c r="QV8" s="37"/>
      <c r="QW8" s="37"/>
      <c r="QX8" s="37"/>
      <c r="QY8" s="37"/>
      <c r="QZ8" s="37"/>
      <c r="RA8" s="38"/>
      <c r="RB8" s="37"/>
      <c r="RC8" s="37"/>
      <c r="RD8" s="37"/>
      <c r="RE8" s="37"/>
      <c r="RF8" s="37"/>
      <c r="RG8" s="37"/>
      <c r="RH8" s="38"/>
      <c r="RI8" s="37"/>
      <c r="RJ8" s="37"/>
      <c r="RK8" s="37"/>
      <c r="RL8" s="37"/>
      <c r="RM8" s="37"/>
      <c r="RN8" s="37"/>
      <c r="RO8" s="38"/>
      <c r="RP8" s="37"/>
      <c r="RQ8" s="37"/>
      <c r="RR8" s="37"/>
      <c r="RS8" s="37"/>
      <c r="RT8" s="37"/>
      <c r="RU8" s="37"/>
      <c r="RV8" s="38"/>
      <c r="RW8" s="37"/>
      <c r="RX8" s="37"/>
      <c r="RY8" s="37"/>
      <c r="RZ8" s="37"/>
      <c r="SA8" s="37"/>
      <c r="SB8" s="37"/>
      <c r="SC8" s="37"/>
      <c r="SD8" s="37"/>
      <c r="SE8" s="38"/>
      <c r="SF8" s="37"/>
      <c r="SG8" s="37"/>
      <c r="SH8" s="37"/>
      <c r="SI8" s="37"/>
      <c r="SJ8" s="37"/>
      <c r="SK8" s="37"/>
      <c r="SL8" s="38"/>
      <c r="SM8" s="37"/>
      <c r="SN8" s="37"/>
      <c r="SO8" s="37"/>
      <c r="SP8" s="37"/>
      <c r="SQ8" s="37"/>
      <c r="SR8" s="37"/>
      <c r="SS8" s="38"/>
      <c r="ST8" s="37"/>
      <c r="SU8" s="37"/>
      <c r="SV8" s="37"/>
      <c r="SW8" s="37"/>
      <c r="SX8" s="37"/>
      <c r="SY8" s="37"/>
      <c r="SZ8" s="38"/>
      <c r="TA8" s="37"/>
      <c r="TB8" s="37"/>
      <c r="TC8" s="37"/>
      <c r="TD8" s="37"/>
      <c r="TE8" s="37"/>
      <c r="TF8" s="37"/>
      <c r="TG8" s="37"/>
      <c r="TH8" s="37"/>
      <c r="TI8" s="38"/>
      <c r="TJ8" s="37"/>
      <c r="TK8" s="37"/>
      <c r="TL8" s="37"/>
      <c r="TM8" s="37"/>
      <c r="TN8" s="37"/>
      <c r="TO8" s="37"/>
      <c r="TP8" s="38"/>
      <c r="TQ8" s="37"/>
      <c r="TR8" s="37"/>
      <c r="TS8" s="37"/>
      <c r="TT8" s="37"/>
      <c r="TU8" s="37"/>
      <c r="TV8" s="37"/>
      <c r="TW8" s="38"/>
      <c r="TX8" s="37"/>
      <c r="TY8" s="37"/>
      <c r="TZ8" s="37"/>
      <c r="UA8" s="37"/>
      <c r="UB8" s="37"/>
      <c r="UC8" s="37"/>
      <c r="UD8" s="38"/>
      <c r="UE8" s="37"/>
      <c r="UF8" s="37"/>
      <c r="UG8" s="37"/>
      <c r="UH8" s="37"/>
      <c r="UI8" s="37"/>
      <c r="UJ8" s="37"/>
      <c r="UK8" s="37"/>
      <c r="UL8" s="37"/>
      <c r="UM8" s="38"/>
      <c r="UN8" s="37"/>
      <c r="UO8" s="37"/>
      <c r="UP8" s="37"/>
      <c r="UQ8" s="37"/>
      <c r="UR8" s="37"/>
      <c r="US8" s="37"/>
      <c r="UT8" s="38"/>
      <c r="UU8" s="37"/>
      <c r="UV8" s="37"/>
      <c r="UW8" s="37"/>
      <c r="UX8" s="37"/>
      <c r="UY8" s="37"/>
      <c r="UZ8" s="37"/>
      <c r="VA8" s="38"/>
      <c r="VB8" s="37"/>
      <c r="VC8" s="37"/>
      <c r="VD8" s="37"/>
      <c r="VE8" s="37"/>
      <c r="VF8" s="37"/>
      <c r="VG8" s="37"/>
      <c r="VH8" s="38"/>
      <c r="VI8" s="37"/>
      <c r="VJ8" s="37"/>
      <c r="VK8" s="37"/>
      <c r="VL8" s="37"/>
      <c r="VM8" s="37"/>
      <c r="VN8" s="37"/>
      <c r="VO8" s="37"/>
      <c r="VP8" s="37"/>
      <c r="VQ8" s="38"/>
      <c r="VR8" s="37"/>
      <c r="VS8" s="37"/>
    </row>
    <row r="9" spans="1:591" ht="25.95" customHeight="1" x14ac:dyDescent="0.3">
      <c r="A9" s="82"/>
      <c r="B9" s="69" t="s">
        <v>83</v>
      </c>
      <c r="C9" s="70" t="s">
        <v>82</v>
      </c>
      <c r="D9" s="70" t="s">
        <v>81</v>
      </c>
      <c r="E9" s="70" t="s">
        <v>80</v>
      </c>
      <c r="F9" s="70" t="s">
        <v>79</v>
      </c>
      <c r="G9" s="70" t="s">
        <v>96</v>
      </c>
      <c r="H9" s="70" t="s">
        <v>78</v>
      </c>
      <c r="I9" s="36"/>
      <c r="J9" s="35" t="str">
        <f t="shared" ref="J9:AO9" ca="1" si="20">LEFT(TEXT(J7,"ddd"),1)</f>
        <v>T</v>
      </c>
      <c r="K9" s="35" t="str">
        <f t="shared" ca="1" si="20"/>
        <v>F</v>
      </c>
      <c r="L9" s="35" t="str">
        <f t="shared" ca="1" si="20"/>
        <v>S</v>
      </c>
      <c r="M9" s="35" t="str">
        <f t="shared" ca="1" si="20"/>
        <v>S</v>
      </c>
      <c r="N9" s="35" t="str">
        <f t="shared" ca="1" si="20"/>
        <v>M</v>
      </c>
      <c r="O9" s="35" t="str">
        <f t="shared" ca="1" si="20"/>
        <v>T</v>
      </c>
      <c r="P9" s="35" t="str">
        <f t="shared" ca="1" si="20"/>
        <v>W</v>
      </c>
      <c r="Q9" s="35" t="str">
        <f t="shared" ca="1" si="20"/>
        <v>T</v>
      </c>
      <c r="R9" s="35" t="str">
        <f t="shared" ca="1" si="20"/>
        <v>F</v>
      </c>
      <c r="S9" s="35" t="str">
        <f t="shared" ca="1" si="20"/>
        <v>S</v>
      </c>
      <c r="T9" s="35" t="str">
        <f t="shared" ca="1" si="20"/>
        <v>S</v>
      </c>
      <c r="U9" s="35" t="str">
        <f t="shared" ca="1" si="20"/>
        <v>M</v>
      </c>
      <c r="V9" s="35" t="str">
        <f t="shared" ca="1" si="20"/>
        <v>T</v>
      </c>
      <c r="W9" s="35" t="str">
        <f t="shared" ca="1" si="20"/>
        <v>W</v>
      </c>
      <c r="X9" s="35" t="str">
        <f t="shared" ca="1" si="20"/>
        <v>T</v>
      </c>
      <c r="Y9" s="35" t="str">
        <f t="shared" ca="1" si="20"/>
        <v>F</v>
      </c>
      <c r="Z9" s="35" t="str">
        <f t="shared" ca="1" si="20"/>
        <v>S</v>
      </c>
      <c r="AA9" s="35" t="str">
        <f t="shared" ca="1" si="20"/>
        <v>S</v>
      </c>
      <c r="AB9" s="35" t="str">
        <f t="shared" ca="1" si="20"/>
        <v>M</v>
      </c>
      <c r="AC9" s="35" t="str">
        <f t="shared" ca="1" si="20"/>
        <v>T</v>
      </c>
      <c r="AD9" s="35" t="str">
        <f t="shared" ca="1" si="20"/>
        <v>W</v>
      </c>
      <c r="AE9" s="35" t="str">
        <f t="shared" ca="1" si="20"/>
        <v>T</v>
      </c>
      <c r="AF9" s="35" t="str">
        <f t="shared" ca="1" si="20"/>
        <v>F</v>
      </c>
      <c r="AG9" s="35" t="str">
        <f t="shared" ca="1" si="20"/>
        <v>S</v>
      </c>
      <c r="AH9" s="35" t="str">
        <f t="shared" ca="1" si="20"/>
        <v>S</v>
      </c>
      <c r="AI9" s="35" t="str">
        <f t="shared" ca="1" si="20"/>
        <v>M</v>
      </c>
      <c r="AJ9" s="35" t="str">
        <f t="shared" ca="1" si="20"/>
        <v>T</v>
      </c>
      <c r="AK9" s="35" t="str">
        <f t="shared" ca="1" si="20"/>
        <v>W</v>
      </c>
      <c r="AL9" s="35" t="str">
        <f t="shared" ca="1" si="20"/>
        <v>T</v>
      </c>
      <c r="AM9" s="35" t="str">
        <f t="shared" ca="1" si="20"/>
        <v>F</v>
      </c>
      <c r="AN9" s="35" t="str">
        <f t="shared" ca="1" si="20"/>
        <v>S</v>
      </c>
      <c r="AO9" s="35" t="str">
        <f t="shared" ca="1" si="20"/>
        <v>S</v>
      </c>
      <c r="AP9" s="35" t="str">
        <f t="shared" ref="AP9:BL9" ca="1" si="21">LEFT(TEXT(AP7,"ddd"),1)</f>
        <v>M</v>
      </c>
      <c r="AQ9" s="35" t="str">
        <f t="shared" ca="1" si="21"/>
        <v>T</v>
      </c>
      <c r="AR9" s="35" t="str">
        <f t="shared" ca="1" si="21"/>
        <v>W</v>
      </c>
      <c r="AS9" s="35" t="str">
        <f t="shared" ca="1" si="21"/>
        <v>T</v>
      </c>
      <c r="AT9" s="35" t="str">
        <f t="shared" ca="1" si="21"/>
        <v>F</v>
      </c>
      <c r="AU9" s="35" t="str">
        <f t="shared" ca="1" si="21"/>
        <v>S</v>
      </c>
      <c r="AV9" s="35" t="str">
        <f t="shared" ca="1" si="21"/>
        <v>S</v>
      </c>
      <c r="AW9" s="35" t="str">
        <f t="shared" ca="1" si="21"/>
        <v>M</v>
      </c>
      <c r="AX9" s="35" t="str">
        <f t="shared" ca="1" si="21"/>
        <v>T</v>
      </c>
      <c r="AY9" s="35" t="str">
        <f t="shared" ca="1" si="21"/>
        <v>W</v>
      </c>
      <c r="AZ9" s="35" t="str">
        <f t="shared" ca="1" si="21"/>
        <v>T</v>
      </c>
      <c r="BA9" s="35" t="str">
        <f t="shared" ca="1" si="21"/>
        <v>F</v>
      </c>
      <c r="BB9" s="35" t="str">
        <f t="shared" ca="1" si="21"/>
        <v>S</v>
      </c>
      <c r="BC9" s="35" t="str">
        <f t="shared" ca="1" si="21"/>
        <v>S</v>
      </c>
      <c r="BD9" s="35" t="str">
        <f t="shared" ca="1" si="21"/>
        <v>M</v>
      </c>
      <c r="BE9" s="35" t="str">
        <f t="shared" ca="1" si="21"/>
        <v>T</v>
      </c>
      <c r="BF9" s="35" t="str">
        <f t="shared" ca="1" si="21"/>
        <v>W</v>
      </c>
      <c r="BG9" s="35" t="str">
        <f t="shared" ca="1" si="21"/>
        <v>T</v>
      </c>
      <c r="BH9" s="35" t="str">
        <f t="shared" ca="1" si="21"/>
        <v>F</v>
      </c>
      <c r="BI9" s="35" t="str">
        <f t="shared" ca="1" si="21"/>
        <v>S</v>
      </c>
      <c r="BJ9" s="35" t="str">
        <f t="shared" ca="1" si="21"/>
        <v>S</v>
      </c>
      <c r="BK9" s="35" t="str">
        <f t="shared" ca="1" si="21"/>
        <v>M</v>
      </c>
      <c r="BL9" s="35" t="str">
        <f t="shared" ca="1" si="21"/>
        <v>T</v>
      </c>
      <c r="BM9" s="35" t="str">
        <f t="shared" ref="BM9:DX9" ca="1" si="22">LEFT(TEXT(BM7,"ddd"),1)</f>
        <v>W</v>
      </c>
      <c r="BN9" s="35" t="str">
        <f t="shared" ca="1" si="22"/>
        <v>T</v>
      </c>
      <c r="BO9" s="35" t="str">
        <f t="shared" ca="1" si="22"/>
        <v>F</v>
      </c>
      <c r="BP9" s="35" t="str">
        <f t="shared" ca="1" si="22"/>
        <v>S</v>
      </c>
      <c r="BQ9" s="35" t="str">
        <f t="shared" ca="1" si="22"/>
        <v>S</v>
      </c>
      <c r="BR9" s="35" t="str">
        <f t="shared" ca="1" si="22"/>
        <v>M</v>
      </c>
      <c r="BS9" s="35" t="str">
        <f t="shared" ca="1" si="22"/>
        <v>T</v>
      </c>
      <c r="BT9" s="35" t="str">
        <f t="shared" ca="1" si="22"/>
        <v>W</v>
      </c>
      <c r="BU9" s="35" t="str">
        <f t="shared" ca="1" si="22"/>
        <v>T</v>
      </c>
      <c r="BV9" s="35" t="str">
        <f t="shared" ca="1" si="22"/>
        <v>F</v>
      </c>
      <c r="BW9" s="35" t="str">
        <f t="shared" ca="1" si="22"/>
        <v>S</v>
      </c>
      <c r="BX9" s="35" t="str">
        <f t="shared" ca="1" si="22"/>
        <v>S</v>
      </c>
      <c r="BY9" s="35" t="str">
        <f t="shared" ca="1" si="22"/>
        <v>M</v>
      </c>
      <c r="BZ9" s="35" t="str">
        <f t="shared" ca="1" si="22"/>
        <v>T</v>
      </c>
      <c r="CA9" s="35" t="str">
        <f t="shared" ca="1" si="22"/>
        <v>W</v>
      </c>
      <c r="CB9" s="35" t="str">
        <f t="shared" ca="1" si="22"/>
        <v>T</v>
      </c>
      <c r="CC9" s="35" t="str">
        <f t="shared" ca="1" si="22"/>
        <v>F</v>
      </c>
      <c r="CD9" s="35" t="str">
        <f t="shared" ca="1" si="22"/>
        <v>S</v>
      </c>
      <c r="CE9" s="35" t="str">
        <f t="shared" ca="1" si="22"/>
        <v>S</v>
      </c>
      <c r="CF9" s="35" t="str">
        <f t="shared" ca="1" si="22"/>
        <v>M</v>
      </c>
      <c r="CG9" s="35" t="str">
        <f t="shared" ca="1" si="22"/>
        <v>T</v>
      </c>
      <c r="CH9" s="35" t="str">
        <f t="shared" ca="1" si="22"/>
        <v>W</v>
      </c>
      <c r="CI9" s="35" t="str">
        <f t="shared" ca="1" si="22"/>
        <v>T</v>
      </c>
      <c r="CJ9" s="35" t="str">
        <f t="shared" ca="1" si="22"/>
        <v>F</v>
      </c>
      <c r="CK9" s="35" t="str">
        <f t="shared" ca="1" si="22"/>
        <v>S</v>
      </c>
      <c r="CL9" s="35" t="str">
        <f t="shared" ca="1" si="22"/>
        <v>S</v>
      </c>
      <c r="CM9" s="35" t="str">
        <f t="shared" ca="1" si="22"/>
        <v>M</v>
      </c>
      <c r="CN9" s="35" t="str">
        <f t="shared" ca="1" si="22"/>
        <v>T</v>
      </c>
      <c r="CO9" s="35" t="str">
        <f t="shared" ca="1" si="22"/>
        <v>W</v>
      </c>
      <c r="CP9" s="35" t="str">
        <f t="shared" ca="1" si="22"/>
        <v>T</v>
      </c>
      <c r="CQ9" s="35" t="str">
        <f t="shared" ca="1" si="22"/>
        <v>F</v>
      </c>
      <c r="CR9" s="35" t="str">
        <f t="shared" ca="1" si="22"/>
        <v>S</v>
      </c>
      <c r="CS9" s="35" t="str">
        <f t="shared" ca="1" si="22"/>
        <v>S</v>
      </c>
      <c r="CT9" s="35" t="str">
        <f t="shared" ca="1" si="22"/>
        <v>M</v>
      </c>
      <c r="CU9" s="35" t="str">
        <f t="shared" ca="1" si="22"/>
        <v>T</v>
      </c>
      <c r="CV9" s="35" t="str">
        <f t="shared" ca="1" si="22"/>
        <v>W</v>
      </c>
      <c r="CW9" s="35" t="str">
        <f t="shared" ca="1" si="22"/>
        <v>T</v>
      </c>
      <c r="CX9" s="35" t="str">
        <f t="shared" ca="1" si="22"/>
        <v>F</v>
      </c>
      <c r="CY9" s="35" t="str">
        <f t="shared" ca="1" si="22"/>
        <v>S</v>
      </c>
      <c r="CZ9" s="35" t="str">
        <f t="shared" ca="1" si="22"/>
        <v>S</v>
      </c>
      <c r="DA9" s="35" t="str">
        <f t="shared" ca="1" si="22"/>
        <v>M</v>
      </c>
      <c r="DB9" s="35" t="str">
        <f t="shared" ca="1" si="22"/>
        <v>T</v>
      </c>
      <c r="DC9" s="35" t="str">
        <f t="shared" ca="1" si="22"/>
        <v>W</v>
      </c>
      <c r="DD9" s="35" t="str">
        <f t="shared" ca="1" si="22"/>
        <v>T</v>
      </c>
      <c r="DE9" s="35" t="str">
        <f t="shared" ca="1" si="22"/>
        <v>F</v>
      </c>
      <c r="DF9" s="35" t="str">
        <f t="shared" ca="1" si="22"/>
        <v>S</v>
      </c>
      <c r="DG9" s="35" t="str">
        <f t="shared" ca="1" si="22"/>
        <v>S</v>
      </c>
      <c r="DH9" s="35" t="str">
        <f t="shared" ca="1" si="22"/>
        <v>M</v>
      </c>
      <c r="DI9" s="35" t="str">
        <f t="shared" ca="1" si="22"/>
        <v>T</v>
      </c>
      <c r="DJ9" s="35" t="str">
        <f t="shared" ca="1" si="22"/>
        <v>W</v>
      </c>
      <c r="DK9" s="35" t="str">
        <f t="shared" ca="1" si="22"/>
        <v>T</v>
      </c>
      <c r="DL9" s="35" t="str">
        <f t="shared" ca="1" si="22"/>
        <v>F</v>
      </c>
      <c r="DM9" s="35" t="str">
        <f t="shared" ca="1" si="22"/>
        <v>S</v>
      </c>
      <c r="DN9" s="35" t="str">
        <f t="shared" ca="1" si="22"/>
        <v>S</v>
      </c>
      <c r="DO9" s="35" t="str">
        <f t="shared" ca="1" si="22"/>
        <v>M</v>
      </c>
      <c r="DP9" s="35" t="str">
        <f t="shared" ca="1" si="22"/>
        <v>T</v>
      </c>
      <c r="DQ9" s="35" t="str">
        <f t="shared" ca="1" si="22"/>
        <v>W</v>
      </c>
      <c r="DR9" s="35" t="str">
        <f t="shared" ca="1" si="22"/>
        <v>T</v>
      </c>
      <c r="DS9" s="35" t="str">
        <f t="shared" ca="1" si="22"/>
        <v>F</v>
      </c>
      <c r="DT9" s="35" t="str">
        <f t="shared" ca="1" si="22"/>
        <v>S</v>
      </c>
      <c r="DU9" s="35" t="str">
        <f t="shared" ca="1" si="22"/>
        <v>S</v>
      </c>
      <c r="DV9" s="35" t="str">
        <f t="shared" ca="1" si="22"/>
        <v>M</v>
      </c>
      <c r="DW9" s="35" t="str">
        <f t="shared" ca="1" si="22"/>
        <v>T</v>
      </c>
      <c r="DX9" s="35" t="str">
        <f t="shared" ca="1" si="22"/>
        <v>W</v>
      </c>
      <c r="DY9" s="35" t="str">
        <f t="shared" ref="DY9:GJ9" ca="1" si="23">LEFT(TEXT(DY7,"ddd"),1)</f>
        <v>T</v>
      </c>
      <c r="DZ9" s="35" t="str">
        <f t="shared" ca="1" si="23"/>
        <v>F</v>
      </c>
      <c r="EA9" s="35" t="str">
        <f t="shared" ca="1" si="23"/>
        <v>S</v>
      </c>
      <c r="EB9" s="35" t="str">
        <f t="shared" ca="1" si="23"/>
        <v>S</v>
      </c>
      <c r="EC9" s="35" t="str">
        <f t="shared" ca="1" si="23"/>
        <v>M</v>
      </c>
      <c r="ED9" s="35" t="str">
        <f t="shared" ca="1" si="23"/>
        <v>T</v>
      </c>
      <c r="EE9" s="35" t="str">
        <f t="shared" ca="1" si="23"/>
        <v>W</v>
      </c>
      <c r="EF9" s="35" t="str">
        <f t="shared" ca="1" si="23"/>
        <v>T</v>
      </c>
      <c r="EG9" s="35" t="str">
        <f t="shared" ca="1" si="23"/>
        <v>F</v>
      </c>
      <c r="EH9" s="35" t="str">
        <f t="shared" ca="1" si="23"/>
        <v>S</v>
      </c>
      <c r="EI9" s="35" t="str">
        <f t="shared" ca="1" si="23"/>
        <v>S</v>
      </c>
      <c r="EJ9" s="35" t="str">
        <f t="shared" ca="1" si="23"/>
        <v>M</v>
      </c>
      <c r="EK9" s="35" t="str">
        <f t="shared" ca="1" si="23"/>
        <v>T</v>
      </c>
      <c r="EL9" s="35" t="str">
        <f t="shared" ca="1" si="23"/>
        <v>W</v>
      </c>
      <c r="EM9" s="35" t="str">
        <f t="shared" ca="1" si="23"/>
        <v>T</v>
      </c>
      <c r="EN9" s="35" t="str">
        <f t="shared" ca="1" si="23"/>
        <v>F</v>
      </c>
      <c r="EO9" s="35" t="str">
        <f t="shared" ca="1" si="23"/>
        <v>S</v>
      </c>
      <c r="EP9" s="35" t="str">
        <f t="shared" ca="1" si="23"/>
        <v>S</v>
      </c>
      <c r="EQ9" s="35" t="str">
        <f t="shared" ca="1" si="23"/>
        <v>M</v>
      </c>
      <c r="ER9" s="35" t="str">
        <f t="shared" ca="1" si="23"/>
        <v>T</v>
      </c>
      <c r="ES9" s="35" t="str">
        <f t="shared" ca="1" si="23"/>
        <v>W</v>
      </c>
      <c r="ET9" s="35" t="str">
        <f t="shared" ca="1" si="23"/>
        <v>T</v>
      </c>
      <c r="EU9" s="35" t="str">
        <f t="shared" ca="1" si="23"/>
        <v>F</v>
      </c>
      <c r="EV9" s="35" t="str">
        <f t="shared" ca="1" si="23"/>
        <v>S</v>
      </c>
      <c r="EW9" s="35" t="str">
        <f t="shared" ca="1" si="23"/>
        <v>S</v>
      </c>
      <c r="EX9" s="35" t="str">
        <f t="shared" ca="1" si="23"/>
        <v>M</v>
      </c>
      <c r="EY9" s="35" t="str">
        <f t="shared" ca="1" si="23"/>
        <v>T</v>
      </c>
      <c r="EZ9" s="35" t="str">
        <f t="shared" ca="1" si="23"/>
        <v>W</v>
      </c>
      <c r="FA9" s="35" t="str">
        <f t="shared" ca="1" si="23"/>
        <v>T</v>
      </c>
      <c r="FB9" s="35" t="str">
        <f t="shared" ca="1" si="23"/>
        <v>F</v>
      </c>
      <c r="FC9" s="35" t="str">
        <f t="shared" ca="1" si="23"/>
        <v>S</v>
      </c>
      <c r="FD9" s="35" t="str">
        <f t="shared" ca="1" si="23"/>
        <v>S</v>
      </c>
      <c r="FE9" s="35" t="str">
        <f t="shared" ca="1" si="23"/>
        <v>M</v>
      </c>
      <c r="FF9" s="35" t="str">
        <f t="shared" ca="1" si="23"/>
        <v>T</v>
      </c>
      <c r="FG9" s="35" t="str">
        <f t="shared" ca="1" si="23"/>
        <v>W</v>
      </c>
      <c r="FH9" s="35" t="str">
        <f t="shared" ca="1" si="23"/>
        <v>T</v>
      </c>
      <c r="FI9" s="35" t="str">
        <f t="shared" ca="1" si="23"/>
        <v>F</v>
      </c>
      <c r="FJ9" s="35" t="str">
        <f t="shared" ca="1" si="23"/>
        <v>S</v>
      </c>
      <c r="FK9" s="35" t="str">
        <f t="shared" ca="1" si="23"/>
        <v>S</v>
      </c>
      <c r="FL9" s="35" t="str">
        <f t="shared" ca="1" si="23"/>
        <v>M</v>
      </c>
      <c r="FM9" s="35" t="str">
        <f t="shared" ca="1" si="23"/>
        <v>T</v>
      </c>
      <c r="FN9" s="35" t="str">
        <f t="shared" ca="1" si="23"/>
        <v>W</v>
      </c>
      <c r="FO9" s="35" t="str">
        <f t="shared" ca="1" si="23"/>
        <v>T</v>
      </c>
      <c r="FP9" s="35" t="str">
        <f t="shared" ca="1" si="23"/>
        <v>F</v>
      </c>
      <c r="FQ9" s="35" t="str">
        <f t="shared" ca="1" si="23"/>
        <v>S</v>
      </c>
      <c r="FR9" s="35" t="str">
        <f t="shared" ca="1" si="23"/>
        <v>S</v>
      </c>
      <c r="FS9" s="35" t="str">
        <f t="shared" ca="1" si="23"/>
        <v>M</v>
      </c>
      <c r="FT9" s="35" t="str">
        <f t="shared" ca="1" si="23"/>
        <v>T</v>
      </c>
      <c r="FU9" s="35" t="str">
        <f t="shared" ca="1" si="23"/>
        <v>W</v>
      </c>
      <c r="FV9" s="35" t="str">
        <f t="shared" ca="1" si="23"/>
        <v>T</v>
      </c>
      <c r="FW9" s="35" t="str">
        <f t="shared" ca="1" si="23"/>
        <v>F</v>
      </c>
      <c r="FX9" s="35" t="str">
        <f t="shared" ca="1" si="23"/>
        <v>S</v>
      </c>
      <c r="FY9" s="35" t="str">
        <f t="shared" ca="1" si="23"/>
        <v>S</v>
      </c>
      <c r="FZ9" s="35" t="str">
        <f t="shared" ca="1" si="23"/>
        <v>M</v>
      </c>
      <c r="GA9" s="35" t="str">
        <f t="shared" ca="1" si="23"/>
        <v>T</v>
      </c>
      <c r="GB9" s="35" t="str">
        <f t="shared" ca="1" si="23"/>
        <v>W</v>
      </c>
      <c r="GC9" s="35" t="str">
        <f t="shared" ca="1" si="23"/>
        <v>T</v>
      </c>
      <c r="GD9" s="35" t="str">
        <f t="shared" ca="1" si="23"/>
        <v>F</v>
      </c>
      <c r="GE9" s="35" t="str">
        <f t="shared" ca="1" si="23"/>
        <v>S</v>
      </c>
      <c r="GF9" s="35" t="str">
        <f t="shared" ca="1" si="23"/>
        <v>S</v>
      </c>
      <c r="GG9" s="35" t="str">
        <f t="shared" ca="1" si="23"/>
        <v>M</v>
      </c>
      <c r="GH9" s="35" t="str">
        <f t="shared" ca="1" si="23"/>
        <v>T</v>
      </c>
      <c r="GI9" s="35" t="str">
        <f t="shared" ca="1" si="23"/>
        <v>W</v>
      </c>
      <c r="GJ9" s="35" t="str">
        <f t="shared" ca="1" si="23"/>
        <v>T</v>
      </c>
      <c r="GK9" s="35" t="str">
        <f t="shared" ref="GK9:HO9" ca="1" si="24">LEFT(TEXT(GK7,"ddd"),1)</f>
        <v>F</v>
      </c>
      <c r="GL9" s="35" t="str">
        <f t="shared" ca="1" si="24"/>
        <v>S</v>
      </c>
      <c r="GM9" s="35" t="str">
        <f t="shared" ca="1" si="24"/>
        <v>S</v>
      </c>
      <c r="GN9" s="35" t="str">
        <f t="shared" ca="1" si="24"/>
        <v>M</v>
      </c>
      <c r="GO9" s="35" t="str">
        <f t="shared" ca="1" si="24"/>
        <v>T</v>
      </c>
      <c r="GP9" s="35" t="str">
        <f t="shared" ca="1" si="24"/>
        <v>W</v>
      </c>
      <c r="GQ9" s="35" t="str">
        <f t="shared" ca="1" si="24"/>
        <v>T</v>
      </c>
      <c r="GR9" s="35" t="str">
        <f t="shared" ca="1" si="24"/>
        <v>F</v>
      </c>
      <c r="GS9" s="35" t="str">
        <f t="shared" ca="1" si="24"/>
        <v>S</v>
      </c>
      <c r="GT9" s="35" t="str">
        <f t="shared" ca="1" si="24"/>
        <v>S</v>
      </c>
      <c r="GU9" s="35" t="str">
        <f t="shared" ca="1" si="24"/>
        <v>M</v>
      </c>
      <c r="GV9" s="35" t="str">
        <f t="shared" ca="1" si="24"/>
        <v>T</v>
      </c>
      <c r="GW9" s="35" t="str">
        <f t="shared" ca="1" si="24"/>
        <v>W</v>
      </c>
      <c r="GX9" s="35" t="str">
        <f t="shared" ca="1" si="24"/>
        <v>T</v>
      </c>
      <c r="GY9" s="35" t="str">
        <f t="shared" ca="1" si="24"/>
        <v>F</v>
      </c>
      <c r="GZ9" s="35" t="str">
        <f t="shared" ca="1" si="24"/>
        <v>S</v>
      </c>
      <c r="HA9" s="35" t="str">
        <f t="shared" ca="1" si="24"/>
        <v>S</v>
      </c>
      <c r="HB9" s="35" t="str">
        <f t="shared" ca="1" si="24"/>
        <v>M</v>
      </c>
      <c r="HC9" s="35" t="str">
        <f t="shared" ca="1" si="24"/>
        <v>T</v>
      </c>
      <c r="HD9" s="35" t="str">
        <f t="shared" ca="1" si="24"/>
        <v>W</v>
      </c>
      <c r="HE9" s="35" t="str">
        <f t="shared" ca="1" si="24"/>
        <v>T</v>
      </c>
      <c r="HF9" s="35" t="str">
        <f t="shared" ca="1" si="24"/>
        <v>F</v>
      </c>
      <c r="HG9" s="35" t="str">
        <f t="shared" ca="1" si="24"/>
        <v>S</v>
      </c>
      <c r="HH9" s="35" t="str">
        <f t="shared" ca="1" si="24"/>
        <v>S</v>
      </c>
      <c r="HI9" s="35" t="str">
        <f t="shared" ca="1" si="24"/>
        <v>M</v>
      </c>
      <c r="HJ9" s="35" t="str">
        <f t="shared" ca="1" si="24"/>
        <v>T</v>
      </c>
      <c r="HK9" s="35" t="str">
        <f t="shared" ca="1" si="24"/>
        <v>W</v>
      </c>
      <c r="HL9" s="35" t="str">
        <f t="shared" ca="1" si="24"/>
        <v>T</v>
      </c>
      <c r="HM9" s="35" t="str">
        <f t="shared" ca="1" si="24"/>
        <v>F</v>
      </c>
      <c r="HN9" s="35" t="str">
        <f t="shared" ca="1" si="24"/>
        <v>S</v>
      </c>
      <c r="HO9" s="35" t="str">
        <f t="shared" ca="1" si="24"/>
        <v>S</v>
      </c>
      <c r="HP9" s="35" t="str">
        <f t="shared" ref="HP9:KA9" ca="1" si="25">LEFT(TEXT(HP7,"ddd"),1)</f>
        <v>M</v>
      </c>
      <c r="HQ9" s="35" t="str">
        <f t="shared" ca="1" si="25"/>
        <v>T</v>
      </c>
      <c r="HR9" s="35" t="str">
        <f t="shared" ca="1" si="25"/>
        <v>W</v>
      </c>
      <c r="HS9" s="35" t="str">
        <f t="shared" ca="1" si="25"/>
        <v>T</v>
      </c>
      <c r="HT9" s="35" t="str">
        <f t="shared" ca="1" si="25"/>
        <v>F</v>
      </c>
      <c r="HU9" s="35" t="str">
        <f t="shared" ca="1" si="25"/>
        <v>S</v>
      </c>
      <c r="HV9" s="35" t="str">
        <f t="shared" ca="1" si="25"/>
        <v>S</v>
      </c>
      <c r="HW9" s="35" t="str">
        <f t="shared" ca="1" si="25"/>
        <v>M</v>
      </c>
      <c r="HX9" s="35" t="str">
        <f t="shared" ca="1" si="25"/>
        <v>T</v>
      </c>
      <c r="HY9" s="35" t="str">
        <f t="shared" ca="1" si="25"/>
        <v>W</v>
      </c>
      <c r="HZ9" s="35" t="str">
        <f t="shared" ca="1" si="25"/>
        <v>T</v>
      </c>
      <c r="IA9" s="35" t="str">
        <f t="shared" ca="1" si="25"/>
        <v>F</v>
      </c>
      <c r="IB9" s="35" t="str">
        <f t="shared" ca="1" si="25"/>
        <v>S</v>
      </c>
      <c r="IC9" s="35" t="str">
        <f t="shared" ca="1" si="25"/>
        <v>S</v>
      </c>
      <c r="ID9" s="35" t="str">
        <f t="shared" ca="1" si="25"/>
        <v>M</v>
      </c>
      <c r="IE9" s="35" t="str">
        <f t="shared" ca="1" si="25"/>
        <v>T</v>
      </c>
      <c r="IF9" s="35" t="str">
        <f t="shared" ca="1" si="25"/>
        <v>W</v>
      </c>
      <c r="IG9" s="35" t="str">
        <f t="shared" ca="1" si="25"/>
        <v>T</v>
      </c>
      <c r="IH9" s="35" t="str">
        <f t="shared" ca="1" si="25"/>
        <v>F</v>
      </c>
      <c r="II9" s="35" t="str">
        <f t="shared" ca="1" si="25"/>
        <v>S</v>
      </c>
      <c r="IJ9" s="35" t="str">
        <f t="shared" ca="1" si="25"/>
        <v>S</v>
      </c>
      <c r="IK9" s="35" t="str">
        <f t="shared" ca="1" si="25"/>
        <v>M</v>
      </c>
      <c r="IL9" s="35" t="str">
        <f t="shared" ca="1" si="25"/>
        <v>T</v>
      </c>
      <c r="IM9" s="35" t="str">
        <f t="shared" ca="1" si="25"/>
        <v>W</v>
      </c>
      <c r="IN9" s="35" t="str">
        <f t="shared" ca="1" si="25"/>
        <v>T</v>
      </c>
      <c r="IO9" s="35" t="str">
        <f t="shared" ca="1" si="25"/>
        <v>F</v>
      </c>
      <c r="IP9" s="35" t="str">
        <f t="shared" ca="1" si="25"/>
        <v>S</v>
      </c>
      <c r="IQ9" s="35" t="str">
        <f t="shared" ca="1" si="25"/>
        <v>S</v>
      </c>
      <c r="IR9" s="35" t="str">
        <f t="shared" ca="1" si="25"/>
        <v>M</v>
      </c>
      <c r="IS9" s="35" t="str">
        <f t="shared" ca="1" si="25"/>
        <v>T</v>
      </c>
      <c r="IT9" s="35" t="str">
        <f t="shared" ca="1" si="25"/>
        <v>W</v>
      </c>
      <c r="IU9" s="35" t="str">
        <f t="shared" ca="1" si="25"/>
        <v>T</v>
      </c>
      <c r="IV9" s="35" t="str">
        <f t="shared" ca="1" si="25"/>
        <v>F</v>
      </c>
      <c r="IW9" s="35" t="str">
        <f t="shared" ca="1" si="25"/>
        <v>S</v>
      </c>
      <c r="IX9" s="35" t="str">
        <f t="shared" ca="1" si="25"/>
        <v>S</v>
      </c>
      <c r="IY9" s="35" t="str">
        <f t="shared" ca="1" si="25"/>
        <v>M</v>
      </c>
      <c r="IZ9" s="35" t="str">
        <f t="shared" ca="1" si="25"/>
        <v>T</v>
      </c>
      <c r="JA9" s="35" t="str">
        <f t="shared" ca="1" si="25"/>
        <v>W</v>
      </c>
      <c r="JB9" s="35" t="str">
        <f t="shared" ca="1" si="25"/>
        <v>T</v>
      </c>
      <c r="JC9" s="35" t="str">
        <f t="shared" ca="1" si="25"/>
        <v>F</v>
      </c>
      <c r="JD9" s="35" t="str">
        <f t="shared" ca="1" si="25"/>
        <v>S</v>
      </c>
      <c r="JE9" s="35" t="str">
        <f t="shared" ca="1" si="25"/>
        <v>S</v>
      </c>
      <c r="JF9" s="35" t="str">
        <f t="shared" ca="1" si="25"/>
        <v>M</v>
      </c>
      <c r="JG9" s="35" t="str">
        <f t="shared" ca="1" si="25"/>
        <v>T</v>
      </c>
      <c r="JH9" s="35" t="str">
        <f t="shared" ca="1" si="25"/>
        <v>W</v>
      </c>
      <c r="JI9" s="35" t="str">
        <f t="shared" ca="1" si="25"/>
        <v>T</v>
      </c>
      <c r="JJ9" s="35" t="str">
        <f t="shared" ca="1" si="25"/>
        <v>F</v>
      </c>
      <c r="JK9" s="35" t="str">
        <f t="shared" ca="1" si="25"/>
        <v>S</v>
      </c>
      <c r="JL9" s="35" t="str">
        <f t="shared" ca="1" si="25"/>
        <v>S</v>
      </c>
      <c r="JM9" s="35" t="str">
        <f t="shared" ca="1" si="25"/>
        <v>M</v>
      </c>
      <c r="JN9" s="35" t="str">
        <f t="shared" ca="1" si="25"/>
        <v>T</v>
      </c>
      <c r="JO9" s="35" t="str">
        <f t="shared" ca="1" si="25"/>
        <v>W</v>
      </c>
      <c r="JP9" s="35" t="str">
        <f t="shared" ca="1" si="25"/>
        <v>T</v>
      </c>
      <c r="JQ9" s="35" t="str">
        <f t="shared" ca="1" si="25"/>
        <v>F</v>
      </c>
      <c r="JR9" s="35" t="str">
        <f t="shared" ca="1" si="25"/>
        <v>S</v>
      </c>
      <c r="JS9" s="35" t="str">
        <f t="shared" ca="1" si="25"/>
        <v>S</v>
      </c>
      <c r="JT9" s="35" t="str">
        <f t="shared" ca="1" si="25"/>
        <v>M</v>
      </c>
      <c r="JU9" s="35" t="str">
        <f t="shared" ca="1" si="25"/>
        <v>T</v>
      </c>
      <c r="JV9" s="35" t="str">
        <f t="shared" ca="1" si="25"/>
        <v>W</v>
      </c>
      <c r="JW9" s="35" t="str">
        <f t="shared" ca="1" si="25"/>
        <v>T</v>
      </c>
      <c r="JX9" s="35" t="str">
        <f t="shared" ca="1" si="25"/>
        <v>F</v>
      </c>
      <c r="JY9" s="35" t="str">
        <f t="shared" ca="1" si="25"/>
        <v>S</v>
      </c>
      <c r="JZ9" s="35" t="str">
        <f t="shared" ca="1" si="25"/>
        <v>S</v>
      </c>
      <c r="KA9" s="35" t="str">
        <f t="shared" ca="1" si="25"/>
        <v>M</v>
      </c>
      <c r="KB9" s="35" t="str">
        <f t="shared" ref="KB9:MM9" ca="1" si="26">LEFT(TEXT(KB7,"ddd"),1)</f>
        <v>T</v>
      </c>
      <c r="KC9" s="35" t="str">
        <f t="shared" ca="1" si="26"/>
        <v>W</v>
      </c>
      <c r="KD9" s="35" t="str">
        <f t="shared" ca="1" si="26"/>
        <v>T</v>
      </c>
      <c r="KE9" s="35" t="str">
        <f t="shared" ca="1" si="26"/>
        <v>F</v>
      </c>
      <c r="KF9" s="35" t="str">
        <f t="shared" ca="1" si="26"/>
        <v>S</v>
      </c>
      <c r="KG9" s="35" t="str">
        <f t="shared" ca="1" si="26"/>
        <v>S</v>
      </c>
      <c r="KH9" s="35" t="str">
        <f t="shared" ca="1" si="26"/>
        <v>M</v>
      </c>
      <c r="KI9" s="35" t="str">
        <f t="shared" ca="1" si="26"/>
        <v>T</v>
      </c>
      <c r="KJ9" s="35" t="str">
        <f t="shared" ca="1" si="26"/>
        <v>W</v>
      </c>
      <c r="KK9" s="35" t="str">
        <f t="shared" ca="1" si="26"/>
        <v>T</v>
      </c>
      <c r="KL9" s="35" t="str">
        <f t="shared" ca="1" si="26"/>
        <v>F</v>
      </c>
      <c r="KM9" s="35" t="str">
        <f t="shared" ca="1" si="26"/>
        <v>S</v>
      </c>
      <c r="KN9" s="35" t="str">
        <f t="shared" ca="1" si="26"/>
        <v>S</v>
      </c>
      <c r="KO9" s="35" t="str">
        <f t="shared" ca="1" si="26"/>
        <v>M</v>
      </c>
      <c r="KP9" s="35" t="str">
        <f t="shared" ca="1" si="26"/>
        <v>T</v>
      </c>
      <c r="KQ9" s="35" t="str">
        <f t="shared" ca="1" si="26"/>
        <v>W</v>
      </c>
      <c r="KR9" s="35" t="str">
        <f t="shared" ca="1" si="26"/>
        <v>T</v>
      </c>
      <c r="KS9" s="35" t="str">
        <f t="shared" ca="1" si="26"/>
        <v>F</v>
      </c>
      <c r="KT9" s="35" t="str">
        <f t="shared" ca="1" si="26"/>
        <v>S</v>
      </c>
      <c r="KU9" s="35" t="str">
        <f t="shared" ca="1" si="26"/>
        <v>S</v>
      </c>
      <c r="KV9" s="35" t="str">
        <f t="shared" ca="1" si="26"/>
        <v>M</v>
      </c>
      <c r="KW9" s="35" t="str">
        <f t="shared" ca="1" si="26"/>
        <v>T</v>
      </c>
      <c r="KX9" s="35" t="str">
        <f t="shared" ca="1" si="26"/>
        <v>W</v>
      </c>
      <c r="KY9" s="35" t="str">
        <f t="shared" ca="1" si="26"/>
        <v>T</v>
      </c>
      <c r="KZ9" s="35" t="str">
        <f t="shared" ca="1" si="26"/>
        <v>F</v>
      </c>
      <c r="LA9" s="35" t="str">
        <f t="shared" ca="1" si="26"/>
        <v>S</v>
      </c>
      <c r="LB9" s="35" t="str">
        <f t="shared" ca="1" si="26"/>
        <v>S</v>
      </c>
      <c r="LC9" s="35" t="str">
        <f t="shared" ca="1" si="26"/>
        <v>M</v>
      </c>
      <c r="LD9" s="35" t="str">
        <f t="shared" ca="1" si="26"/>
        <v>T</v>
      </c>
      <c r="LE9" s="35" t="str">
        <f t="shared" ca="1" si="26"/>
        <v>W</v>
      </c>
      <c r="LF9" s="35" t="str">
        <f t="shared" ca="1" si="26"/>
        <v>T</v>
      </c>
      <c r="LG9" s="35" t="str">
        <f t="shared" ca="1" si="26"/>
        <v>F</v>
      </c>
      <c r="LH9" s="35" t="str">
        <f t="shared" ca="1" si="26"/>
        <v>S</v>
      </c>
      <c r="LI9" s="35" t="str">
        <f t="shared" ca="1" si="26"/>
        <v>S</v>
      </c>
      <c r="LJ9" s="35" t="str">
        <f t="shared" ca="1" si="26"/>
        <v>M</v>
      </c>
      <c r="LK9" s="35" t="str">
        <f t="shared" ca="1" si="26"/>
        <v>T</v>
      </c>
      <c r="LL9" s="35" t="str">
        <f t="shared" ca="1" si="26"/>
        <v>W</v>
      </c>
      <c r="LM9" s="35" t="str">
        <f t="shared" ca="1" si="26"/>
        <v>T</v>
      </c>
      <c r="LN9" s="35" t="str">
        <f t="shared" ca="1" si="26"/>
        <v>F</v>
      </c>
      <c r="LO9" s="35" t="str">
        <f t="shared" ca="1" si="26"/>
        <v>S</v>
      </c>
      <c r="LP9" s="35" t="str">
        <f t="shared" ca="1" si="26"/>
        <v>S</v>
      </c>
      <c r="LQ9" s="35" t="str">
        <f t="shared" ca="1" si="26"/>
        <v>M</v>
      </c>
      <c r="LR9" s="35" t="str">
        <f t="shared" ca="1" si="26"/>
        <v>T</v>
      </c>
      <c r="LS9" s="35" t="str">
        <f t="shared" ca="1" si="26"/>
        <v>W</v>
      </c>
      <c r="LT9" s="35" t="str">
        <f t="shared" ca="1" si="26"/>
        <v>T</v>
      </c>
      <c r="LU9" s="35" t="str">
        <f t="shared" ca="1" si="26"/>
        <v>F</v>
      </c>
      <c r="LV9" s="35" t="str">
        <f t="shared" ca="1" si="26"/>
        <v>S</v>
      </c>
      <c r="LW9" s="35" t="str">
        <f t="shared" ca="1" si="26"/>
        <v>S</v>
      </c>
      <c r="LX9" s="35" t="str">
        <f t="shared" ca="1" si="26"/>
        <v>M</v>
      </c>
      <c r="LY9" s="35" t="str">
        <f t="shared" ca="1" si="26"/>
        <v>T</v>
      </c>
      <c r="LZ9" s="35" t="str">
        <f t="shared" ca="1" si="26"/>
        <v>W</v>
      </c>
      <c r="MA9" s="35" t="str">
        <f t="shared" ca="1" si="26"/>
        <v>T</v>
      </c>
      <c r="MB9" s="35" t="str">
        <f t="shared" ca="1" si="26"/>
        <v>F</v>
      </c>
      <c r="MC9" s="35" t="str">
        <f t="shared" ca="1" si="26"/>
        <v>S</v>
      </c>
      <c r="MD9" s="35" t="str">
        <f t="shared" ca="1" si="26"/>
        <v>S</v>
      </c>
      <c r="ME9" s="35" t="str">
        <f t="shared" ca="1" si="26"/>
        <v>M</v>
      </c>
      <c r="MF9" s="35" t="str">
        <f t="shared" ca="1" si="26"/>
        <v>T</v>
      </c>
      <c r="MG9" s="35" t="str">
        <f t="shared" ca="1" si="26"/>
        <v>W</v>
      </c>
      <c r="MH9" s="35" t="str">
        <f t="shared" ca="1" si="26"/>
        <v>T</v>
      </c>
      <c r="MI9" s="35" t="str">
        <f t="shared" ca="1" si="26"/>
        <v>F</v>
      </c>
      <c r="MJ9" s="35" t="str">
        <f t="shared" ca="1" si="26"/>
        <v>S</v>
      </c>
      <c r="MK9" s="35" t="str">
        <f t="shared" ca="1" si="26"/>
        <v>S</v>
      </c>
      <c r="ML9" s="35" t="str">
        <f t="shared" ca="1" si="26"/>
        <v>M</v>
      </c>
      <c r="MM9" s="35" t="str">
        <f t="shared" ca="1" si="26"/>
        <v>T</v>
      </c>
      <c r="MN9" s="35" t="str">
        <f t="shared" ref="MN9:OY9" ca="1" si="27">LEFT(TEXT(MN7,"ddd"),1)</f>
        <v>W</v>
      </c>
      <c r="MO9" s="35" t="str">
        <f t="shared" ca="1" si="27"/>
        <v>T</v>
      </c>
      <c r="MP9" s="35" t="str">
        <f t="shared" ca="1" si="27"/>
        <v>F</v>
      </c>
      <c r="MQ9" s="35" t="str">
        <f t="shared" ca="1" si="27"/>
        <v>S</v>
      </c>
      <c r="MR9" s="35" t="str">
        <f t="shared" ca="1" si="27"/>
        <v>S</v>
      </c>
      <c r="MS9" s="35" t="str">
        <f t="shared" ca="1" si="27"/>
        <v>M</v>
      </c>
      <c r="MT9" s="35" t="str">
        <f t="shared" ca="1" si="27"/>
        <v>T</v>
      </c>
      <c r="MU9" s="35" t="str">
        <f t="shared" ca="1" si="27"/>
        <v>W</v>
      </c>
      <c r="MV9" s="35" t="str">
        <f t="shared" ca="1" si="27"/>
        <v>T</v>
      </c>
      <c r="MW9" s="35" t="str">
        <f t="shared" ca="1" si="27"/>
        <v>F</v>
      </c>
      <c r="MX9" s="35" t="str">
        <f t="shared" ca="1" si="27"/>
        <v>S</v>
      </c>
      <c r="MY9" s="35" t="str">
        <f t="shared" ca="1" si="27"/>
        <v>S</v>
      </c>
      <c r="MZ9" s="35" t="str">
        <f t="shared" ca="1" si="27"/>
        <v>M</v>
      </c>
      <c r="NA9" s="35" t="str">
        <f t="shared" ca="1" si="27"/>
        <v>T</v>
      </c>
      <c r="NB9" s="35" t="str">
        <f t="shared" ca="1" si="27"/>
        <v>W</v>
      </c>
      <c r="NC9" s="35" t="str">
        <f t="shared" ca="1" si="27"/>
        <v>T</v>
      </c>
      <c r="ND9" s="35" t="str">
        <f t="shared" ca="1" si="27"/>
        <v>F</v>
      </c>
      <c r="NE9" s="35" t="str">
        <f t="shared" ca="1" si="27"/>
        <v>S</v>
      </c>
      <c r="NF9" s="35" t="str">
        <f t="shared" ca="1" si="27"/>
        <v>S</v>
      </c>
      <c r="NG9" s="35" t="str">
        <f t="shared" ca="1" si="27"/>
        <v>M</v>
      </c>
      <c r="NH9" s="35" t="str">
        <f t="shared" ca="1" si="27"/>
        <v>T</v>
      </c>
      <c r="NI9" s="35" t="str">
        <f t="shared" ca="1" si="27"/>
        <v>W</v>
      </c>
      <c r="NJ9" s="35" t="str">
        <f t="shared" ca="1" si="27"/>
        <v>T</v>
      </c>
      <c r="NK9" s="35" t="str">
        <f t="shared" ca="1" si="27"/>
        <v>F</v>
      </c>
      <c r="NL9" s="35" t="str">
        <f t="shared" ca="1" si="27"/>
        <v>S</v>
      </c>
      <c r="NM9" s="35" t="str">
        <f t="shared" ca="1" si="27"/>
        <v>S</v>
      </c>
      <c r="NN9" s="35" t="str">
        <f t="shared" ca="1" si="27"/>
        <v>M</v>
      </c>
      <c r="NO9" s="35" t="str">
        <f t="shared" ca="1" si="27"/>
        <v>T</v>
      </c>
      <c r="NP9" s="35" t="str">
        <f t="shared" ca="1" si="27"/>
        <v>W</v>
      </c>
      <c r="NQ9" s="35" t="str">
        <f t="shared" ca="1" si="27"/>
        <v>T</v>
      </c>
      <c r="NR9" s="35" t="str">
        <f t="shared" ca="1" si="27"/>
        <v>F</v>
      </c>
      <c r="NS9" s="35" t="str">
        <f t="shared" ca="1" si="27"/>
        <v>S</v>
      </c>
      <c r="NT9" s="35" t="str">
        <f t="shared" ca="1" si="27"/>
        <v>S</v>
      </c>
      <c r="NU9" s="35" t="str">
        <f t="shared" ca="1" si="27"/>
        <v>M</v>
      </c>
      <c r="NV9" s="35" t="str">
        <f t="shared" ca="1" si="27"/>
        <v>T</v>
      </c>
      <c r="NW9" s="35" t="str">
        <f t="shared" ca="1" si="27"/>
        <v>W</v>
      </c>
      <c r="NX9" s="35" t="str">
        <f t="shared" ca="1" si="27"/>
        <v>T</v>
      </c>
      <c r="NY9" s="35" t="str">
        <f t="shared" ca="1" si="27"/>
        <v>F</v>
      </c>
      <c r="NZ9" s="35" t="str">
        <f t="shared" ca="1" si="27"/>
        <v>S</v>
      </c>
      <c r="OA9" s="35" t="str">
        <f t="shared" ca="1" si="27"/>
        <v>S</v>
      </c>
      <c r="OB9" s="35" t="str">
        <f t="shared" ca="1" si="27"/>
        <v>M</v>
      </c>
      <c r="OC9" s="35" t="str">
        <f t="shared" ca="1" si="27"/>
        <v>T</v>
      </c>
      <c r="OD9" s="35" t="str">
        <f t="shared" ca="1" si="27"/>
        <v>W</v>
      </c>
      <c r="OE9" s="35" t="str">
        <f t="shared" ca="1" si="27"/>
        <v>T</v>
      </c>
      <c r="OF9" s="35" t="str">
        <f t="shared" ca="1" si="27"/>
        <v>F</v>
      </c>
      <c r="OG9" s="35" t="str">
        <f t="shared" ca="1" si="27"/>
        <v>S</v>
      </c>
      <c r="OH9" s="35" t="str">
        <f t="shared" ca="1" si="27"/>
        <v>S</v>
      </c>
      <c r="OI9" s="35" t="str">
        <f t="shared" ca="1" si="27"/>
        <v>M</v>
      </c>
      <c r="OJ9" s="35" t="str">
        <f t="shared" ca="1" si="27"/>
        <v>T</v>
      </c>
      <c r="OK9" s="35" t="str">
        <f t="shared" ca="1" si="27"/>
        <v>W</v>
      </c>
      <c r="OL9" s="35" t="str">
        <f t="shared" ca="1" si="27"/>
        <v>T</v>
      </c>
      <c r="OM9" s="35" t="str">
        <f t="shared" ca="1" si="27"/>
        <v>F</v>
      </c>
      <c r="ON9" s="35" t="str">
        <f t="shared" ca="1" si="27"/>
        <v>S</v>
      </c>
      <c r="OO9" s="35" t="str">
        <f t="shared" ca="1" si="27"/>
        <v>S</v>
      </c>
      <c r="OP9" s="35" t="str">
        <f t="shared" ca="1" si="27"/>
        <v>M</v>
      </c>
      <c r="OQ9" s="35" t="str">
        <f t="shared" ca="1" si="27"/>
        <v>T</v>
      </c>
      <c r="OR9" s="35" t="str">
        <f t="shared" ca="1" si="27"/>
        <v>W</v>
      </c>
      <c r="OS9" s="35" t="str">
        <f t="shared" ca="1" si="27"/>
        <v>T</v>
      </c>
      <c r="OT9" s="35" t="str">
        <f t="shared" ca="1" si="27"/>
        <v>F</v>
      </c>
      <c r="OU9" s="35" t="str">
        <f t="shared" ca="1" si="27"/>
        <v>S</v>
      </c>
      <c r="OV9" s="35" t="str">
        <f t="shared" ca="1" si="27"/>
        <v>S</v>
      </c>
      <c r="OW9" s="35" t="str">
        <f t="shared" ca="1" si="27"/>
        <v>M</v>
      </c>
      <c r="OX9" s="35" t="str">
        <f t="shared" ca="1" si="27"/>
        <v>T</v>
      </c>
      <c r="OY9" s="35" t="str">
        <f t="shared" ca="1" si="27"/>
        <v>W</v>
      </c>
      <c r="OZ9" s="35" t="str">
        <f t="shared" ref="OZ9:QC9" ca="1" si="28">LEFT(TEXT(OZ7,"ddd"),1)</f>
        <v>T</v>
      </c>
      <c r="PA9" s="35" t="str">
        <f t="shared" ca="1" si="28"/>
        <v>F</v>
      </c>
      <c r="PB9" s="35" t="str">
        <f t="shared" ca="1" si="28"/>
        <v>S</v>
      </c>
      <c r="PC9" s="35" t="str">
        <f t="shared" ca="1" si="28"/>
        <v>S</v>
      </c>
      <c r="PD9" s="35" t="str">
        <f t="shared" ca="1" si="28"/>
        <v>M</v>
      </c>
      <c r="PE9" s="35" t="str">
        <f t="shared" ca="1" si="28"/>
        <v>T</v>
      </c>
      <c r="PF9" s="35" t="str">
        <f t="shared" ca="1" si="28"/>
        <v>W</v>
      </c>
      <c r="PG9" s="35" t="str">
        <f t="shared" ca="1" si="28"/>
        <v>T</v>
      </c>
      <c r="PH9" s="35" t="str">
        <f t="shared" ca="1" si="28"/>
        <v>F</v>
      </c>
      <c r="PI9" s="35" t="str">
        <f t="shared" ca="1" si="28"/>
        <v>S</v>
      </c>
      <c r="PJ9" s="35" t="str">
        <f t="shared" ca="1" si="28"/>
        <v>S</v>
      </c>
      <c r="PK9" s="35" t="str">
        <f t="shared" ca="1" si="28"/>
        <v>M</v>
      </c>
      <c r="PL9" s="35" t="str">
        <f t="shared" ca="1" si="28"/>
        <v>T</v>
      </c>
      <c r="PM9" s="35" t="str">
        <f t="shared" ca="1" si="28"/>
        <v>W</v>
      </c>
      <c r="PN9" s="35" t="str">
        <f t="shared" ca="1" si="28"/>
        <v>T</v>
      </c>
      <c r="PO9" s="35" t="str">
        <f t="shared" ca="1" si="28"/>
        <v>F</v>
      </c>
      <c r="PP9" s="35" t="str">
        <f t="shared" ca="1" si="28"/>
        <v>S</v>
      </c>
      <c r="PQ9" s="35" t="str">
        <f t="shared" ca="1" si="28"/>
        <v>S</v>
      </c>
      <c r="PR9" s="35" t="str">
        <f t="shared" ca="1" si="28"/>
        <v>M</v>
      </c>
      <c r="PS9" s="35" t="str">
        <f t="shared" ca="1" si="28"/>
        <v>T</v>
      </c>
      <c r="PT9" s="35" t="str">
        <f t="shared" ca="1" si="28"/>
        <v>W</v>
      </c>
      <c r="PU9" s="35" t="str">
        <f t="shared" ca="1" si="28"/>
        <v>T</v>
      </c>
      <c r="PV9" s="35" t="str">
        <f t="shared" ca="1" si="28"/>
        <v>F</v>
      </c>
      <c r="PW9" s="35" t="str">
        <f t="shared" ca="1" si="28"/>
        <v>S</v>
      </c>
      <c r="PX9" s="35" t="str">
        <f t="shared" ca="1" si="28"/>
        <v>S</v>
      </c>
      <c r="PY9" s="35" t="str">
        <f t="shared" ca="1" si="28"/>
        <v>M</v>
      </c>
      <c r="PZ9" s="35" t="str">
        <f t="shared" ca="1" si="28"/>
        <v>T</v>
      </c>
      <c r="QA9" s="35" t="str">
        <f t="shared" ca="1" si="28"/>
        <v>W</v>
      </c>
      <c r="QB9" s="35" t="str">
        <f t="shared" ca="1" si="28"/>
        <v>T</v>
      </c>
      <c r="QC9" s="35" t="str">
        <f t="shared" ca="1" si="28"/>
        <v>F</v>
      </c>
      <c r="QD9" s="35" t="str">
        <f t="shared" ref="QD9:SO9" ca="1" si="29">LEFT(TEXT(QD7,"ddd"),1)</f>
        <v>S</v>
      </c>
      <c r="QE9" s="35" t="str">
        <f t="shared" ca="1" si="29"/>
        <v>S</v>
      </c>
      <c r="QF9" s="35" t="str">
        <f t="shared" ca="1" si="29"/>
        <v>M</v>
      </c>
      <c r="QG9" s="35" t="str">
        <f t="shared" ca="1" si="29"/>
        <v>T</v>
      </c>
      <c r="QH9" s="35" t="str">
        <f t="shared" ca="1" si="29"/>
        <v>W</v>
      </c>
      <c r="QI9" s="35" t="str">
        <f t="shared" ca="1" si="29"/>
        <v>T</v>
      </c>
      <c r="QJ9" s="35" t="str">
        <f t="shared" ca="1" si="29"/>
        <v>F</v>
      </c>
      <c r="QK9" s="35" t="str">
        <f t="shared" ca="1" si="29"/>
        <v>S</v>
      </c>
      <c r="QL9" s="35" t="str">
        <f t="shared" ca="1" si="29"/>
        <v>S</v>
      </c>
      <c r="QM9" s="35" t="str">
        <f t="shared" ca="1" si="29"/>
        <v>M</v>
      </c>
      <c r="QN9" s="35" t="str">
        <f t="shared" ca="1" si="29"/>
        <v>T</v>
      </c>
      <c r="QO9" s="35" t="str">
        <f t="shared" ca="1" si="29"/>
        <v>W</v>
      </c>
      <c r="QP9" s="35" t="str">
        <f t="shared" ca="1" si="29"/>
        <v>T</v>
      </c>
      <c r="QQ9" s="35" t="str">
        <f t="shared" ca="1" si="29"/>
        <v>F</v>
      </c>
      <c r="QR9" s="35" t="str">
        <f t="shared" ca="1" si="29"/>
        <v>S</v>
      </c>
      <c r="QS9" s="35" t="str">
        <f t="shared" ca="1" si="29"/>
        <v>S</v>
      </c>
      <c r="QT9" s="35" t="str">
        <f t="shared" ca="1" si="29"/>
        <v>M</v>
      </c>
      <c r="QU9" s="35" t="str">
        <f t="shared" ca="1" si="29"/>
        <v>T</v>
      </c>
      <c r="QV9" s="35" t="str">
        <f t="shared" ca="1" si="29"/>
        <v>W</v>
      </c>
      <c r="QW9" s="35" t="str">
        <f t="shared" ca="1" si="29"/>
        <v>T</v>
      </c>
      <c r="QX9" s="35" t="str">
        <f t="shared" ca="1" si="29"/>
        <v>F</v>
      </c>
      <c r="QY9" s="35" t="str">
        <f t="shared" ca="1" si="29"/>
        <v>S</v>
      </c>
      <c r="QZ9" s="35" t="str">
        <f t="shared" ca="1" si="29"/>
        <v>S</v>
      </c>
      <c r="RA9" s="35" t="str">
        <f t="shared" ca="1" si="29"/>
        <v>M</v>
      </c>
      <c r="RB9" s="35" t="str">
        <f t="shared" ca="1" si="29"/>
        <v>T</v>
      </c>
      <c r="RC9" s="35" t="str">
        <f t="shared" ca="1" si="29"/>
        <v>W</v>
      </c>
      <c r="RD9" s="35" t="str">
        <f t="shared" ca="1" si="29"/>
        <v>T</v>
      </c>
      <c r="RE9" s="35" t="str">
        <f t="shared" ca="1" si="29"/>
        <v>F</v>
      </c>
      <c r="RF9" s="35" t="str">
        <f t="shared" ca="1" si="29"/>
        <v>S</v>
      </c>
      <c r="RG9" s="35" t="str">
        <f t="shared" ca="1" si="29"/>
        <v>S</v>
      </c>
      <c r="RH9" s="35" t="str">
        <f t="shared" ca="1" si="29"/>
        <v>M</v>
      </c>
      <c r="RI9" s="35" t="str">
        <f t="shared" ca="1" si="29"/>
        <v>T</v>
      </c>
      <c r="RJ9" s="35" t="str">
        <f t="shared" ca="1" si="29"/>
        <v>W</v>
      </c>
      <c r="RK9" s="35" t="str">
        <f t="shared" ca="1" si="29"/>
        <v>T</v>
      </c>
      <c r="RL9" s="35" t="str">
        <f t="shared" ca="1" si="29"/>
        <v>F</v>
      </c>
      <c r="RM9" s="35" t="str">
        <f t="shared" ca="1" si="29"/>
        <v>S</v>
      </c>
      <c r="RN9" s="35" t="str">
        <f t="shared" ca="1" si="29"/>
        <v>S</v>
      </c>
      <c r="RO9" s="35" t="str">
        <f t="shared" ca="1" si="29"/>
        <v>M</v>
      </c>
      <c r="RP9" s="35" t="str">
        <f t="shared" ca="1" si="29"/>
        <v>T</v>
      </c>
      <c r="RQ9" s="35" t="str">
        <f t="shared" ca="1" si="29"/>
        <v>W</v>
      </c>
      <c r="RR9" s="35" t="str">
        <f t="shared" ca="1" si="29"/>
        <v>T</v>
      </c>
      <c r="RS9" s="35" t="str">
        <f t="shared" ca="1" si="29"/>
        <v>F</v>
      </c>
      <c r="RT9" s="35" t="str">
        <f t="shared" ca="1" si="29"/>
        <v>S</v>
      </c>
      <c r="RU9" s="35" t="str">
        <f t="shared" ca="1" si="29"/>
        <v>S</v>
      </c>
      <c r="RV9" s="35" t="str">
        <f t="shared" ca="1" si="29"/>
        <v>M</v>
      </c>
      <c r="RW9" s="35" t="str">
        <f t="shared" ca="1" si="29"/>
        <v>T</v>
      </c>
      <c r="RX9" s="35" t="str">
        <f t="shared" ca="1" si="29"/>
        <v>W</v>
      </c>
      <c r="RY9" s="35" t="str">
        <f t="shared" ca="1" si="29"/>
        <v>T</v>
      </c>
      <c r="RZ9" s="35" t="str">
        <f t="shared" ca="1" si="29"/>
        <v>F</v>
      </c>
      <c r="SA9" s="35" t="str">
        <f t="shared" ca="1" si="29"/>
        <v>S</v>
      </c>
      <c r="SB9" s="35" t="str">
        <f t="shared" ca="1" si="29"/>
        <v>S</v>
      </c>
      <c r="SC9" s="35" t="str">
        <f t="shared" ca="1" si="29"/>
        <v>M</v>
      </c>
      <c r="SD9" s="35" t="str">
        <f t="shared" ca="1" si="29"/>
        <v>T</v>
      </c>
      <c r="SE9" s="35" t="str">
        <f t="shared" ca="1" si="29"/>
        <v>W</v>
      </c>
      <c r="SF9" s="35" t="str">
        <f t="shared" ca="1" si="29"/>
        <v>T</v>
      </c>
      <c r="SG9" s="35" t="str">
        <f t="shared" ca="1" si="29"/>
        <v>F</v>
      </c>
      <c r="SH9" s="35" t="str">
        <f t="shared" ca="1" si="29"/>
        <v>S</v>
      </c>
      <c r="SI9" s="35" t="str">
        <f t="shared" ca="1" si="29"/>
        <v>S</v>
      </c>
      <c r="SJ9" s="35" t="str">
        <f t="shared" ca="1" si="29"/>
        <v>M</v>
      </c>
      <c r="SK9" s="35" t="str">
        <f t="shared" ca="1" si="29"/>
        <v>T</v>
      </c>
      <c r="SL9" s="35" t="str">
        <f t="shared" ca="1" si="29"/>
        <v>W</v>
      </c>
      <c r="SM9" s="35" t="str">
        <f t="shared" ca="1" si="29"/>
        <v>T</v>
      </c>
      <c r="SN9" s="35" t="str">
        <f t="shared" ca="1" si="29"/>
        <v>F</v>
      </c>
      <c r="SO9" s="35" t="str">
        <f t="shared" ca="1" si="29"/>
        <v>S</v>
      </c>
      <c r="SP9" s="35" t="str">
        <f t="shared" ref="SP9:VA9" ca="1" si="30">LEFT(TEXT(SP7,"ddd"),1)</f>
        <v>S</v>
      </c>
      <c r="SQ9" s="35" t="str">
        <f t="shared" ca="1" si="30"/>
        <v>M</v>
      </c>
      <c r="SR9" s="35" t="str">
        <f t="shared" ca="1" si="30"/>
        <v>T</v>
      </c>
      <c r="SS9" s="35" t="str">
        <f t="shared" ca="1" si="30"/>
        <v>W</v>
      </c>
      <c r="ST9" s="35" t="str">
        <f t="shared" ca="1" si="30"/>
        <v>T</v>
      </c>
      <c r="SU9" s="35" t="str">
        <f t="shared" ca="1" si="30"/>
        <v>F</v>
      </c>
      <c r="SV9" s="35" t="str">
        <f t="shared" ca="1" si="30"/>
        <v>S</v>
      </c>
      <c r="SW9" s="35" t="str">
        <f t="shared" ca="1" si="30"/>
        <v>S</v>
      </c>
      <c r="SX9" s="35" t="str">
        <f t="shared" ca="1" si="30"/>
        <v>M</v>
      </c>
      <c r="SY9" s="35" t="str">
        <f t="shared" ca="1" si="30"/>
        <v>T</v>
      </c>
      <c r="SZ9" s="35" t="str">
        <f t="shared" ca="1" si="30"/>
        <v>W</v>
      </c>
      <c r="TA9" s="35" t="str">
        <f t="shared" ca="1" si="30"/>
        <v>T</v>
      </c>
      <c r="TB9" s="35" t="str">
        <f t="shared" ca="1" si="30"/>
        <v>F</v>
      </c>
      <c r="TC9" s="35" t="str">
        <f t="shared" ca="1" si="30"/>
        <v>S</v>
      </c>
      <c r="TD9" s="35" t="str">
        <f t="shared" ca="1" si="30"/>
        <v>S</v>
      </c>
      <c r="TE9" s="35" t="str">
        <f t="shared" ca="1" si="30"/>
        <v>M</v>
      </c>
      <c r="TF9" s="35" t="str">
        <f t="shared" ca="1" si="30"/>
        <v>T</v>
      </c>
      <c r="TG9" s="35" t="str">
        <f t="shared" ca="1" si="30"/>
        <v>W</v>
      </c>
      <c r="TH9" s="35" t="str">
        <f t="shared" ca="1" si="30"/>
        <v>T</v>
      </c>
      <c r="TI9" s="35" t="str">
        <f t="shared" ca="1" si="30"/>
        <v>F</v>
      </c>
      <c r="TJ9" s="35" t="str">
        <f t="shared" ca="1" si="30"/>
        <v>S</v>
      </c>
      <c r="TK9" s="35" t="str">
        <f t="shared" ca="1" si="30"/>
        <v>S</v>
      </c>
      <c r="TL9" s="35" t="str">
        <f t="shared" ca="1" si="30"/>
        <v>M</v>
      </c>
      <c r="TM9" s="35" t="str">
        <f t="shared" ca="1" si="30"/>
        <v>T</v>
      </c>
      <c r="TN9" s="35" t="str">
        <f t="shared" ca="1" si="30"/>
        <v>W</v>
      </c>
      <c r="TO9" s="35" t="str">
        <f t="shared" ca="1" si="30"/>
        <v>T</v>
      </c>
      <c r="TP9" s="35" t="str">
        <f t="shared" ca="1" si="30"/>
        <v>F</v>
      </c>
      <c r="TQ9" s="35" t="str">
        <f t="shared" ca="1" si="30"/>
        <v>S</v>
      </c>
      <c r="TR9" s="35" t="str">
        <f t="shared" ca="1" si="30"/>
        <v>S</v>
      </c>
      <c r="TS9" s="35" t="str">
        <f t="shared" ca="1" si="30"/>
        <v>M</v>
      </c>
      <c r="TT9" s="35" t="str">
        <f t="shared" ca="1" si="30"/>
        <v>T</v>
      </c>
      <c r="TU9" s="35" t="str">
        <f t="shared" ca="1" si="30"/>
        <v>W</v>
      </c>
      <c r="TV9" s="35" t="str">
        <f t="shared" ca="1" si="30"/>
        <v>T</v>
      </c>
      <c r="TW9" s="35" t="str">
        <f t="shared" ca="1" si="30"/>
        <v>F</v>
      </c>
      <c r="TX9" s="35" t="str">
        <f t="shared" ca="1" si="30"/>
        <v>S</v>
      </c>
      <c r="TY9" s="35" t="str">
        <f t="shared" ca="1" si="30"/>
        <v>S</v>
      </c>
      <c r="TZ9" s="35" t="str">
        <f t="shared" ca="1" si="30"/>
        <v>M</v>
      </c>
      <c r="UA9" s="35" t="str">
        <f t="shared" ca="1" si="30"/>
        <v>T</v>
      </c>
      <c r="UB9" s="35" t="str">
        <f t="shared" ca="1" si="30"/>
        <v>W</v>
      </c>
      <c r="UC9" s="35" t="str">
        <f t="shared" ca="1" si="30"/>
        <v>T</v>
      </c>
      <c r="UD9" s="35" t="str">
        <f t="shared" ca="1" si="30"/>
        <v>F</v>
      </c>
      <c r="UE9" s="35" t="str">
        <f t="shared" ca="1" si="30"/>
        <v>S</v>
      </c>
      <c r="UF9" s="35" t="str">
        <f t="shared" ca="1" si="30"/>
        <v>S</v>
      </c>
      <c r="UG9" s="35" t="str">
        <f t="shared" ca="1" si="30"/>
        <v>M</v>
      </c>
      <c r="UH9" s="35" t="str">
        <f t="shared" ca="1" si="30"/>
        <v>T</v>
      </c>
      <c r="UI9" s="35" t="str">
        <f t="shared" ca="1" si="30"/>
        <v>W</v>
      </c>
      <c r="UJ9" s="35" t="str">
        <f t="shared" ca="1" si="30"/>
        <v>T</v>
      </c>
      <c r="UK9" s="35" t="str">
        <f t="shared" ca="1" si="30"/>
        <v>F</v>
      </c>
      <c r="UL9" s="35" t="str">
        <f t="shared" ca="1" si="30"/>
        <v>S</v>
      </c>
      <c r="UM9" s="35" t="str">
        <f t="shared" ca="1" si="30"/>
        <v>S</v>
      </c>
      <c r="UN9" s="35" t="str">
        <f t="shared" ca="1" si="30"/>
        <v>M</v>
      </c>
      <c r="UO9" s="35" t="str">
        <f t="shared" ca="1" si="30"/>
        <v>T</v>
      </c>
      <c r="UP9" s="35" t="str">
        <f t="shared" ca="1" si="30"/>
        <v>W</v>
      </c>
      <c r="UQ9" s="35" t="str">
        <f t="shared" ca="1" si="30"/>
        <v>T</v>
      </c>
      <c r="UR9" s="35" t="str">
        <f t="shared" ca="1" si="30"/>
        <v>F</v>
      </c>
      <c r="US9" s="35" t="str">
        <f t="shared" ca="1" si="30"/>
        <v>S</v>
      </c>
      <c r="UT9" s="35" t="str">
        <f t="shared" ca="1" si="30"/>
        <v>S</v>
      </c>
      <c r="UU9" s="35" t="str">
        <f t="shared" ca="1" si="30"/>
        <v>M</v>
      </c>
      <c r="UV9" s="35" t="str">
        <f t="shared" ca="1" si="30"/>
        <v>T</v>
      </c>
      <c r="UW9" s="35" t="str">
        <f t="shared" ca="1" si="30"/>
        <v>W</v>
      </c>
      <c r="UX9" s="35" t="str">
        <f t="shared" ca="1" si="30"/>
        <v>T</v>
      </c>
      <c r="UY9" s="35" t="str">
        <f t="shared" ca="1" si="30"/>
        <v>F</v>
      </c>
      <c r="UZ9" s="35" t="str">
        <f t="shared" ca="1" si="30"/>
        <v>S</v>
      </c>
      <c r="VA9" s="35" t="str">
        <f t="shared" ca="1" si="30"/>
        <v>S</v>
      </c>
      <c r="VB9" s="35" t="str">
        <f t="shared" ref="VB9:VS9" ca="1" si="31">LEFT(TEXT(VB7,"ddd"),1)</f>
        <v>M</v>
      </c>
      <c r="VC9" s="35" t="str">
        <f t="shared" ca="1" si="31"/>
        <v>T</v>
      </c>
      <c r="VD9" s="35" t="str">
        <f t="shared" ca="1" si="31"/>
        <v>W</v>
      </c>
      <c r="VE9" s="35" t="str">
        <f t="shared" ca="1" si="31"/>
        <v>T</v>
      </c>
      <c r="VF9" s="35" t="str">
        <f t="shared" ca="1" si="31"/>
        <v>F</v>
      </c>
      <c r="VG9" s="35" t="str">
        <f t="shared" ca="1" si="31"/>
        <v>S</v>
      </c>
      <c r="VH9" s="35" t="str">
        <f t="shared" ca="1" si="31"/>
        <v>S</v>
      </c>
      <c r="VI9" s="35" t="str">
        <f t="shared" ca="1" si="31"/>
        <v>M</v>
      </c>
      <c r="VJ9" s="35" t="str">
        <f t="shared" ca="1" si="31"/>
        <v>T</v>
      </c>
      <c r="VK9" s="35" t="str">
        <f t="shared" ca="1" si="31"/>
        <v>W</v>
      </c>
      <c r="VL9" s="35" t="str">
        <f t="shared" ca="1" si="31"/>
        <v>T</v>
      </c>
      <c r="VM9" s="35" t="str">
        <f t="shared" ca="1" si="31"/>
        <v>F</v>
      </c>
      <c r="VN9" s="35" t="str">
        <f t="shared" ca="1" si="31"/>
        <v>S</v>
      </c>
      <c r="VO9" s="35" t="str">
        <f t="shared" ca="1" si="31"/>
        <v>S</v>
      </c>
      <c r="VP9" s="35" t="str">
        <f t="shared" ca="1" si="31"/>
        <v>M</v>
      </c>
      <c r="VQ9" s="35" t="str">
        <f t="shared" ca="1" si="31"/>
        <v>T</v>
      </c>
      <c r="VR9" s="35" t="str">
        <f t="shared" ca="1" si="31"/>
        <v>W</v>
      </c>
      <c r="VS9" s="35" t="str">
        <f t="shared" ca="1" si="31"/>
        <v>T</v>
      </c>
    </row>
    <row r="10" spans="1:591" ht="30" hidden="1" customHeight="1" thickBot="1" x14ac:dyDescent="0.35">
      <c r="B10" s="34"/>
      <c r="C10" s="32"/>
      <c r="D10" s="33"/>
      <c r="E10" s="32"/>
      <c r="F10" s="31"/>
      <c r="G10" s="31">
        <f>Milestones43524[[#This Row],[Start]]+Milestones43524[[#This Row],[Days]]</f>
        <v>0</v>
      </c>
      <c r="H10" s="30"/>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row>
    <row r="11" spans="1:591" s="80" customFormat="1" ht="21.6" customHeight="1" x14ac:dyDescent="0.3">
      <c r="A11" s="82"/>
      <c r="B11" s="84" t="str">
        <f>'CoS Tracker'!B8</f>
        <v>0701S</v>
      </c>
      <c r="C11" s="76"/>
      <c r="D11" s="76"/>
      <c r="E11" s="77"/>
      <c r="F11" s="78"/>
      <c r="G11" s="78"/>
      <c r="H11" s="79"/>
      <c r="I11" s="76"/>
      <c r="J11" s="76" t="str">
        <f t="shared" ref="J11:Y20" ca="1" si="32">IF(AND($C11="Goal",J$7&gt;=$F11,J$7&lt;=$F11+$H11-1),2,IF(AND($C11="Milestone",J$7&gt;=$F11,J$7&lt;=$F11+$H11-1),1,""))</f>
        <v/>
      </c>
      <c r="K11" s="76" t="str">
        <f t="shared" ca="1" si="32"/>
        <v/>
      </c>
      <c r="L11" s="76" t="str">
        <f t="shared" ca="1" si="32"/>
        <v/>
      </c>
      <c r="M11" s="76" t="str">
        <f t="shared" ca="1" si="32"/>
        <v/>
      </c>
      <c r="N11" s="76" t="str">
        <f t="shared" ca="1" si="32"/>
        <v/>
      </c>
      <c r="O11" s="76" t="str">
        <f t="shared" ca="1" si="32"/>
        <v/>
      </c>
      <c r="P11" s="76" t="str">
        <f t="shared" ca="1" si="32"/>
        <v/>
      </c>
      <c r="Q11" s="76" t="str">
        <f t="shared" ca="1" si="32"/>
        <v/>
      </c>
      <c r="R11" s="76" t="str">
        <f t="shared" ca="1" si="32"/>
        <v/>
      </c>
      <c r="S11" s="76" t="str">
        <f t="shared" ca="1" si="32"/>
        <v/>
      </c>
      <c r="T11" s="76" t="str">
        <f t="shared" ca="1" si="32"/>
        <v/>
      </c>
      <c r="U11" s="76" t="str">
        <f t="shared" ca="1" si="32"/>
        <v/>
      </c>
      <c r="V11" s="76" t="str">
        <f t="shared" ca="1" si="32"/>
        <v/>
      </c>
      <c r="W11" s="76" t="str">
        <f t="shared" ca="1" si="32"/>
        <v/>
      </c>
      <c r="X11" s="76" t="str">
        <f t="shared" ca="1" si="32"/>
        <v/>
      </c>
      <c r="Y11" s="76" t="str">
        <f t="shared" ca="1" si="32"/>
        <v/>
      </c>
      <c r="Z11" s="76" t="str">
        <f t="shared" ref="Z11:AO20" ca="1" si="33">IF(AND($C11="Goal",Z$7&gt;=$F11,Z$7&lt;=$F11+$H11-1),2,IF(AND($C11="Milestone",Z$7&gt;=$F11,Z$7&lt;=$F11+$H11-1),1,""))</f>
        <v/>
      </c>
      <c r="AA11" s="76" t="str">
        <f t="shared" ca="1" si="33"/>
        <v/>
      </c>
      <c r="AB11" s="76" t="str">
        <f t="shared" ca="1" si="33"/>
        <v/>
      </c>
      <c r="AC11" s="76" t="str">
        <f t="shared" ca="1" si="33"/>
        <v/>
      </c>
      <c r="AD11" s="76" t="str">
        <f t="shared" ca="1" si="33"/>
        <v/>
      </c>
      <c r="AE11" s="76" t="str">
        <f t="shared" ca="1" si="33"/>
        <v/>
      </c>
      <c r="AF11" s="76" t="str">
        <f t="shared" ca="1" si="33"/>
        <v/>
      </c>
      <c r="AG11" s="76" t="str">
        <f t="shared" ca="1" si="33"/>
        <v/>
      </c>
      <c r="AH11" s="76" t="str">
        <f t="shared" ca="1" si="33"/>
        <v/>
      </c>
      <c r="AI11" s="76" t="str">
        <f t="shared" ca="1" si="33"/>
        <v/>
      </c>
      <c r="AJ11" s="76" t="str">
        <f t="shared" ca="1" si="33"/>
        <v/>
      </c>
      <c r="AK11" s="76" t="str">
        <f t="shared" ca="1" si="33"/>
        <v/>
      </c>
      <c r="AL11" s="76" t="str">
        <f t="shared" ca="1" si="33"/>
        <v/>
      </c>
      <c r="AM11" s="76" t="str">
        <f t="shared" ca="1" si="33"/>
        <v/>
      </c>
      <c r="AN11" s="76" t="str">
        <f t="shared" ca="1" si="33"/>
        <v/>
      </c>
      <c r="AO11" s="76" t="str">
        <f t="shared" ca="1" si="33"/>
        <v/>
      </c>
      <c r="AP11" s="76" t="str">
        <f t="shared" ref="AP11:BE20" ca="1" si="34">IF(AND($C11="Goal",AP$7&gt;=$F11,AP$7&lt;=$F11+$H11-1),2,IF(AND($C11="Milestone",AP$7&gt;=$F11,AP$7&lt;=$F11+$H11-1),1,""))</f>
        <v/>
      </c>
      <c r="AQ11" s="76" t="str">
        <f t="shared" ca="1" si="34"/>
        <v/>
      </c>
      <c r="AR11" s="76" t="str">
        <f t="shared" ca="1" si="34"/>
        <v/>
      </c>
      <c r="AS11" s="76" t="str">
        <f t="shared" ca="1" si="34"/>
        <v/>
      </c>
      <c r="AT11" s="76" t="str">
        <f t="shared" ca="1" si="34"/>
        <v/>
      </c>
      <c r="AU11" s="76" t="str">
        <f t="shared" ca="1" si="34"/>
        <v/>
      </c>
      <c r="AV11" s="76" t="str">
        <f t="shared" ca="1" si="34"/>
        <v/>
      </c>
      <c r="AW11" s="76" t="str">
        <f t="shared" ca="1" si="34"/>
        <v/>
      </c>
      <c r="AX11" s="76" t="str">
        <f t="shared" ca="1" si="34"/>
        <v/>
      </c>
      <c r="AY11" s="76" t="str">
        <f t="shared" ca="1" si="34"/>
        <v/>
      </c>
      <c r="AZ11" s="76" t="str">
        <f t="shared" ca="1" si="34"/>
        <v/>
      </c>
      <c r="BA11" s="76" t="str">
        <f t="shared" ca="1" si="34"/>
        <v/>
      </c>
      <c r="BB11" s="76" t="str">
        <f t="shared" ca="1" si="34"/>
        <v/>
      </c>
      <c r="BC11" s="76" t="str">
        <f t="shared" ca="1" si="34"/>
        <v/>
      </c>
      <c r="BD11" s="76" t="str">
        <f t="shared" ca="1" si="34"/>
        <v/>
      </c>
      <c r="BE11" s="76" t="str">
        <f t="shared" ca="1" si="34"/>
        <v/>
      </c>
      <c r="BF11" s="76" t="str">
        <f t="shared" ref="BF11:BU20" ca="1" si="35">IF(AND($C11="Goal",BF$7&gt;=$F11,BF$7&lt;=$F11+$H11-1),2,IF(AND($C11="Milestone",BF$7&gt;=$F11,BF$7&lt;=$F11+$H11-1),1,""))</f>
        <v/>
      </c>
      <c r="BG11" s="76" t="str">
        <f t="shared" ca="1" si="35"/>
        <v/>
      </c>
      <c r="BH11" s="76" t="str">
        <f t="shared" ca="1" si="35"/>
        <v/>
      </c>
      <c r="BI11" s="76" t="str">
        <f t="shared" ca="1" si="35"/>
        <v/>
      </c>
      <c r="BJ11" s="76" t="str">
        <f t="shared" ca="1" si="35"/>
        <v/>
      </c>
      <c r="BK11" s="76" t="str">
        <f t="shared" ca="1" si="35"/>
        <v/>
      </c>
      <c r="BL11" s="76" t="str">
        <f t="shared" ca="1" si="35"/>
        <v/>
      </c>
      <c r="BM11" s="76" t="str">
        <f t="shared" ca="1" si="35"/>
        <v/>
      </c>
      <c r="BN11" s="76" t="str">
        <f t="shared" ca="1" si="35"/>
        <v/>
      </c>
      <c r="BO11" s="76" t="str">
        <f t="shared" ca="1" si="35"/>
        <v/>
      </c>
      <c r="BP11" s="76" t="str">
        <f t="shared" ca="1" si="35"/>
        <v/>
      </c>
      <c r="BQ11" s="76" t="str">
        <f t="shared" ca="1" si="35"/>
        <v/>
      </c>
      <c r="BR11" s="76" t="str">
        <f t="shared" ca="1" si="35"/>
        <v/>
      </c>
      <c r="BS11" s="76" t="str">
        <f t="shared" ca="1" si="35"/>
        <v/>
      </c>
      <c r="BT11" s="76" t="str">
        <f t="shared" ca="1" si="35"/>
        <v/>
      </c>
      <c r="BU11" s="76" t="str">
        <f t="shared" ca="1" si="35"/>
        <v/>
      </c>
      <c r="BV11" s="76" t="str">
        <f t="shared" ref="BV11:CK20" ca="1" si="36">IF(AND($C11="Goal",BV$7&gt;=$F11,BV$7&lt;=$F11+$H11-1),2,IF(AND($C11="Milestone",BV$7&gt;=$F11,BV$7&lt;=$F11+$H11-1),1,""))</f>
        <v/>
      </c>
      <c r="BW11" s="76" t="str">
        <f t="shared" ca="1" si="36"/>
        <v/>
      </c>
      <c r="BX11" s="76" t="str">
        <f t="shared" ca="1" si="36"/>
        <v/>
      </c>
      <c r="BY11" s="76" t="str">
        <f t="shared" ca="1" si="36"/>
        <v/>
      </c>
      <c r="BZ11" s="76" t="str">
        <f t="shared" ca="1" si="36"/>
        <v/>
      </c>
      <c r="CA11" s="76" t="str">
        <f t="shared" ca="1" si="36"/>
        <v/>
      </c>
      <c r="CB11" s="76" t="str">
        <f t="shared" ca="1" si="36"/>
        <v/>
      </c>
      <c r="CC11" s="76" t="str">
        <f t="shared" ca="1" si="36"/>
        <v/>
      </c>
      <c r="CD11" s="76" t="str">
        <f t="shared" ca="1" si="36"/>
        <v/>
      </c>
      <c r="CE11" s="76" t="str">
        <f t="shared" ca="1" si="36"/>
        <v/>
      </c>
      <c r="CF11" s="76" t="str">
        <f t="shared" ca="1" si="36"/>
        <v/>
      </c>
      <c r="CG11" s="76" t="str">
        <f t="shared" ca="1" si="36"/>
        <v/>
      </c>
      <c r="CH11" s="76" t="str">
        <f t="shared" ca="1" si="36"/>
        <v/>
      </c>
      <c r="CI11" s="76" t="str">
        <f t="shared" ca="1" si="36"/>
        <v/>
      </c>
      <c r="CJ11" s="76" t="str">
        <f t="shared" ca="1" si="36"/>
        <v/>
      </c>
      <c r="CK11" s="76" t="str">
        <f t="shared" ca="1" si="36"/>
        <v/>
      </c>
      <c r="CL11" s="76" t="str">
        <f t="shared" ref="CL11:DA20" ca="1" si="37">IF(AND($C11="Goal",CL$7&gt;=$F11,CL$7&lt;=$F11+$H11-1),2,IF(AND($C11="Milestone",CL$7&gt;=$F11,CL$7&lt;=$F11+$H11-1),1,""))</f>
        <v/>
      </c>
      <c r="CM11" s="76" t="str">
        <f t="shared" ca="1" si="37"/>
        <v/>
      </c>
      <c r="CN11" s="76" t="str">
        <f t="shared" ca="1" si="37"/>
        <v/>
      </c>
      <c r="CO11" s="76" t="str">
        <f t="shared" ca="1" si="37"/>
        <v/>
      </c>
      <c r="CP11" s="76" t="str">
        <f t="shared" ca="1" si="37"/>
        <v/>
      </c>
      <c r="CQ11" s="76" t="str">
        <f t="shared" ca="1" si="37"/>
        <v/>
      </c>
      <c r="CR11" s="76" t="str">
        <f t="shared" ca="1" si="37"/>
        <v/>
      </c>
      <c r="CS11" s="76" t="str">
        <f t="shared" ca="1" si="37"/>
        <v/>
      </c>
      <c r="CT11" s="76" t="str">
        <f t="shared" ca="1" si="37"/>
        <v/>
      </c>
      <c r="CU11" s="76" t="str">
        <f t="shared" ca="1" si="37"/>
        <v/>
      </c>
      <c r="CV11" s="76" t="str">
        <f t="shared" ca="1" si="37"/>
        <v/>
      </c>
      <c r="CW11" s="76" t="str">
        <f t="shared" ca="1" si="37"/>
        <v/>
      </c>
      <c r="CX11" s="76" t="str">
        <f t="shared" ca="1" si="37"/>
        <v/>
      </c>
      <c r="CY11" s="76" t="str">
        <f t="shared" ca="1" si="37"/>
        <v/>
      </c>
      <c r="CZ11" s="76" t="str">
        <f t="shared" ca="1" si="37"/>
        <v/>
      </c>
      <c r="DA11" s="76" t="str">
        <f t="shared" ca="1" si="37"/>
        <v/>
      </c>
      <c r="DB11" s="76" t="str">
        <f t="shared" ref="DB11:DQ20" ca="1" si="38">IF(AND($C11="Goal",DB$7&gt;=$F11,DB$7&lt;=$F11+$H11-1),2,IF(AND($C11="Milestone",DB$7&gt;=$F11,DB$7&lt;=$F11+$H11-1),1,""))</f>
        <v/>
      </c>
      <c r="DC11" s="76" t="str">
        <f t="shared" ca="1" si="38"/>
        <v/>
      </c>
      <c r="DD11" s="76" t="str">
        <f t="shared" ca="1" si="38"/>
        <v/>
      </c>
      <c r="DE11" s="76" t="str">
        <f t="shared" ca="1" si="38"/>
        <v/>
      </c>
      <c r="DF11" s="76" t="str">
        <f t="shared" ca="1" si="38"/>
        <v/>
      </c>
      <c r="DG11" s="76" t="str">
        <f t="shared" ca="1" si="38"/>
        <v/>
      </c>
      <c r="DH11" s="76" t="str">
        <f t="shared" ca="1" si="38"/>
        <v/>
      </c>
      <c r="DI11" s="76" t="str">
        <f t="shared" ca="1" si="38"/>
        <v/>
      </c>
      <c r="DJ11" s="76" t="str">
        <f t="shared" ca="1" si="38"/>
        <v/>
      </c>
      <c r="DK11" s="76" t="str">
        <f t="shared" ca="1" si="38"/>
        <v/>
      </c>
      <c r="DL11" s="76" t="str">
        <f t="shared" ca="1" si="38"/>
        <v/>
      </c>
      <c r="DM11" s="76" t="str">
        <f t="shared" ca="1" si="38"/>
        <v/>
      </c>
      <c r="DN11" s="76" t="str">
        <f t="shared" ca="1" si="38"/>
        <v/>
      </c>
      <c r="DO11" s="76" t="str">
        <f t="shared" ca="1" si="38"/>
        <v/>
      </c>
      <c r="DP11" s="76" t="str">
        <f t="shared" ca="1" si="38"/>
        <v/>
      </c>
      <c r="DQ11" s="76" t="str">
        <f t="shared" ca="1" si="38"/>
        <v/>
      </c>
      <c r="DR11" s="76" t="str">
        <f t="shared" ref="DR11:EG20" ca="1" si="39">IF(AND($C11="Goal",DR$7&gt;=$F11,DR$7&lt;=$F11+$H11-1),2,IF(AND($C11="Milestone",DR$7&gt;=$F11,DR$7&lt;=$F11+$H11-1),1,""))</f>
        <v/>
      </c>
      <c r="DS11" s="76" t="str">
        <f t="shared" ca="1" si="39"/>
        <v/>
      </c>
      <c r="DT11" s="76" t="str">
        <f t="shared" ca="1" si="39"/>
        <v/>
      </c>
      <c r="DU11" s="76" t="str">
        <f t="shared" ca="1" si="39"/>
        <v/>
      </c>
      <c r="DV11" s="76" t="str">
        <f t="shared" ca="1" si="39"/>
        <v/>
      </c>
      <c r="DW11" s="76" t="str">
        <f t="shared" ca="1" si="39"/>
        <v/>
      </c>
      <c r="DX11" s="76" t="str">
        <f t="shared" ca="1" si="39"/>
        <v/>
      </c>
      <c r="DY11" s="76" t="str">
        <f t="shared" ca="1" si="39"/>
        <v/>
      </c>
      <c r="DZ11" s="76" t="str">
        <f t="shared" ca="1" si="39"/>
        <v/>
      </c>
      <c r="EA11" s="76" t="str">
        <f t="shared" ca="1" si="39"/>
        <v/>
      </c>
      <c r="EB11" s="76" t="str">
        <f t="shared" ca="1" si="39"/>
        <v/>
      </c>
      <c r="EC11" s="76" t="str">
        <f t="shared" ca="1" si="39"/>
        <v/>
      </c>
      <c r="ED11" s="76" t="str">
        <f t="shared" ca="1" si="39"/>
        <v/>
      </c>
      <c r="EE11" s="76" t="str">
        <f t="shared" ca="1" si="39"/>
        <v/>
      </c>
      <c r="EF11" s="76" t="str">
        <f t="shared" ca="1" si="39"/>
        <v/>
      </c>
      <c r="EG11" s="76" t="str">
        <f t="shared" ca="1" si="39"/>
        <v/>
      </c>
      <c r="EH11" s="76" t="str">
        <f t="shared" ref="EH11:EW20" ca="1" si="40">IF(AND($C11="Goal",EH$7&gt;=$F11,EH$7&lt;=$F11+$H11-1),2,IF(AND($C11="Milestone",EH$7&gt;=$F11,EH$7&lt;=$F11+$H11-1),1,""))</f>
        <v/>
      </c>
      <c r="EI11" s="76" t="str">
        <f t="shared" ca="1" si="40"/>
        <v/>
      </c>
      <c r="EJ11" s="76" t="str">
        <f t="shared" ca="1" si="40"/>
        <v/>
      </c>
      <c r="EK11" s="76" t="str">
        <f t="shared" ca="1" si="40"/>
        <v/>
      </c>
      <c r="EL11" s="76" t="str">
        <f t="shared" ca="1" si="40"/>
        <v/>
      </c>
      <c r="EM11" s="76" t="str">
        <f t="shared" ca="1" si="40"/>
        <v/>
      </c>
      <c r="EN11" s="76" t="str">
        <f t="shared" ca="1" si="40"/>
        <v/>
      </c>
      <c r="EO11" s="76" t="str">
        <f t="shared" ca="1" si="40"/>
        <v/>
      </c>
      <c r="EP11" s="76" t="str">
        <f t="shared" ca="1" si="40"/>
        <v/>
      </c>
      <c r="EQ11" s="76" t="str">
        <f t="shared" ca="1" si="40"/>
        <v/>
      </c>
      <c r="ER11" s="76" t="str">
        <f t="shared" ca="1" si="40"/>
        <v/>
      </c>
      <c r="ES11" s="76" t="str">
        <f t="shared" ca="1" si="40"/>
        <v/>
      </c>
      <c r="ET11" s="76" t="str">
        <f t="shared" ca="1" si="40"/>
        <v/>
      </c>
      <c r="EU11" s="76" t="str">
        <f t="shared" ca="1" si="40"/>
        <v/>
      </c>
      <c r="EV11" s="76" t="str">
        <f t="shared" ca="1" si="40"/>
        <v/>
      </c>
      <c r="EW11" s="76" t="str">
        <f t="shared" ca="1" si="40"/>
        <v/>
      </c>
      <c r="EX11" s="76" t="str">
        <f t="shared" ref="EX11:FM20" ca="1" si="41">IF(AND($C11="Goal",EX$7&gt;=$F11,EX$7&lt;=$F11+$H11-1),2,IF(AND($C11="Milestone",EX$7&gt;=$F11,EX$7&lt;=$F11+$H11-1),1,""))</f>
        <v/>
      </c>
      <c r="EY11" s="76" t="str">
        <f t="shared" ca="1" si="41"/>
        <v/>
      </c>
      <c r="EZ11" s="76" t="str">
        <f t="shared" ca="1" si="41"/>
        <v/>
      </c>
      <c r="FA11" s="76" t="str">
        <f t="shared" ca="1" si="41"/>
        <v/>
      </c>
      <c r="FB11" s="76" t="str">
        <f t="shared" ca="1" si="41"/>
        <v/>
      </c>
      <c r="FC11" s="76" t="str">
        <f t="shared" ca="1" si="41"/>
        <v/>
      </c>
      <c r="FD11" s="76" t="str">
        <f t="shared" ca="1" si="41"/>
        <v/>
      </c>
      <c r="FE11" s="76" t="str">
        <f t="shared" ca="1" si="41"/>
        <v/>
      </c>
      <c r="FF11" s="76" t="str">
        <f t="shared" ca="1" si="41"/>
        <v/>
      </c>
      <c r="FG11" s="76" t="str">
        <f t="shared" ca="1" si="41"/>
        <v/>
      </c>
      <c r="FH11" s="76" t="str">
        <f t="shared" ca="1" si="41"/>
        <v/>
      </c>
      <c r="FI11" s="76" t="str">
        <f t="shared" ca="1" si="41"/>
        <v/>
      </c>
      <c r="FJ11" s="76" t="str">
        <f t="shared" ca="1" si="41"/>
        <v/>
      </c>
      <c r="FK11" s="76" t="str">
        <f t="shared" ca="1" si="41"/>
        <v/>
      </c>
      <c r="FL11" s="76" t="str">
        <f t="shared" ca="1" si="41"/>
        <v/>
      </c>
      <c r="FM11" s="76" t="str">
        <f t="shared" ca="1" si="41"/>
        <v/>
      </c>
      <c r="FN11" s="76" t="str">
        <f t="shared" ref="FN11:GC20" ca="1" si="42">IF(AND($C11="Goal",FN$7&gt;=$F11,FN$7&lt;=$F11+$H11-1),2,IF(AND($C11="Milestone",FN$7&gt;=$F11,FN$7&lt;=$F11+$H11-1),1,""))</f>
        <v/>
      </c>
      <c r="FO11" s="76" t="str">
        <f t="shared" ca="1" si="42"/>
        <v/>
      </c>
      <c r="FP11" s="76" t="str">
        <f t="shared" ca="1" si="42"/>
        <v/>
      </c>
      <c r="FQ11" s="76" t="str">
        <f t="shared" ca="1" si="42"/>
        <v/>
      </c>
      <c r="FR11" s="76" t="str">
        <f t="shared" ca="1" si="42"/>
        <v/>
      </c>
      <c r="FS11" s="76" t="str">
        <f t="shared" ca="1" si="42"/>
        <v/>
      </c>
      <c r="FT11" s="76" t="str">
        <f t="shared" ca="1" si="42"/>
        <v/>
      </c>
      <c r="FU11" s="76" t="str">
        <f t="shared" ca="1" si="42"/>
        <v/>
      </c>
      <c r="FV11" s="76" t="str">
        <f t="shared" ca="1" si="42"/>
        <v/>
      </c>
      <c r="FW11" s="76" t="str">
        <f t="shared" ca="1" si="42"/>
        <v/>
      </c>
      <c r="FX11" s="76" t="str">
        <f t="shared" ca="1" si="42"/>
        <v/>
      </c>
      <c r="FY11" s="76" t="str">
        <f t="shared" ca="1" si="42"/>
        <v/>
      </c>
      <c r="FZ11" s="76" t="str">
        <f t="shared" ca="1" si="42"/>
        <v/>
      </c>
      <c r="GA11" s="76" t="str">
        <f t="shared" ca="1" si="42"/>
        <v/>
      </c>
      <c r="GB11" s="76" t="str">
        <f t="shared" ca="1" si="42"/>
        <v/>
      </c>
      <c r="GC11" s="76" t="str">
        <f t="shared" ca="1" si="42"/>
        <v/>
      </c>
      <c r="GD11" s="76" t="str">
        <f t="shared" ref="GD11:GS20" ca="1" si="43">IF(AND($C11="Goal",GD$7&gt;=$F11,GD$7&lt;=$F11+$H11-1),2,IF(AND($C11="Milestone",GD$7&gt;=$F11,GD$7&lt;=$F11+$H11-1),1,""))</f>
        <v/>
      </c>
      <c r="GE11" s="76" t="str">
        <f t="shared" ca="1" si="43"/>
        <v/>
      </c>
      <c r="GF11" s="76" t="str">
        <f t="shared" ca="1" si="43"/>
        <v/>
      </c>
      <c r="GG11" s="76" t="str">
        <f t="shared" ca="1" si="43"/>
        <v/>
      </c>
      <c r="GH11" s="76" t="str">
        <f t="shared" ca="1" si="43"/>
        <v/>
      </c>
      <c r="GI11" s="76" t="str">
        <f t="shared" ca="1" si="43"/>
        <v/>
      </c>
      <c r="GJ11" s="76" t="str">
        <f t="shared" ca="1" si="43"/>
        <v/>
      </c>
      <c r="GK11" s="76" t="str">
        <f t="shared" ca="1" si="43"/>
        <v/>
      </c>
      <c r="GL11" s="76" t="str">
        <f t="shared" ca="1" si="43"/>
        <v/>
      </c>
      <c r="GM11" s="76" t="str">
        <f t="shared" ca="1" si="43"/>
        <v/>
      </c>
      <c r="GN11" s="76" t="str">
        <f t="shared" ca="1" si="43"/>
        <v/>
      </c>
      <c r="GO11" s="76" t="str">
        <f t="shared" ca="1" si="43"/>
        <v/>
      </c>
      <c r="GP11" s="76" t="str">
        <f t="shared" ca="1" si="43"/>
        <v/>
      </c>
      <c r="GQ11" s="76" t="str">
        <f t="shared" ca="1" si="43"/>
        <v/>
      </c>
      <c r="GR11" s="76" t="str">
        <f t="shared" ca="1" si="43"/>
        <v/>
      </c>
      <c r="GS11" s="76" t="str">
        <f t="shared" ca="1" si="43"/>
        <v/>
      </c>
      <c r="GT11" s="76" t="str">
        <f t="shared" ref="GT11:HI20" ca="1" si="44">IF(AND($C11="Goal",GT$7&gt;=$F11,GT$7&lt;=$F11+$H11-1),2,IF(AND($C11="Milestone",GT$7&gt;=$F11,GT$7&lt;=$F11+$H11-1),1,""))</f>
        <v/>
      </c>
      <c r="GU11" s="76" t="str">
        <f t="shared" ca="1" si="44"/>
        <v/>
      </c>
      <c r="GV11" s="76" t="str">
        <f t="shared" ca="1" si="44"/>
        <v/>
      </c>
      <c r="GW11" s="76" t="str">
        <f t="shared" ca="1" si="44"/>
        <v/>
      </c>
      <c r="GX11" s="76" t="str">
        <f t="shared" ca="1" si="44"/>
        <v/>
      </c>
      <c r="GY11" s="76" t="str">
        <f t="shared" ca="1" si="44"/>
        <v/>
      </c>
      <c r="GZ11" s="76" t="str">
        <f t="shared" ca="1" si="44"/>
        <v/>
      </c>
      <c r="HA11" s="76" t="str">
        <f t="shared" ca="1" si="44"/>
        <v/>
      </c>
      <c r="HB11" s="76" t="str">
        <f t="shared" ca="1" si="44"/>
        <v/>
      </c>
      <c r="HC11" s="76" t="str">
        <f t="shared" ca="1" si="44"/>
        <v/>
      </c>
      <c r="HD11" s="76" t="str">
        <f t="shared" ca="1" si="44"/>
        <v/>
      </c>
      <c r="HE11" s="76" t="str">
        <f t="shared" ca="1" si="44"/>
        <v/>
      </c>
      <c r="HF11" s="76" t="str">
        <f t="shared" ca="1" si="44"/>
        <v/>
      </c>
      <c r="HG11" s="76" t="str">
        <f t="shared" ca="1" si="44"/>
        <v/>
      </c>
      <c r="HH11" s="76" t="str">
        <f t="shared" ca="1" si="44"/>
        <v/>
      </c>
      <c r="HI11" s="76" t="str">
        <f t="shared" ca="1" si="44"/>
        <v/>
      </c>
      <c r="HJ11" s="76" t="str">
        <f t="shared" ref="HJ11:HY20" ca="1" si="45">IF(AND($C11="Goal",HJ$7&gt;=$F11,HJ$7&lt;=$F11+$H11-1),2,IF(AND($C11="Milestone",HJ$7&gt;=$F11,HJ$7&lt;=$F11+$H11-1),1,""))</f>
        <v/>
      </c>
      <c r="HK11" s="76" t="str">
        <f t="shared" ca="1" si="45"/>
        <v/>
      </c>
      <c r="HL11" s="76" t="str">
        <f t="shared" ca="1" si="45"/>
        <v/>
      </c>
      <c r="HM11" s="76" t="str">
        <f t="shared" ca="1" si="45"/>
        <v/>
      </c>
      <c r="HN11" s="76" t="str">
        <f t="shared" ca="1" si="45"/>
        <v/>
      </c>
      <c r="HO11" s="76" t="str">
        <f t="shared" ca="1" si="45"/>
        <v/>
      </c>
      <c r="HP11" s="76" t="str">
        <f t="shared" ca="1" si="45"/>
        <v/>
      </c>
      <c r="HQ11" s="76" t="str">
        <f t="shared" ca="1" si="45"/>
        <v/>
      </c>
      <c r="HR11" s="76" t="str">
        <f t="shared" ca="1" si="45"/>
        <v/>
      </c>
      <c r="HS11" s="76" t="str">
        <f t="shared" ca="1" si="45"/>
        <v/>
      </c>
      <c r="HT11" s="76" t="str">
        <f t="shared" ca="1" si="45"/>
        <v/>
      </c>
      <c r="HU11" s="76" t="str">
        <f t="shared" ca="1" si="45"/>
        <v/>
      </c>
      <c r="HV11" s="76" t="str">
        <f t="shared" ca="1" si="45"/>
        <v/>
      </c>
      <c r="HW11" s="76" t="str">
        <f t="shared" ca="1" si="45"/>
        <v/>
      </c>
      <c r="HX11" s="76" t="str">
        <f t="shared" ca="1" si="45"/>
        <v/>
      </c>
      <c r="HY11" s="76" t="str">
        <f t="shared" ca="1" si="45"/>
        <v/>
      </c>
      <c r="HZ11" s="76" t="str">
        <f t="shared" ref="HZ11:IO20" ca="1" si="46">IF(AND($C11="Goal",HZ$7&gt;=$F11,HZ$7&lt;=$F11+$H11-1),2,IF(AND($C11="Milestone",HZ$7&gt;=$F11,HZ$7&lt;=$F11+$H11-1),1,""))</f>
        <v/>
      </c>
      <c r="IA11" s="76" t="str">
        <f t="shared" ca="1" si="46"/>
        <v/>
      </c>
      <c r="IB11" s="76" t="str">
        <f t="shared" ca="1" si="46"/>
        <v/>
      </c>
      <c r="IC11" s="76" t="str">
        <f t="shared" ca="1" si="46"/>
        <v/>
      </c>
      <c r="ID11" s="76" t="str">
        <f t="shared" ca="1" si="46"/>
        <v/>
      </c>
      <c r="IE11" s="76" t="str">
        <f t="shared" ca="1" si="46"/>
        <v/>
      </c>
      <c r="IF11" s="76" t="str">
        <f t="shared" ca="1" si="46"/>
        <v/>
      </c>
      <c r="IG11" s="76" t="str">
        <f t="shared" ca="1" si="46"/>
        <v/>
      </c>
      <c r="IH11" s="76" t="str">
        <f t="shared" ca="1" si="46"/>
        <v/>
      </c>
      <c r="II11" s="76" t="str">
        <f t="shared" ca="1" si="46"/>
        <v/>
      </c>
      <c r="IJ11" s="76" t="str">
        <f t="shared" ca="1" si="46"/>
        <v/>
      </c>
      <c r="IK11" s="76" t="str">
        <f t="shared" ca="1" si="46"/>
        <v/>
      </c>
      <c r="IL11" s="76" t="str">
        <f t="shared" ca="1" si="46"/>
        <v/>
      </c>
      <c r="IM11" s="76" t="str">
        <f t="shared" ca="1" si="46"/>
        <v/>
      </c>
      <c r="IN11" s="76" t="str">
        <f t="shared" ca="1" si="46"/>
        <v/>
      </c>
      <c r="IO11" s="76" t="str">
        <f t="shared" ca="1" si="46"/>
        <v/>
      </c>
      <c r="IP11" s="76" t="str">
        <f t="shared" ref="IP11:JE20" ca="1" si="47">IF(AND($C11="Goal",IP$7&gt;=$F11,IP$7&lt;=$F11+$H11-1),2,IF(AND($C11="Milestone",IP$7&gt;=$F11,IP$7&lt;=$F11+$H11-1),1,""))</f>
        <v/>
      </c>
      <c r="IQ11" s="76" t="str">
        <f t="shared" ca="1" si="47"/>
        <v/>
      </c>
      <c r="IR11" s="76" t="str">
        <f t="shared" ca="1" si="47"/>
        <v/>
      </c>
      <c r="IS11" s="76" t="str">
        <f t="shared" ca="1" si="47"/>
        <v/>
      </c>
      <c r="IT11" s="76" t="str">
        <f t="shared" ca="1" si="47"/>
        <v/>
      </c>
      <c r="IU11" s="76" t="str">
        <f t="shared" ca="1" si="47"/>
        <v/>
      </c>
      <c r="IV11" s="76" t="str">
        <f t="shared" ca="1" si="47"/>
        <v/>
      </c>
      <c r="IW11" s="76" t="str">
        <f t="shared" ca="1" si="47"/>
        <v/>
      </c>
      <c r="IX11" s="76" t="str">
        <f t="shared" ca="1" si="47"/>
        <v/>
      </c>
      <c r="IY11" s="76" t="str">
        <f t="shared" ca="1" si="47"/>
        <v/>
      </c>
      <c r="IZ11" s="76" t="str">
        <f t="shared" ca="1" si="47"/>
        <v/>
      </c>
      <c r="JA11" s="76" t="str">
        <f t="shared" ca="1" si="47"/>
        <v/>
      </c>
      <c r="JB11" s="76" t="str">
        <f t="shared" ca="1" si="47"/>
        <v/>
      </c>
      <c r="JC11" s="76" t="str">
        <f t="shared" ca="1" si="47"/>
        <v/>
      </c>
      <c r="JD11" s="76" t="str">
        <f t="shared" ca="1" si="47"/>
        <v/>
      </c>
      <c r="JE11" s="76" t="str">
        <f t="shared" ca="1" si="47"/>
        <v/>
      </c>
      <c r="JF11" s="76" t="str">
        <f t="shared" ref="JF11:JU20" ca="1" si="48">IF(AND($C11="Goal",JF$7&gt;=$F11,JF$7&lt;=$F11+$H11-1),2,IF(AND($C11="Milestone",JF$7&gt;=$F11,JF$7&lt;=$F11+$H11-1),1,""))</f>
        <v/>
      </c>
      <c r="JG11" s="76" t="str">
        <f t="shared" ca="1" si="48"/>
        <v/>
      </c>
      <c r="JH11" s="76" t="str">
        <f t="shared" ca="1" si="48"/>
        <v/>
      </c>
      <c r="JI11" s="76" t="str">
        <f t="shared" ca="1" si="48"/>
        <v/>
      </c>
      <c r="JJ11" s="76" t="str">
        <f t="shared" ca="1" si="48"/>
        <v/>
      </c>
      <c r="JK11" s="76" t="str">
        <f t="shared" ca="1" si="48"/>
        <v/>
      </c>
      <c r="JL11" s="76" t="str">
        <f t="shared" ca="1" si="48"/>
        <v/>
      </c>
      <c r="JM11" s="76" t="str">
        <f t="shared" ca="1" si="48"/>
        <v/>
      </c>
      <c r="JN11" s="76" t="str">
        <f t="shared" ca="1" si="48"/>
        <v/>
      </c>
      <c r="JO11" s="76" t="str">
        <f t="shared" ca="1" si="48"/>
        <v/>
      </c>
      <c r="JP11" s="76" t="str">
        <f t="shared" ca="1" si="48"/>
        <v/>
      </c>
      <c r="JQ11" s="76" t="str">
        <f t="shared" ca="1" si="48"/>
        <v/>
      </c>
      <c r="JR11" s="76" t="str">
        <f t="shared" ca="1" si="48"/>
        <v/>
      </c>
      <c r="JS11" s="76" t="str">
        <f t="shared" ca="1" si="48"/>
        <v/>
      </c>
      <c r="JT11" s="76" t="str">
        <f t="shared" ca="1" si="48"/>
        <v/>
      </c>
      <c r="JU11" s="76" t="str">
        <f t="shared" ca="1" si="48"/>
        <v/>
      </c>
      <c r="JV11" s="76" t="str">
        <f t="shared" ref="JV11:KK20" ca="1" si="49">IF(AND($C11="Goal",JV$7&gt;=$F11,JV$7&lt;=$F11+$H11-1),2,IF(AND($C11="Milestone",JV$7&gt;=$F11,JV$7&lt;=$F11+$H11-1),1,""))</f>
        <v/>
      </c>
      <c r="JW11" s="76" t="str">
        <f t="shared" ca="1" si="49"/>
        <v/>
      </c>
      <c r="JX11" s="76" t="str">
        <f t="shared" ca="1" si="49"/>
        <v/>
      </c>
      <c r="JY11" s="76" t="str">
        <f t="shared" ca="1" si="49"/>
        <v/>
      </c>
      <c r="JZ11" s="76" t="str">
        <f t="shared" ca="1" si="49"/>
        <v/>
      </c>
      <c r="KA11" s="76" t="str">
        <f t="shared" ca="1" si="49"/>
        <v/>
      </c>
      <c r="KB11" s="76" t="str">
        <f t="shared" ca="1" si="49"/>
        <v/>
      </c>
      <c r="KC11" s="76" t="str">
        <f t="shared" ca="1" si="49"/>
        <v/>
      </c>
      <c r="KD11" s="76" t="str">
        <f t="shared" ca="1" si="49"/>
        <v/>
      </c>
      <c r="KE11" s="76" t="str">
        <f t="shared" ca="1" si="49"/>
        <v/>
      </c>
      <c r="KF11" s="76" t="str">
        <f t="shared" ca="1" si="49"/>
        <v/>
      </c>
      <c r="KG11" s="76" t="str">
        <f t="shared" ca="1" si="49"/>
        <v/>
      </c>
      <c r="KH11" s="76" t="str">
        <f t="shared" ca="1" si="49"/>
        <v/>
      </c>
      <c r="KI11" s="76" t="str">
        <f t="shared" ca="1" si="49"/>
        <v/>
      </c>
      <c r="KJ11" s="76" t="str">
        <f t="shared" ca="1" si="49"/>
        <v/>
      </c>
      <c r="KK11" s="76" t="str">
        <f t="shared" ca="1" si="49"/>
        <v/>
      </c>
      <c r="KL11" s="76" t="str">
        <f t="shared" ref="KL11:LA20" ca="1" si="50">IF(AND($C11="Goal",KL$7&gt;=$F11,KL$7&lt;=$F11+$H11-1),2,IF(AND($C11="Milestone",KL$7&gt;=$F11,KL$7&lt;=$F11+$H11-1),1,""))</f>
        <v/>
      </c>
      <c r="KM11" s="76" t="str">
        <f t="shared" ca="1" si="50"/>
        <v/>
      </c>
      <c r="KN11" s="76" t="str">
        <f t="shared" ca="1" si="50"/>
        <v/>
      </c>
      <c r="KO11" s="76" t="str">
        <f t="shared" ca="1" si="50"/>
        <v/>
      </c>
      <c r="KP11" s="76" t="str">
        <f t="shared" ca="1" si="50"/>
        <v/>
      </c>
      <c r="KQ11" s="76" t="str">
        <f t="shared" ca="1" si="50"/>
        <v/>
      </c>
      <c r="KR11" s="76" t="str">
        <f t="shared" ca="1" si="50"/>
        <v/>
      </c>
      <c r="KS11" s="76" t="str">
        <f t="shared" ca="1" si="50"/>
        <v/>
      </c>
      <c r="KT11" s="76" t="str">
        <f t="shared" ca="1" si="50"/>
        <v/>
      </c>
      <c r="KU11" s="76" t="str">
        <f t="shared" ca="1" si="50"/>
        <v/>
      </c>
      <c r="KV11" s="76" t="str">
        <f t="shared" ca="1" si="50"/>
        <v/>
      </c>
      <c r="KW11" s="76" t="str">
        <f t="shared" ca="1" si="50"/>
        <v/>
      </c>
      <c r="KX11" s="76" t="str">
        <f t="shared" ca="1" si="50"/>
        <v/>
      </c>
      <c r="KY11" s="76" t="str">
        <f t="shared" ca="1" si="50"/>
        <v/>
      </c>
      <c r="KZ11" s="76" t="str">
        <f t="shared" ca="1" si="50"/>
        <v/>
      </c>
      <c r="LA11" s="76" t="str">
        <f t="shared" ca="1" si="50"/>
        <v/>
      </c>
      <c r="LB11" s="76" t="str">
        <f t="shared" ref="LB11:LQ20" ca="1" si="51">IF(AND($C11="Goal",LB$7&gt;=$F11,LB$7&lt;=$F11+$H11-1),2,IF(AND($C11="Milestone",LB$7&gt;=$F11,LB$7&lt;=$F11+$H11-1),1,""))</f>
        <v/>
      </c>
      <c r="LC11" s="76" t="str">
        <f t="shared" ca="1" si="51"/>
        <v/>
      </c>
      <c r="LD11" s="76" t="str">
        <f t="shared" ca="1" si="51"/>
        <v/>
      </c>
      <c r="LE11" s="76" t="str">
        <f t="shared" ca="1" si="51"/>
        <v/>
      </c>
      <c r="LF11" s="76" t="str">
        <f t="shared" ca="1" si="51"/>
        <v/>
      </c>
      <c r="LG11" s="76" t="str">
        <f t="shared" ca="1" si="51"/>
        <v/>
      </c>
      <c r="LH11" s="76" t="str">
        <f t="shared" ca="1" si="51"/>
        <v/>
      </c>
      <c r="LI11" s="76" t="str">
        <f t="shared" ca="1" si="51"/>
        <v/>
      </c>
      <c r="LJ11" s="76" t="str">
        <f t="shared" ca="1" si="51"/>
        <v/>
      </c>
      <c r="LK11" s="76" t="str">
        <f t="shared" ca="1" si="51"/>
        <v/>
      </c>
      <c r="LL11" s="76" t="str">
        <f t="shared" ca="1" si="51"/>
        <v/>
      </c>
      <c r="LM11" s="76" t="str">
        <f t="shared" ca="1" si="51"/>
        <v/>
      </c>
      <c r="LN11" s="76" t="str">
        <f t="shared" ca="1" si="51"/>
        <v/>
      </c>
      <c r="LO11" s="76" t="str">
        <f t="shared" ca="1" si="51"/>
        <v/>
      </c>
      <c r="LP11" s="76" t="str">
        <f t="shared" ca="1" si="51"/>
        <v/>
      </c>
      <c r="LQ11" s="76" t="str">
        <f t="shared" ca="1" si="51"/>
        <v/>
      </c>
      <c r="LR11" s="76" t="str">
        <f t="shared" ref="LR11:MG20" ca="1" si="52">IF(AND($C11="Goal",LR$7&gt;=$F11,LR$7&lt;=$F11+$H11-1),2,IF(AND($C11="Milestone",LR$7&gt;=$F11,LR$7&lt;=$F11+$H11-1),1,""))</f>
        <v/>
      </c>
      <c r="LS11" s="76" t="str">
        <f t="shared" ca="1" si="52"/>
        <v/>
      </c>
      <c r="LT11" s="76" t="str">
        <f t="shared" ca="1" si="52"/>
        <v/>
      </c>
      <c r="LU11" s="76" t="str">
        <f t="shared" ca="1" si="52"/>
        <v/>
      </c>
      <c r="LV11" s="76" t="str">
        <f t="shared" ca="1" si="52"/>
        <v/>
      </c>
      <c r="LW11" s="76" t="str">
        <f t="shared" ca="1" si="52"/>
        <v/>
      </c>
      <c r="LX11" s="76" t="str">
        <f t="shared" ca="1" si="52"/>
        <v/>
      </c>
      <c r="LY11" s="76" t="str">
        <f t="shared" ca="1" si="52"/>
        <v/>
      </c>
      <c r="LZ11" s="76" t="str">
        <f t="shared" ca="1" si="52"/>
        <v/>
      </c>
      <c r="MA11" s="76" t="str">
        <f t="shared" ca="1" si="52"/>
        <v/>
      </c>
      <c r="MB11" s="76" t="str">
        <f t="shared" ca="1" si="52"/>
        <v/>
      </c>
      <c r="MC11" s="76" t="str">
        <f t="shared" ca="1" si="52"/>
        <v/>
      </c>
      <c r="MD11" s="76" t="str">
        <f t="shared" ca="1" si="52"/>
        <v/>
      </c>
      <c r="ME11" s="76" t="str">
        <f t="shared" ca="1" si="52"/>
        <v/>
      </c>
      <c r="MF11" s="76" t="str">
        <f t="shared" ca="1" si="52"/>
        <v/>
      </c>
      <c r="MG11" s="76" t="str">
        <f t="shared" ca="1" si="52"/>
        <v/>
      </c>
      <c r="MH11" s="76" t="str">
        <f t="shared" ref="MH11:MW20" ca="1" si="53">IF(AND($C11="Goal",MH$7&gt;=$F11,MH$7&lt;=$F11+$H11-1),2,IF(AND($C11="Milestone",MH$7&gt;=$F11,MH$7&lt;=$F11+$H11-1),1,""))</f>
        <v/>
      </c>
      <c r="MI11" s="76" t="str">
        <f t="shared" ca="1" si="53"/>
        <v/>
      </c>
      <c r="MJ11" s="76" t="str">
        <f t="shared" ca="1" si="53"/>
        <v/>
      </c>
      <c r="MK11" s="76" t="str">
        <f t="shared" ca="1" si="53"/>
        <v/>
      </c>
      <c r="ML11" s="76" t="str">
        <f t="shared" ca="1" si="53"/>
        <v/>
      </c>
      <c r="MM11" s="76" t="str">
        <f t="shared" ca="1" si="53"/>
        <v/>
      </c>
      <c r="MN11" s="76" t="str">
        <f t="shared" ca="1" si="53"/>
        <v/>
      </c>
      <c r="MO11" s="76" t="str">
        <f t="shared" ca="1" si="53"/>
        <v/>
      </c>
      <c r="MP11" s="76" t="str">
        <f t="shared" ca="1" si="53"/>
        <v/>
      </c>
      <c r="MQ11" s="76" t="str">
        <f t="shared" ca="1" si="53"/>
        <v/>
      </c>
      <c r="MR11" s="76" t="str">
        <f t="shared" ca="1" si="53"/>
        <v/>
      </c>
      <c r="MS11" s="76" t="str">
        <f t="shared" ca="1" si="53"/>
        <v/>
      </c>
      <c r="MT11" s="76" t="str">
        <f t="shared" ca="1" si="53"/>
        <v/>
      </c>
      <c r="MU11" s="76" t="str">
        <f t="shared" ca="1" si="53"/>
        <v/>
      </c>
      <c r="MV11" s="76" t="str">
        <f t="shared" ca="1" si="53"/>
        <v/>
      </c>
      <c r="MW11" s="76" t="str">
        <f t="shared" ca="1" si="53"/>
        <v/>
      </c>
      <c r="MX11" s="76" t="str">
        <f t="shared" ref="MX11:NM20" ca="1" si="54">IF(AND($C11="Goal",MX$7&gt;=$F11,MX$7&lt;=$F11+$H11-1),2,IF(AND($C11="Milestone",MX$7&gt;=$F11,MX$7&lt;=$F11+$H11-1),1,""))</f>
        <v/>
      </c>
      <c r="MY11" s="76" t="str">
        <f t="shared" ca="1" si="54"/>
        <v/>
      </c>
      <c r="MZ11" s="76" t="str">
        <f t="shared" ca="1" si="54"/>
        <v/>
      </c>
      <c r="NA11" s="76" t="str">
        <f t="shared" ca="1" si="54"/>
        <v/>
      </c>
      <c r="NB11" s="76" t="str">
        <f t="shared" ca="1" si="54"/>
        <v/>
      </c>
      <c r="NC11" s="76" t="str">
        <f t="shared" ca="1" si="54"/>
        <v/>
      </c>
      <c r="ND11" s="76" t="str">
        <f t="shared" ca="1" si="54"/>
        <v/>
      </c>
      <c r="NE11" s="76" t="str">
        <f t="shared" ca="1" si="54"/>
        <v/>
      </c>
      <c r="NF11" s="76" t="str">
        <f t="shared" ca="1" si="54"/>
        <v/>
      </c>
      <c r="NG11" s="76" t="str">
        <f t="shared" ca="1" si="54"/>
        <v/>
      </c>
      <c r="NH11" s="76" t="str">
        <f t="shared" ca="1" si="54"/>
        <v/>
      </c>
      <c r="NI11" s="76" t="str">
        <f t="shared" ca="1" si="54"/>
        <v/>
      </c>
      <c r="NJ11" s="76" t="str">
        <f t="shared" ca="1" si="54"/>
        <v/>
      </c>
      <c r="NK11" s="76" t="str">
        <f t="shared" ca="1" si="54"/>
        <v/>
      </c>
      <c r="NL11" s="76" t="str">
        <f t="shared" ca="1" si="54"/>
        <v/>
      </c>
      <c r="NM11" s="76" t="str">
        <f t="shared" ca="1" si="54"/>
        <v/>
      </c>
      <c r="NN11" s="76" t="str">
        <f t="shared" ref="NN11:OC20" ca="1" si="55">IF(AND($C11="Goal",NN$7&gt;=$F11,NN$7&lt;=$F11+$H11-1),2,IF(AND($C11="Milestone",NN$7&gt;=$F11,NN$7&lt;=$F11+$H11-1),1,""))</f>
        <v/>
      </c>
      <c r="NO11" s="76" t="str">
        <f t="shared" ca="1" si="55"/>
        <v/>
      </c>
      <c r="NP11" s="76" t="str">
        <f t="shared" ca="1" si="55"/>
        <v/>
      </c>
      <c r="NQ11" s="76" t="str">
        <f t="shared" ca="1" si="55"/>
        <v/>
      </c>
      <c r="NR11" s="76" t="str">
        <f t="shared" ca="1" si="55"/>
        <v/>
      </c>
      <c r="NS11" s="76" t="str">
        <f t="shared" ca="1" si="55"/>
        <v/>
      </c>
      <c r="NT11" s="76" t="str">
        <f t="shared" ca="1" si="55"/>
        <v/>
      </c>
      <c r="NU11" s="76" t="str">
        <f t="shared" ca="1" si="55"/>
        <v/>
      </c>
      <c r="NV11" s="76" t="str">
        <f t="shared" ca="1" si="55"/>
        <v/>
      </c>
      <c r="NW11" s="76" t="str">
        <f t="shared" ca="1" si="55"/>
        <v/>
      </c>
      <c r="NX11" s="76" t="str">
        <f t="shared" ca="1" si="55"/>
        <v/>
      </c>
      <c r="NY11" s="76" t="str">
        <f t="shared" ca="1" si="55"/>
        <v/>
      </c>
      <c r="NZ11" s="76" t="str">
        <f t="shared" ca="1" si="55"/>
        <v/>
      </c>
      <c r="OA11" s="76" t="str">
        <f t="shared" ca="1" si="55"/>
        <v/>
      </c>
      <c r="OB11" s="76" t="str">
        <f t="shared" ca="1" si="55"/>
        <v/>
      </c>
      <c r="OC11" s="76" t="str">
        <f t="shared" ca="1" si="55"/>
        <v/>
      </c>
      <c r="OD11" s="76" t="str">
        <f t="shared" ref="OD11:OS20" ca="1" si="56">IF(AND($C11="Goal",OD$7&gt;=$F11,OD$7&lt;=$F11+$H11-1),2,IF(AND($C11="Milestone",OD$7&gt;=$F11,OD$7&lt;=$F11+$H11-1),1,""))</f>
        <v/>
      </c>
      <c r="OE11" s="76" t="str">
        <f t="shared" ca="1" si="56"/>
        <v/>
      </c>
      <c r="OF11" s="76" t="str">
        <f t="shared" ca="1" si="56"/>
        <v/>
      </c>
      <c r="OG11" s="76" t="str">
        <f t="shared" ca="1" si="56"/>
        <v/>
      </c>
      <c r="OH11" s="76" t="str">
        <f t="shared" ca="1" si="56"/>
        <v/>
      </c>
      <c r="OI11" s="76" t="str">
        <f t="shared" ca="1" si="56"/>
        <v/>
      </c>
      <c r="OJ11" s="76" t="str">
        <f t="shared" ca="1" si="56"/>
        <v/>
      </c>
      <c r="OK11" s="76" t="str">
        <f t="shared" ca="1" si="56"/>
        <v/>
      </c>
      <c r="OL11" s="76" t="str">
        <f t="shared" ca="1" si="56"/>
        <v/>
      </c>
      <c r="OM11" s="76" t="str">
        <f t="shared" ca="1" si="56"/>
        <v/>
      </c>
      <c r="ON11" s="76" t="str">
        <f t="shared" ca="1" si="56"/>
        <v/>
      </c>
      <c r="OO11" s="76" t="str">
        <f t="shared" ca="1" si="56"/>
        <v/>
      </c>
      <c r="OP11" s="76" t="str">
        <f t="shared" ca="1" si="56"/>
        <v/>
      </c>
      <c r="OQ11" s="76" t="str">
        <f t="shared" ca="1" si="56"/>
        <v/>
      </c>
      <c r="OR11" s="76" t="str">
        <f t="shared" ca="1" si="56"/>
        <v/>
      </c>
      <c r="OS11" s="76" t="str">
        <f t="shared" ca="1" si="56"/>
        <v/>
      </c>
      <c r="OT11" s="76" t="str">
        <f t="shared" ref="OT11:PI20" ca="1" si="57">IF(AND($C11="Goal",OT$7&gt;=$F11,OT$7&lt;=$F11+$H11-1),2,IF(AND($C11="Milestone",OT$7&gt;=$F11,OT$7&lt;=$F11+$H11-1),1,""))</f>
        <v/>
      </c>
      <c r="OU11" s="76" t="str">
        <f t="shared" ca="1" si="57"/>
        <v/>
      </c>
      <c r="OV11" s="76" t="str">
        <f t="shared" ca="1" si="57"/>
        <v/>
      </c>
      <c r="OW11" s="76" t="str">
        <f t="shared" ca="1" si="57"/>
        <v/>
      </c>
      <c r="OX11" s="76" t="str">
        <f t="shared" ca="1" si="57"/>
        <v/>
      </c>
      <c r="OY11" s="76" t="str">
        <f t="shared" ca="1" si="57"/>
        <v/>
      </c>
      <c r="OZ11" s="76" t="str">
        <f t="shared" ca="1" si="57"/>
        <v/>
      </c>
      <c r="PA11" s="76" t="str">
        <f t="shared" ca="1" si="57"/>
        <v/>
      </c>
      <c r="PB11" s="76" t="str">
        <f t="shared" ca="1" si="57"/>
        <v/>
      </c>
      <c r="PC11" s="76" t="str">
        <f t="shared" ca="1" si="57"/>
        <v/>
      </c>
      <c r="PD11" s="76" t="str">
        <f t="shared" ca="1" si="57"/>
        <v/>
      </c>
      <c r="PE11" s="76" t="str">
        <f t="shared" ca="1" si="57"/>
        <v/>
      </c>
      <c r="PF11" s="76" t="str">
        <f t="shared" ca="1" si="57"/>
        <v/>
      </c>
      <c r="PG11" s="76" t="str">
        <f t="shared" ca="1" si="57"/>
        <v/>
      </c>
      <c r="PH11" s="76" t="str">
        <f t="shared" ca="1" si="57"/>
        <v/>
      </c>
      <c r="PI11" s="76" t="str">
        <f t="shared" ca="1" si="57"/>
        <v/>
      </c>
      <c r="PJ11" s="76" t="str">
        <f t="shared" ref="PJ11:PY20" ca="1" si="58">IF(AND($C11="Goal",PJ$7&gt;=$F11,PJ$7&lt;=$F11+$H11-1),2,IF(AND($C11="Milestone",PJ$7&gt;=$F11,PJ$7&lt;=$F11+$H11-1),1,""))</f>
        <v/>
      </c>
      <c r="PK11" s="76" t="str">
        <f t="shared" ca="1" si="58"/>
        <v/>
      </c>
      <c r="PL11" s="76" t="str">
        <f t="shared" ca="1" si="58"/>
        <v/>
      </c>
      <c r="PM11" s="76" t="str">
        <f t="shared" ca="1" si="58"/>
        <v/>
      </c>
      <c r="PN11" s="76" t="str">
        <f t="shared" ca="1" si="58"/>
        <v/>
      </c>
      <c r="PO11" s="76" t="str">
        <f t="shared" ca="1" si="58"/>
        <v/>
      </c>
      <c r="PP11" s="76" t="str">
        <f t="shared" ca="1" si="58"/>
        <v/>
      </c>
      <c r="PQ11" s="76" t="str">
        <f t="shared" ca="1" si="58"/>
        <v/>
      </c>
      <c r="PR11" s="76" t="str">
        <f t="shared" ca="1" si="58"/>
        <v/>
      </c>
      <c r="PS11" s="76" t="str">
        <f t="shared" ca="1" si="58"/>
        <v/>
      </c>
      <c r="PT11" s="76" t="str">
        <f t="shared" ca="1" si="58"/>
        <v/>
      </c>
      <c r="PU11" s="76" t="str">
        <f t="shared" ca="1" si="58"/>
        <v/>
      </c>
      <c r="PV11" s="76" t="str">
        <f t="shared" ca="1" si="58"/>
        <v/>
      </c>
      <c r="PW11" s="76" t="str">
        <f t="shared" ca="1" si="58"/>
        <v/>
      </c>
      <c r="PX11" s="76" t="str">
        <f t="shared" ca="1" si="58"/>
        <v/>
      </c>
      <c r="PY11" s="76" t="str">
        <f t="shared" ca="1" si="58"/>
        <v/>
      </c>
      <c r="PZ11" s="76" t="str">
        <f t="shared" ref="PZ11:QO20" ca="1" si="59">IF(AND($C11="Goal",PZ$7&gt;=$F11,PZ$7&lt;=$F11+$H11-1),2,IF(AND($C11="Milestone",PZ$7&gt;=$F11,PZ$7&lt;=$F11+$H11-1),1,""))</f>
        <v/>
      </c>
      <c r="QA11" s="76" t="str">
        <f t="shared" ca="1" si="59"/>
        <v/>
      </c>
      <c r="QB11" s="76" t="str">
        <f t="shared" ca="1" si="59"/>
        <v/>
      </c>
      <c r="QC11" s="76" t="str">
        <f t="shared" ca="1" si="59"/>
        <v/>
      </c>
      <c r="QD11" s="76" t="str">
        <f t="shared" ca="1" si="59"/>
        <v/>
      </c>
      <c r="QE11" s="76" t="str">
        <f t="shared" ca="1" si="59"/>
        <v/>
      </c>
      <c r="QF11" s="76" t="str">
        <f t="shared" ca="1" si="59"/>
        <v/>
      </c>
      <c r="QG11" s="76" t="str">
        <f t="shared" ca="1" si="59"/>
        <v/>
      </c>
      <c r="QH11" s="76" t="str">
        <f t="shared" ca="1" si="59"/>
        <v/>
      </c>
      <c r="QI11" s="76" t="str">
        <f t="shared" ca="1" si="59"/>
        <v/>
      </c>
      <c r="QJ11" s="76" t="str">
        <f t="shared" ca="1" si="59"/>
        <v/>
      </c>
      <c r="QK11" s="76" t="str">
        <f t="shared" ca="1" si="59"/>
        <v/>
      </c>
      <c r="QL11" s="76" t="str">
        <f t="shared" ca="1" si="59"/>
        <v/>
      </c>
      <c r="QM11" s="76" t="str">
        <f t="shared" ca="1" si="59"/>
        <v/>
      </c>
      <c r="QN11" s="76" t="str">
        <f t="shared" ca="1" si="59"/>
        <v/>
      </c>
      <c r="QO11" s="76" t="str">
        <f t="shared" ca="1" si="59"/>
        <v/>
      </c>
      <c r="QP11" s="76" t="str">
        <f t="shared" ref="QP11:RE20" ca="1" si="60">IF(AND($C11="Goal",QP$7&gt;=$F11,QP$7&lt;=$F11+$H11-1),2,IF(AND($C11="Milestone",QP$7&gt;=$F11,QP$7&lt;=$F11+$H11-1),1,""))</f>
        <v/>
      </c>
      <c r="QQ11" s="76" t="str">
        <f t="shared" ca="1" si="60"/>
        <v/>
      </c>
      <c r="QR11" s="76" t="str">
        <f t="shared" ca="1" si="60"/>
        <v/>
      </c>
      <c r="QS11" s="76" t="str">
        <f t="shared" ca="1" si="60"/>
        <v/>
      </c>
      <c r="QT11" s="76" t="str">
        <f t="shared" ca="1" si="60"/>
        <v/>
      </c>
      <c r="QU11" s="76" t="str">
        <f t="shared" ca="1" si="60"/>
        <v/>
      </c>
      <c r="QV11" s="76" t="str">
        <f t="shared" ca="1" si="60"/>
        <v/>
      </c>
      <c r="QW11" s="76" t="str">
        <f t="shared" ca="1" si="60"/>
        <v/>
      </c>
      <c r="QX11" s="76" t="str">
        <f t="shared" ca="1" si="60"/>
        <v/>
      </c>
      <c r="QY11" s="76" t="str">
        <f t="shared" ca="1" si="60"/>
        <v/>
      </c>
      <c r="QZ11" s="76" t="str">
        <f t="shared" ca="1" si="60"/>
        <v/>
      </c>
      <c r="RA11" s="76" t="str">
        <f t="shared" ca="1" si="60"/>
        <v/>
      </c>
      <c r="RB11" s="76" t="str">
        <f t="shared" ca="1" si="60"/>
        <v/>
      </c>
      <c r="RC11" s="76" t="str">
        <f t="shared" ca="1" si="60"/>
        <v/>
      </c>
      <c r="RD11" s="76" t="str">
        <f t="shared" ca="1" si="60"/>
        <v/>
      </c>
      <c r="RE11" s="76" t="str">
        <f t="shared" ca="1" si="60"/>
        <v/>
      </c>
      <c r="RF11" s="76" t="str">
        <f t="shared" ref="RF11:RU20" ca="1" si="61">IF(AND($C11="Goal",RF$7&gt;=$F11,RF$7&lt;=$F11+$H11-1),2,IF(AND($C11="Milestone",RF$7&gt;=$F11,RF$7&lt;=$F11+$H11-1),1,""))</f>
        <v/>
      </c>
      <c r="RG11" s="76" t="str">
        <f t="shared" ca="1" si="61"/>
        <v/>
      </c>
      <c r="RH11" s="76" t="str">
        <f t="shared" ca="1" si="61"/>
        <v/>
      </c>
      <c r="RI11" s="76" t="str">
        <f t="shared" ca="1" si="61"/>
        <v/>
      </c>
      <c r="RJ11" s="76" t="str">
        <f t="shared" ca="1" si="61"/>
        <v/>
      </c>
      <c r="RK11" s="76" t="str">
        <f t="shared" ca="1" si="61"/>
        <v/>
      </c>
      <c r="RL11" s="76" t="str">
        <f t="shared" ca="1" si="61"/>
        <v/>
      </c>
      <c r="RM11" s="76" t="str">
        <f t="shared" ca="1" si="61"/>
        <v/>
      </c>
      <c r="RN11" s="76" t="str">
        <f t="shared" ca="1" si="61"/>
        <v/>
      </c>
      <c r="RO11" s="76" t="str">
        <f t="shared" ca="1" si="61"/>
        <v/>
      </c>
      <c r="RP11" s="76" t="str">
        <f t="shared" ca="1" si="61"/>
        <v/>
      </c>
      <c r="RQ11" s="76" t="str">
        <f t="shared" ca="1" si="61"/>
        <v/>
      </c>
      <c r="RR11" s="76" t="str">
        <f t="shared" ca="1" si="61"/>
        <v/>
      </c>
      <c r="RS11" s="76" t="str">
        <f t="shared" ca="1" si="61"/>
        <v/>
      </c>
      <c r="RT11" s="76" t="str">
        <f t="shared" ca="1" si="61"/>
        <v/>
      </c>
      <c r="RU11" s="76" t="str">
        <f t="shared" ca="1" si="61"/>
        <v/>
      </c>
      <c r="RV11" s="76" t="str">
        <f t="shared" ref="RV11:SK20" ca="1" si="62">IF(AND($C11="Goal",RV$7&gt;=$F11,RV$7&lt;=$F11+$H11-1),2,IF(AND($C11="Milestone",RV$7&gt;=$F11,RV$7&lt;=$F11+$H11-1),1,""))</f>
        <v/>
      </c>
      <c r="RW11" s="76" t="str">
        <f t="shared" ca="1" si="62"/>
        <v/>
      </c>
      <c r="RX11" s="76" t="str">
        <f t="shared" ca="1" si="62"/>
        <v/>
      </c>
      <c r="RY11" s="76" t="str">
        <f t="shared" ca="1" si="62"/>
        <v/>
      </c>
      <c r="RZ11" s="76" t="str">
        <f t="shared" ca="1" si="62"/>
        <v/>
      </c>
      <c r="SA11" s="76" t="str">
        <f t="shared" ca="1" si="62"/>
        <v/>
      </c>
      <c r="SB11" s="76" t="str">
        <f t="shared" ca="1" si="62"/>
        <v/>
      </c>
      <c r="SC11" s="76" t="str">
        <f t="shared" ca="1" si="62"/>
        <v/>
      </c>
      <c r="SD11" s="76" t="str">
        <f t="shared" ca="1" si="62"/>
        <v/>
      </c>
      <c r="SE11" s="76" t="str">
        <f t="shared" ca="1" si="62"/>
        <v/>
      </c>
      <c r="SF11" s="76" t="str">
        <f t="shared" ca="1" si="62"/>
        <v/>
      </c>
      <c r="SG11" s="76" t="str">
        <f t="shared" ca="1" si="62"/>
        <v/>
      </c>
      <c r="SH11" s="76" t="str">
        <f t="shared" ca="1" si="62"/>
        <v/>
      </c>
      <c r="SI11" s="76" t="str">
        <f t="shared" ca="1" si="62"/>
        <v/>
      </c>
      <c r="SJ11" s="76" t="str">
        <f t="shared" ca="1" si="62"/>
        <v/>
      </c>
      <c r="SK11" s="76" t="str">
        <f t="shared" ca="1" si="62"/>
        <v/>
      </c>
      <c r="SL11" s="76" t="str">
        <f t="shared" ref="SL11:TA20" ca="1" si="63">IF(AND($C11="Goal",SL$7&gt;=$F11,SL$7&lt;=$F11+$H11-1),2,IF(AND($C11="Milestone",SL$7&gt;=$F11,SL$7&lt;=$F11+$H11-1),1,""))</f>
        <v/>
      </c>
      <c r="SM11" s="76" t="str">
        <f t="shared" ca="1" si="63"/>
        <v/>
      </c>
      <c r="SN11" s="76" t="str">
        <f t="shared" ca="1" si="63"/>
        <v/>
      </c>
      <c r="SO11" s="76" t="str">
        <f t="shared" ca="1" si="63"/>
        <v/>
      </c>
      <c r="SP11" s="76" t="str">
        <f t="shared" ca="1" si="63"/>
        <v/>
      </c>
      <c r="SQ11" s="76" t="str">
        <f t="shared" ca="1" si="63"/>
        <v/>
      </c>
      <c r="SR11" s="76" t="str">
        <f t="shared" ca="1" si="63"/>
        <v/>
      </c>
      <c r="SS11" s="76" t="str">
        <f t="shared" ca="1" si="63"/>
        <v/>
      </c>
      <c r="ST11" s="76" t="str">
        <f t="shared" ca="1" si="63"/>
        <v/>
      </c>
      <c r="SU11" s="76" t="str">
        <f t="shared" ca="1" si="63"/>
        <v/>
      </c>
      <c r="SV11" s="76" t="str">
        <f t="shared" ca="1" si="63"/>
        <v/>
      </c>
      <c r="SW11" s="76" t="str">
        <f t="shared" ca="1" si="63"/>
        <v/>
      </c>
      <c r="SX11" s="76" t="str">
        <f t="shared" ca="1" si="63"/>
        <v/>
      </c>
      <c r="SY11" s="76" t="str">
        <f t="shared" ca="1" si="63"/>
        <v/>
      </c>
      <c r="SZ11" s="76" t="str">
        <f t="shared" ca="1" si="63"/>
        <v/>
      </c>
      <c r="TA11" s="76" t="str">
        <f t="shared" ca="1" si="63"/>
        <v/>
      </c>
      <c r="TB11" s="76" t="str">
        <f t="shared" ref="TB11:TQ20" ca="1" si="64">IF(AND($C11="Goal",TB$7&gt;=$F11,TB$7&lt;=$F11+$H11-1),2,IF(AND($C11="Milestone",TB$7&gt;=$F11,TB$7&lt;=$F11+$H11-1),1,""))</f>
        <v/>
      </c>
      <c r="TC11" s="76" t="str">
        <f t="shared" ca="1" si="64"/>
        <v/>
      </c>
      <c r="TD11" s="76" t="str">
        <f t="shared" ca="1" si="64"/>
        <v/>
      </c>
      <c r="TE11" s="76" t="str">
        <f t="shared" ca="1" si="64"/>
        <v/>
      </c>
      <c r="TF11" s="76" t="str">
        <f t="shared" ca="1" si="64"/>
        <v/>
      </c>
      <c r="TG11" s="76" t="str">
        <f t="shared" ca="1" si="64"/>
        <v/>
      </c>
      <c r="TH11" s="76" t="str">
        <f t="shared" ca="1" si="64"/>
        <v/>
      </c>
      <c r="TI11" s="76" t="str">
        <f t="shared" ca="1" si="64"/>
        <v/>
      </c>
      <c r="TJ11" s="76" t="str">
        <f t="shared" ca="1" si="64"/>
        <v/>
      </c>
      <c r="TK11" s="76" t="str">
        <f t="shared" ca="1" si="64"/>
        <v/>
      </c>
      <c r="TL11" s="76" t="str">
        <f t="shared" ca="1" si="64"/>
        <v/>
      </c>
      <c r="TM11" s="76" t="str">
        <f t="shared" ca="1" si="64"/>
        <v/>
      </c>
      <c r="TN11" s="76" t="str">
        <f t="shared" ca="1" si="64"/>
        <v/>
      </c>
      <c r="TO11" s="76" t="str">
        <f t="shared" ca="1" si="64"/>
        <v/>
      </c>
      <c r="TP11" s="76" t="str">
        <f t="shared" ca="1" si="64"/>
        <v/>
      </c>
      <c r="TQ11" s="76" t="str">
        <f t="shared" ca="1" si="64"/>
        <v/>
      </c>
      <c r="TR11" s="76" t="str">
        <f t="shared" ref="TR11:UG20" ca="1" si="65">IF(AND($C11="Goal",TR$7&gt;=$F11,TR$7&lt;=$F11+$H11-1),2,IF(AND($C11="Milestone",TR$7&gt;=$F11,TR$7&lt;=$F11+$H11-1),1,""))</f>
        <v/>
      </c>
      <c r="TS11" s="76" t="str">
        <f t="shared" ca="1" si="65"/>
        <v/>
      </c>
      <c r="TT11" s="76" t="str">
        <f t="shared" ca="1" si="65"/>
        <v/>
      </c>
      <c r="TU11" s="76" t="str">
        <f t="shared" ca="1" si="65"/>
        <v/>
      </c>
      <c r="TV11" s="76" t="str">
        <f t="shared" ca="1" si="65"/>
        <v/>
      </c>
      <c r="TW11" s="76" t="str">
        <f t="shared" ca="1" si="65"/>
        <v/>
      </c>
      <c r="TX11" s="76" t="str">
        <f t="shared" ca="1" si="65"/>
        <v/>
      </c>
      <c r="TY11" s="76" t="str">
        <f t="shared" ca="1" si="65"/>
        <v/>
      </c>
      <c r="TZ11" s="76" t="str">
        <f t="shared" ca="1" si="65"/>
        <v/>
      </c>
      <c r="UA11" s="76" t="str">
        <f t="shared" ca="1" si="65"/>
        <v/>
      </c>
      <c r="UB11" s="76" t="str">
        <f t="shared" ca="1" si="65"/>
        <v/>
      </c>
      <c r="UC11" s="76" t="str">
        <f t="shared" ca="1" si="65"/>
        <v/>
      </c>
      <c r="UD11" s="76" t="str">
        <f t="shared" ca="1" si="65"/>
        <v/>
      </c>
      <c r="UE11" s="76" t="str">
        <f t="shared" ca="1" si="65"/>
        <v/>
      </c>
      <c r="UF11" s="76" t="str">
        <f t="shared" ca="1" si="65"/>
        <v/>
      </c>
      <c r="UG11" s="76" t="str">
        <f t="shared" ca="1" si="65"/>
        <v/>
      </c>
      <c r="UH11" s="76" t="str">
        <f t="shared" ref="UH11:UW20" ca="1" si="66">IF(AND($C11="Goal",UH$7&gt;=$F11,UH$7&lt;=$F11+$H11-1),2,IF(AND($C11="Milestone",UH$7&gt;=$F11,UH$7&lt;=$F11+$H11-1),1,""))</f>
        <v/>
      </c>
      <c r="UI11" s="76" t="str">
        <f t="shared" ca="1" si="66"/>
        <v/>
      </c>
      <c r="UJ11" s="76" t="str">
        <f t="shared" ca="1" si="66"/>
        <v/>
      </c>
      <c r="UK11" s="76" t="str">
        <f t="shared" ca="1" si="66"/>
        <v/>
      </c>
      <c r="UL11" s="76" t="str">
        <f t="shared" ca="1" si="66"/>
        <v/>
      </c>
      <c r="UM11" s="76" t="str">
        <f t="shared" ca="1" si="66"/>
        <v/>
      </c>
      <c r="UN11" s="76" t="str">
        <f t="shared" ca="1" si="66"/>
        <v/>
      </c>
      <c r="UO11" s="76" t="str">
        <f t="shared" ca="1" si="66"/>
        <v/>
      </c>
      <c r="UP11" s="76" t="str">
        <f t="shared" ca="1" si="66"/>
        <v/>
      </c>
      <c r="UQ11" s="76" t="str">
        <f t="shared" ca="1" si="66"/>
        <v/>
      </c>
      <c r="UR11" s="76" t="str">
        <f t="shared" ca="1" si="66"/>
        <v/>
      </c>
      <c r="US11" s="76" t="str">
        <f t="shared" ca="1" si="66"/>
        <v/>
      </c>
      <c r="UT11" s="76" t="str">
        <f t="shared" ca="1" si="66"/>
        <v/>
      </c>
      <c r="UU11" s="76" t="str">
        <f t="shared" ca="1" si="66"/>
        <v/>
      </c>
      <c r="UV11" s="76" t="str">
        <f t="shared" ca="1" si="66"/>
        <v/>
      </c>
      <c r="UW11" s="76" t="str">
        <f t="shared" ca="1" si="66"/>
        <v/>
      </c>
      <c r="UX11" s="76" t="str">
        <f t="shared" ref="UX11:VM20" ca="1" si="67">IF(AND($C11="Goal",UX$7&gt;=$F11,UX$7&lt;=$F11+$H11-1),2,IF(AND($C11="Milestone",UX$7&gt;=$F11,UX$7&lt;=$F11+$H11-1),1,""))</f>
        <v/>
      </c>
      <c r="UY11" s="76" t="str">
        <f t="shared" ca="1" si="67"/>
        <v/>
      </c>
      <c r="UZ11" s="76" t="str">
        <f t="shared" ca="1" si="67"/>
        <v/>
      </c>
      <c r="VA11" s="76" t="str">
        <f t="shared" ca="1" si="67"/>
        <v/>
      </c>
      <c r="VB11" s="76" t="str">
        <f t="shared" ca="1" si="67"/>
        <v/>
      </c>
      <c r="VC11" s="76" t="str">
        <f t="shared" ca="1" si="67"/>
        <v/>
      </c>
      <c r="VD11" s="76" t="str">
        <f t="shared" ca="1" si="67"/>
        <v/>
      </c>
      <c r="VE11" s="76" t="str">
        <f t="shared" ca="1" si="67"/>
        <v/>
      </c>
      <c r="VF11" s="76" t="str">
        <f t="shared" ca="1" si="67"/>
        <v/>
      </c>
      <c r="VG11" s="76" t="str">
        <f t="shared" ca="1" si="67"/>
        <v/>
      </c>
      <c r="VH11" s="76" t="str">
        <f t="shared" ca="1" si="67"/>
        <v/>
      </c>
      <c r="VI11" s="76" t="str">
        <f t="shared" ca="1" si="67"/>
        <v/>
      </c>
      <c r="VJ11" s="76" t="str">
        <f t="shared" ca="1" si="67"/>
        <v/>
      </c>
      <c r="VK11" s="76" t="str">
        <f t="shared" ca="1" si="67"/>
        <v/>
      </c>
      <c r="VL11" s="76" t="str">
        <f t="shared" ca="1" si="67"/>
        <v/>
      </c>
      <c r="VM11" s="76" t="str">
        <f t="shared" ca="1" si="67"/>
        <v/>
      </c>
      <c r="VN11" s="76" t="str">
        <f t="shared" ref="VN11:VS20" ca="1" si="68">IF(AND($C11="Goal",VN$7&gt;=$F11,VN$7&lt;=$F11+$H11-1),2,IF(AND($C11="Milestone",VN$7&gt;=$F11,VN$7&lt;=$F11+$H11-1),1,""))</f>
        <v/>
      </c>
      <c r="VO11" s="76" t="str">
        <f t="shared" ca="1" si="68"/>
        <v/>
      </c>
      <c r="VP11" s="76" t="str">
        <f t="shared" ca="1" si="68"/>
        <v/>
      </c>
      <c r="VQ11" s="76" t="str">
        <f t="shared" ca="1" si="68"/>
        <v/>
      </c>
      <c r="VR11" s="76" t="str">
        <f t="shared" ca="1" si="68"/>
        <v/>
      </c>
      <c r="VS11" s="76" t="str">
        <f t="shared" ca="1" si="68"/>
        <v/>
      </c>
    </row>
    <row r="12" spans="1:591" s="17" customFormat="1" ht="16.2" customHeight="1" x14ac:dyDescent="0.3">
      <c r="A12" s="82"/>
      <c r="B12" s="56" t="str">
        <f>'CoS Tracker'!$H$7</f>
        <v>0. DATE EXCHANGED
(Contract Date)</v>
      </c>
      <c r="C12" s="19" t="s">
        <v>71</v>
      </c>
      <c r="D12" s="19" t="s">
        <v>77</v>
      </c>
      <c r="E12" s="27">
        <v>0.25</v>
      </c>
      <c r="F12" s="26" t="e">
        <f>'CoS Tracker'!#REF!</f>
        <v>#REF!</v>
      </c>
      <c r="G12" s="26" t="e">
        <f>Milestones43524[[#This Row],[Start]]+Milestones43524[[#This Row],[Days]]</f>
        <v>#REF!</v>
      </c>
      <c r="H12" s="25">
        <v>1</v>
      </c>
      <c r="I12" s="19"/>
      <c r="J12" s="75" t="e">
        <f t="shared" ca="1" si="32"/>
        <v>#REF!</v>
      </c>
      <c r="K12" s="75" t="e">
        <f t="shared" ca="1" si="32"/>
        <v>#REF!</v>
      </c>
      <c r="L12" s="75" t="e">
        <f t="shared" ca="1" si="32"/>
        <v>#REF!</v>
      </c>
      <c r="M12" s="75" t="e">
        <f t="shared" ca="1" si="32"/>
        <v>#REF!</v>
      </c>
      <c r="N12" s="75" t="e">
        <f t="shared" ca="1" si="32"/>
        <v>#REF!</v>
      </c>
      <c r="O12" s="75" t="e">
        <f t="shared" ca="1" si="32"/>
        <v>#REF!</v>
      </c>
      <c r="P12" s="75" t="e">
        <f t="shared" ca="1" si="32"/>
        <v>#REF!</v>
      </c>
      <c r="Q12" s="75" t="e">
        <f t="shared" ca="1" si="32"/>
        <v>#REF!</v>
      </c>
      <c r="R12" s="75" t="e">
        <f t="shared" ca="1" si="32"/>
        <v>#REF!</v>
      </c>
      <c r="S12" s="75" t="e">
        <f t="shared" ca="1" si="32"/>
        <v>#REF!</v>
      </c>
      <c r="T12" s="75" t="e">
        <f t="shared" ca="1" si="32"/>
        <v>#REF!</v>
      </c>
      <c r="U12" s="75" t="e">
        <f t="shared" ca="1" si="32"/>
        <v>#REF!</v>
      </c>
      <c r="V12" s="75" t="e">
        <f t="shared" ca="1" si="32"/>
        <v>#REF!</v>
      </c>
      <c r="W12" s="75" t="e">
        <f t="shared" ca="1" si="32"/>
        <v>#REF!</v>
      </c>
      <c r="X12" s="75" t="e">
        <f t="shared" ca="1" si="32"/>
        <v>#REF!</v>
      </c>
      <c r="Y12" s="75" t="e">
        <f t="shared" ca="1" si="32"/>
        <v>#REF!</v>
      </c>
      <c r="Z12" s="75" t="e">
        <f t="shared" ca="1" si="33"/>
        <v>#REF!</v>
      </c>
      <c r="AA12" s="75" t="e">
        <f t="shared" ca="1" si="33"/>
        <v>#REF!</v>
      </c>
      <c r="AB12" s="75" t="e">
        <f t="shared" ca="1" si="33"/>
        <v>#REF!</v>
      </c>
      <c r="AC12" s="75" t="e">
        <f t="shared" ca="1" si="33"/>
        <v>#REF!</v>
      </c>
      <c r="AD12" s="75" t="e">
        <f t="shared" ca="1" si="33"/>
        <v>#REF!</v>
      </c>
      <c r="AE12" s="75" t="e">
        <f t="shared" ca="1" si="33"/>
        <v>#REF!</v>
      </c>
      <c r="AF12" s="75" t="e">
        <f t="shared" ca="1" si="33"/>
        <v>#REF!</v>
      </c>
      <c r="AG12" s="75" t="e">
        <f t="shared" ca="1" si="33"/>
        <v>#REF!</v>
      </c>
      <c r="AH12" s="75" t="e">
        <f t="shared" ca="1" si="33"/>
        <v>#REF!</v>
      </c>
      <c r="AI12" s="75" t="e">
        <f t="shared" ca="1" si="33"/>
        <v>#REF!</v>
      </c>
      <c r="AJ12" s="75" t="e">
        <f t="shared" ca="1" si="33"/>
        <v>#REF!</v>
      </c>
      <c r="AK12" s="75" t="e">
        <f t="shared" ca="1" si="33"/>
        <v>#REF!</v>
      </c>
      <c r="AL12" s="75" t="e">
        <f t="shared" ca="1" si="33"/>
        <v>#REF!</v>
      </c>
      <c r="AM12" s="75" t="e">
        <f t="shared" ca="1" si="33"/>
        <v>#REF!</v>
      </c>
      <c r="AN12" s="75" t="e">
        <f t="shared" ca="1" si="33"/>
        <v>#REF!</v>
      </c>
      <c r="AO12" s="75" t="e">
        <f t="shared" ca="1" si="33"/>
        <v>#REF!</v>
      </c>
      <c r="AP12" s="75" t="e">
        <f t="shared" ca="1" si="34"/>
        <v>#REF!</v>
      </c>
      <c r="AQ12" s="75" t="e">
        <f t="shared" ca="1" si="34"/>
        <v>#REF!</v>
      </c>
      <c r="AR12" s="75" t="e">
        <f t="shared" ca="1" si="34"/>
        <v>#REF!</v>
      </c>
      <c r="AS12" s="75" t="e">
        <f t="shared" ca="1" si="34"/>
        <v>#REF!</v>
      </c>
      <c r="AT12" s="75" t="e">
        <f t="shared" ca="1" si="34"/>
        <v>#REF!</v>
      </c>
      <c r="AU12" s="75" t="e">
        <f t="shared" ca="1" si="34"/>
        <v>#REF!</v>
      </c>
      <c r="AV12" s="75" t="e">
        <f t="shared" ca="1" si="34"/>
        <v>#REF!</v>
      </c>
      <c r="AW12" s="75" t="e">
        <f t="shared" ca="1" si="34"/>
        <v>#REF!</v>
      </c>
      <c r="AX12" s="75" t="e">
        <f t="shared" ca="1" si="34"/>
        <v>#REF!</v>
      </c>
      <c r="AY12" s="75" t="e">
        <f t="shared" ca="1" si="34"/>
        <v>#REF!</v>
      </c>
      <c r="AZ12" s="75" t="e">
        <f t="shared" ca="1" si="34"/>
        <v>#REF!</v>
      </c>
      <c r="BA12" s="75" t="e">
        <f t="shared" ca="1" si="34"/>
        <v>#REF!</v>
      </c>
      <c r="BB12" s="75" t="e">
        <f t="shared" ca="1" si="34"/>
        <v>#REF!</v>
      </c>
      <c r="BC12" s="75" t="e">
        <f t="shared" ca="1" si="34"/>
        <v>#REF!</v>
      </c>
      <c r="BD12" s="75" t="e">
        <f t="shared" ca="1" si="34"/>
        <v>#REF!</v>
      </c>
      <c r="BE12" s="75" t="e">
        <f t="shared" ca="1" si="34"/>
        <v>#REF!</v>
      </c>
      <c r="BF12" s="75" t="e">
        <f t="shared" ca="1" si="35"/>
        <v>#REF!</v>
      </c>
      <c r="BG12" s="75" t="e">
        <f t="shared" ca="1" si="35"/>
        <v>#REF!</v>
      </c>
      <c r="BH12" s="75" t="e">
        <f t="shared" ca="1" si="35"/>
        <v>#REF!</v>
      </c>
      <c r="BI12" s="75" t="e">
        <f t="shared" ca="1" si="35"/>
        <v>#REF!</v>
      </c>
      <c r="BJ12" s="75" t="e">
        <f t="shared" ca="1" si="35"/>
        <v>#REF!</v>
      </c>
      <c r="BK12" s="75" t="e">
        <f t="shared" ca="1" si="35"/>
        <v>#REF!</v>
      </c>
      <c r="BL12" s="75" t="e">
        <f t="shared" ca="1" si="35"/>
        <v>#REF!</v>
      </c>
      <c r="BM12" s="75" t="e">
        <f t="shared" ca="1" si="35"/>
        <v>#REF!</v>
      </c>
      <c r="BN12" s="75" t="e">
        <f t="shared" ca="1" si="35"/>
        <v>#REF!</v>
      </c>
      <c r="BO12" s="75" t="e">
        <f t="shared" ca="1" si="35"/>
        <v>#REF!</v>
      </c>
      <c r="BP12" s="75" t="e">
        <f t="shared" ca="1" si="35"/>
        <v>#REF!</v>
      </c>
      <c r="BQ12" s="75" t="e">
        <f t="shared" ca="1" si="35"/>
        <v>#REF!</v>
      </c>
      <c r="BR12" s="75" t="e">
        <f t="shared" ca="1" si="35"/>
        <v>#REF!</v>
      </c>
      <c r="BS12" s="75" t="e">
        <f t="shared" ca="1" si="35"/>
        <v>#REF!</v>
      </c>
      <c r="BT12" s="75" t="e">
        <f t="shared" ca="1" si="35"/>
        <v>#REF!</v>
      </c>
      <c r="BU12" s="75" t="e">
        <f t="shared" ca="1" si="35"/>
        <v>#REF!</v>
      </c>
      <c r="BV12" s="75" t="e">
        <f t="shared" ca="1" si="36"/>
        <v>#REF!</v>
      </c>
      <c r="BW12" s="75" t="e">
        <f t="shared" ca="1" si="36"/>
        <v>#REF!</v>
      </c>
      <c r="BX12" s="75" t="e">
        <f t="shared" ca="1" si="36"/>
        <v>#REF!</v>
      </c>
      <c r="BY12" s="75" t="e">
        <f t="shared" ca="1" si="36"/>
        <v>#REF!</v>
      </c>
      <c r="BZ12" s="75" t="e">
        <f t="shared" ca="1" si="36"/>
        <v>#REF!</v>
      </c>
      <c r="CA12" s="75" t="e">
        <f t="shared" ca="1" si="36"/>
        <v>#REF!</v>
      </c>
      <c r="CB12" s="75" t="e">
        <f t="shared" ca="1" si="36"/>
        <v>#REF!</v>
      </c>
      <c r="CC12" s="75" t="e">
        <f t="shared" ca="1" si="36"/>
        <v>#REF!</v>
      </c>
      <c r="CD12" s="75" t="e">
        <f t="shared" ca="1" si="36"/>
        <v>#REF!</v>
      </c>
      <c r="CE12" s="75" t="e">
        <f t="shared" ca="1" si="36"/>
        <v>#REF!</v>
      </c>
      <c r="CF12" s="75" t="e">
        <f t="shared" ca="1" si="36"/>
        <v>#REF!</v>
      </c>
      <c r="CG12" s="75" t="e">
        <f t="shared" ca="1" si="36"/>
        <v>#REF!</v>
      </c>
      <c r="CH12" s="75" t="e">
        <f t="shared" ca="1" si="36"/>
        <v>#REF!</v>
      </c>
      <c r="CI12" s="75" t="e">
        <f t="shared" ca="1" si="36"/>
        <v>#REF!</v>
      </c>
      <c r="CJ12" s="75" t="e">
        <f t="shared" ca="1" si="36"/>
        <v>#REF!</v>
      </c>
      <c r="CK12" s="75" t="e">
        <f t="shared" ca="1" si="36"/>
        <v>#REF!</v>
      </c>
      <c r="CL12" s="75" t="e">
        <f t="shared" ca="1" si="37"/>
        <v>#REF!</v>
      </c>
      <c r="CM12" s="75" t="e">
        <f t="shared" ca="1" si="37"/>
        <v>#REF!</v>
      </c>
      <c r="CN12" s="75" t="e">
        <f t="shared" ca="1" si="37"/>
        <v>#REF!</v>
      </c>
      <c r="CO12" s="75" t="e">
        <f t="shared" ca="1" si="37"/>
        <v>#REF!</v>
      </c>
      <c r="CP12" s="75" t="e">
        <f t="shared" ca="1" si="37"/>
        <v>#REF!</v>
      </c>
      <c r="CQ12" s="75" t="e">
        <f t="shared" ca="1" si="37"/>
        <v>#REF!</v>
      </c>
      <c r="CR12" s="75" t="e">
        <f t="shared" ca="1" si="37"/>
        <v>#REF!</v>
      </c>
      <c r="CS12" s="75" t="e">
        <f t="shared" ca="1" si="37"/>
        <v>#REF!</v>
      </c>
      <c r="CT12" s="75" t="e">
        <f t="shared" ca="1" si="37"/>
        <v>#REF!</v>
      </c>
      <c r="CU12" s="75" t="e">
        <f t="shared" ca="1" si="37"/>
        <v>#REF!</v>
      </c>
      <c r="CV12" s="75" t="e">
        <f t="shared" ca="1" si="37"/>
        <v>#REF!</v>
      </c>
      <c r="CW12" s="75" t="e">
        <f t="shared" ca="1" si="37"/>
        <v>#REF!</v>
      </c>
      <c r="CX12" s="75" t="e">
        <f t="shared" ca="1" si="37"/>
        <v>#REF!</v>
      </c>
      <c r="CY12" s="75" t="e">
        <f t="shared" ca="1" si="37"/>
        <v>#REF!</v>
      </c>
      <c r="CZ12" s="75" t="e">
        <f t="shared" ca="1" si="37"/>
        <v>#REF!</v>
      </c>
      <c r="DA12" s="75" t="e">
        <f t="shared" ca="1" si="37"/>
        <v>#REF!</v>
      </c>
      <c r="DB12" s="75" t="e">
        <f t="shared" ca="1" si="38"/>
        <v>#REF!</v>
      </c>
      <c r="DC12" s="75" t="e">
        <f t="shared" ca="1" si="38"/>
        <v>#REF!</v>
      </c>
      <c r="DD12" s="75" t="e">
        <f t="shared" ca="1" si="38"/>
        <v>#REF!</v>
      </c>
      <c r="DE12" s="75" t="e">
        <f t="shared" ca="1" si="38"/>
        <v>#REF!</v>
      </c>
      <c r="DF12" s="75" t="e">
        <f t="shared" ca="1" si="38"/>
        <v>#REF!</v>
      </c>
      <c r="DG12" s="75" t="e">
        <f t="shared" ca="1" si="38"/>
        <v>#REF!</v>
      </c>
      <c r="DH12" s="75" t="e">
        <f t="shared" ca="1" si="38"/>
        <v>#REF!</v>
      </c>
      <c r="DI12" s="75" t="e">
        <f t="shared" ca="1" si="38"/>
        <v>#REF!</v>
      </c>
      <c r="DJ12" s="75" t="e">
        <f t="shared" ca="1" si="38"/>
        <v>#REF!</v>
      </c>
      <c r="DK12" s="75" t="e">
        <f t="shared" ca="1" si="38"/>
        <v>#REF!</v>
      </c>
      <c r="DL12" s="75" t="e">
        <f t="shared" ca="1" si="38"/>
        <v>#REF!</v>
      </c>
      <c r="DM12" s="75" t="e">
        <f t="shared" ca="1" si="38"/>
        <v>#REF!</v>
      </c>
      <c r="DN12" s="75" t="e">
        <f t="shared" ca="1" si="38"/>
        <v>#REF!</v>
      </c>
      <c r="DO12" s="75" t="e">
        <f t="shared" ca="1" si="38"/>
        <v>#REF!</v>
      </c>
      <c r="DP12" s="75" t="e">
        <f t="shared" ca="1" si="38"/>
        <v>#REF!</v>
      </c>
      <c r="DQ12" s="75" t="e">
        <f t="shared" ca="1" si="38"/>
        <v>#REF!</v>
      </c>
      <c r="DR12" s="75" t="e">
        <f t="shared" ca="1" si="39"/>
        <v>#REF!</v>
      </c>
      <c r="DS12" s="75" t="e">
        <f t="shared" ca="1" si="39"/>
        <v>#REF!</v>
      </c>
      <c r="DT12" s="75" t="e">
        <f t="shared" ca="1" si="39"/>
        <v>#REF!</v>
      </c>
      <c r="DU12" s="75" t="e">
        <f t="shared" ca="1" si="39"/>
        <v>#REF!</v>
      </c>
      <c r="DV12" s="75" t="e">
        <f t="shared" ca="1" si="39"/>
        <v>#REF!</v>
      </c>
      <c r="DW12" s="75" t="e">
        <f t="shared" ca="1" si="39"/>
        <v>#REF!</v>
      </c>
      <c r="DX12" s="75" t="e">
        <f t="shared" ca="1" si="39"/>
        <v>#REF!</v>
      </c>
      <c r="DY12" s="75" t="e">
        <f t="shared" ca="1" si="39"/>
        <v>#REF!</v>
      </c>
      <c r="DZ12" s="75" t="e">
        <f t="shared" ca="1" si="39"/>
        <v>#REF!</v>
      </c>
      <c r="EA12" s="75" t="e">
        <f t="shared" ca="1" si="39"/>
        <v>#REF!</v>
      </c>
      <c r="EB12" s="75" t="e">
        <f t="shared" ca="1" si="39"/>
        <v>#REF!</v>
      </c>
      <c r="EC12" s="75" t="e">
        <f t="shared" ca="1" si="39"/>
        <v>#REF!</v>
      </c>
      <c r="ED12" s="75" t="e">
        <f t="shared" ca="1" si="39"/>
        <v>#REF!</v>
      </c>
      <c r="EE12" s="75" t="e">
        <f t="shared" ca="1" si="39"/>
        <v>#REF!</v>
      </c>
      <c r="EF12" s="75" t="e">
        <f t="shared" ca="1" si="39"/>
        <v>#REF!</v>
      </c>
      <c r="EG12" s="75" t="e">
        <f t="shared" ca="1" si="39"/>
        <v>#REF!</v>
      </c>
      <c r="EH12" s="75" t="e">
        <f t="shared" ca="1" si="40"/>
        <v>#REF!</v>
      </c>
      <c r="EI12" s="75" t="e">
        <f t="shared" ca="1" si="40"/>
        <v>#REF!</v>
      </c>
      <c r="EJ12" s="75" t="e">
        <f t="shared" ca="1" si="40"/>
        <v>#REF!</v>
      </c>
      <c r="EK12" s="75" t="e">
        <f t="shared" ca="1" si="40"/>
        <v>#REF!</v>
      </c>
      <c r="EL12" s="75" t="e">
        <f t="shared" ca="1" si="40"/>
        <v>#REF!</v>
      </c>
      <c r="EM12" s="75" t="e">
        <f t="shared" ca="1" si="40"/>
        <v>#REF!</v>
      </c>
      <c r="EN12" s="75" t="e">
        <f t="shared" ca="1" si="40"/>
        <v>#REF!</v>
      </c>
      <c r="EO12" s="75" t="e">
        <f t="shared" ca="1" si="40"/>
        <v>#REF!</v>
      </c>
      <c r="EP12" s="75" t="e">
        <f t="shared" ca="1" si="40"/>
        <v>#REF!</v>
      </c>
      <c r="EQ12" s="75" t="e">
        <f t="shared" ca="1" si="40"/>
        <v>#REF!</v>
      </c>
      <c r="ER12" s="75" t="e">
        <f t="shared" ca="1" si="40"/>
        <v>#REF!</v>
      </c>
      <c r="ES12" s="75" t="e">
        <f t="shared" ca="1" si="40"/>
        <v>#REF!</v>
      </c>
      <c r="ET12" s="75" t="e">
        <f t="shared" ca="1" si="40"/>
        <v>#REF!</v>
      </c>
      <c r="EU12" s="75" t="e">
        <f t="shared" ca="1" si="40"/>
        <v>#REF!</v>
      </c>
      <c r="EV12" s="75" t="e">
        <f t="shared" ca="1" si="40"/>
        <v>#REF!</v>
      </c>
      <c r="EW12" s="75" t="e">
        <f t="shared" ca="1" si="40"/>
        <v>#REF!</v>
      </c>
      <c r="EX12" s="75" t="e">
        <f t="shared" ca="1" si="41"/>
        <v>#REF!</v>
      </c>
      <c r="EY12" s="75" t="e">
        <f t="shared" ca="1" si="41"/>
        <v>#REF!</v>
      </c>
      <c r="EZ12" s="75" t="e">
        <f t="shared" ca="1" si="41"/>
        <v>#REF!</v>
      </c>
      <c r="FA12" s="75" t="e">
        <f t="shared" ca="1" si="41"/>
        <v>#REF!</v>
      </c>
      <c r="FB12" s="75" t="e">
        <f t="shared" ca="1" si="41"/>
        <v>#REF!</v>
      </c>
      <c r="FC12" s="75" t="e">
        <f t="shared" ca="1" si="41"/>
        <v>#REF!</v>
      </c>
      <c r="FD12" s="75" t="e">
        <f t="shared" ca="1" si="41"/>
        <v>#REF!</v>
      </c>
      <c r="FE12" s="75" t="e">
        <f t="shared" ca="1" si="41"/>
        <v>#REF!</v>
      </c>
      <c r="FF12" s="75" t="e">
        <f t="shared" ca="1" si="41"/>
        <v>#REF!</v>
      </c>
      <c r="FG12" s="75" t="e">
        <f t="shared" ca="1" si="41"/>
        <v>#REF!</v>
      </c>
      <c r="FH12" s="75" t="e">
        <f t="shared" ca="1" si="41"/>
        <v>#REF!</v>
      </c>
      <c r="FI12" s="75" t="e">
        <f t="shared" ca="1" si="41"/>
        <v>#REF!</v>
      </c>
      <c r="FJ12" s="75" t="e">
        <f t="shared" ca="1" si="41"/>
        <v>#REF!</v>
      </c>
      <c r="FK12" s="75" t="e">
        <f t="shared" ca="1" si="41"/>
        <v>#REF!</v>
      </c>
      <c r="FL12" s="75" t="e">
        <f t="shared" ca="1" si="41"/>
        <v>#REF!</v>
      </c>
      <c r="FM12" s="75" t="e">
        <f t="shared" ca="1" si="41"/>
        <v>#REF!</v>
      </c>
      <c r="FN12" s="75" t="e">
        <f t="shared" ca="1" si="42"/>
        <v>#REF!</v>
      </c>
      <c r="FO12" s="75" t="e">
        <f t="shared" ca="1" si="42"/>
        <v>#REF!</v>
      </c>
      <c r="FP12" s="75" t="e">
        <f t="shared" ca="1" si="42"/>
        <v>#REF!</v>
      </c>
      <c r="FQ12" s="75" t="e">
        <f t="shared" ca="1" si="42"/>
        <v>#REF!</v>
      </c>
      <c r="FR12" s="75" t="e">
        <f t="shared" ca="1" si="42"/>
        <v>#REF!</v>
      </c>
      <c r="FS12" s="75" t="e">
        <f t="shared" ca="1" si="42"/>
        <v>#REF!</v>
      </c>
      <c r="FT12" s="75" t="e">
        <f t="shared" ca="1" si="42"/>
        <v>#REF!</v>
      </c>
      <c r="FU12" s="75" t="e">
        <f t="shared" ca="1" si="42"/>
        <v>#REF!</v>
      </c>
      <c r="FV12" s="75" t="e">
        <f t="shared" ca="1" si="42"/>
        <v>#REF!</v>
      </c>
      <c r="FW12" s="75" t="e">
        <f t="shared" ca="1" si="42"/>
        <v>#REF!</v>
      </c>
      <c r="FX12" s="75" t="e">
        <f t="shared" ca="1" si="42"/>
        <v>#REF!</v>
      </c>
      <c r="FY12" s="75" t="e">
        <f t="shared" ca="1" si="42"/>
        <v>#REF!</v>
      </c>
      <c r="FZ12" s="75" t="e">
        <f t="shared" ca="1" si="42"/>
        <v>#REF!</v>
      </c>
      <c r="GA12" s="75" t="e">
        <f t="shared" ca="1" si="42"/>
        <v>#REF!</v>
      </c>
      <c r="GB12" s="75" t="e">
        <f t="shared" ca="1" si="42"/>
        <v>#REF!</v>
      </c>
      <c r="GC12" s="75" t="e">
        <f t="shared" ca="1" si="42"/>
        <v>#REF!</v>
      </c>
      <c r="GD12" s="75" t="e">
        <f t="shared" ca="1" si="43"/>
        <v>#REF!</v>
      </c>
      <c r="GE12" s="75" t="e">
        <f t="shared" ca="1" si="43"/>
        <v>#REF!</v>
      </c>
      <c r="GF12" s="75" t="e">
        <f t="shared" ca="1" si="43"/>
        <v>#REF!</v>
      </c>
      <c r="GG12" s="75" t="e">
        <f t="shared" ca="1" si="43"/>
        <v>#REF!</v>
      </c>
      <c r="GH12" s="75" t="e">
        <f t="shared" ca="1" si="43"/>
        <v>#REF!</v>
      </c>
      <c r="GI12" s="75" t="e">
        <f t="shared" ca="1" si="43"/>
        <v>#REF!</v>
      </c>
      <c r="GJ12" s="75" t="e">
        <f t="shared" ca="1" si="43"/>
        <v>#REF!</v>
      </c>
      <c r="GK12" s="75" t="e">
        <f t="shared" ca="1" si="43"/>
        <v>#REF!</v>
      </c>
      <c r="GL12" s="75" t="e">
        <f t="shared" ca="1" si="43"/>
        <v>#REF!</v>
      </c>
      <c r="GM12" s="75" t="e">
        <f t="shared" ca="1" si="43"/>
        <v>#REF!</v>
      </c>
      <c r="GN12" s="75" t="e">
        <f t="shared" ca="1" si="43"/>
        <v>#REF!</v>
      </c>
      <c r="GO12" s="75" t="e">
        <f t="shared" ca="1" si="43"/>
        <v>#REF!</v>
      </c>
      <c r="GP12" s="75" t="e">
        <f t="shared" ca="1" si="43"/>
        <v>#REF!</v>
      </c>
      <c r="GQ12" s="75" t="e">
        <f t="shared" ca="1" si="43"/>
        <v>#REF!</v>
      </c>
      <c r="GR12" s="75" t="e">
        <f t="shared" ca="1" si="43"/>
        <v>#REF!</v>
      </c>
      <c r="GS12" s="75" t="e">
        <f t="shared" ca="1" si="43"/>
        <v>#REF!</v>
      </c>
      <c r="GT12" s="75" t="e">
        <f t="shared" ca="1" si="44"/>
        <v>#REF!</v>
      </c>
      <c r="GU12" s="75" t="e">
        <f t="shared" ca="1" si="44"/>
        <v>#REF!</v>
      </c>
      <c r="GV12" s="75" t="e">
        <f t="shared" ca="1" si="44"/>
        <v>#REF!</v>
      </c>
      <c r="GW12" s="75" t="e">
        <f t="shared" ca="1" si="44"/>
        <v>#REF!</v>
      </c>
      <c r="GX12" s="75" t="e">
        <f t="shared" ca="1" si="44"/>
        <v>#REF!</v>
      </c>
      <c r="GY12" s="75" t="e">
        <f t="shared" ca="1" si="44"/>
        <v>#REF!</v>
      </c>
      <c r="GZ12" s="75" t="e">
        <f t="shared" ca="1" si="44"/>
        <v>#REF!</v>
      </c>
      <c r="HA12" s="75" t="e">
        <f t="shared" ca="1" si="44"/>
        <v>#REF!</v>
      </c>
      <c r="HB12" s="75" t="e">
        <f t="shared" ca="1" si="44"/>
        <v>#REF!</v>
      </c>
      <c r="HC12" s="75" t="e">
        <f t="shared" ca="1" si="44"/>
        <v>#REF!</v>
      </c>
      <c r="HD12" s="75" t="e">
        <f t="shared" ca="1" si="44"/>
        <v>#REF!</v>
      </c>
      <c r="HE12" s="75" t="e">
        <f t="shared" ca="1" si="44"/>
        <v>#REF!</v>
      </c>
      <c r="HF12" s="75" t="e">
        <f t="shared" ca="1" si="44"/>
        <v>#REF!</v>
      </c>
      <c r="HG12" s="75" t="e">
        <f t="shared" ca="1" si="44"/>
        <v>#REF!</v>
      </c>
      <c r="HH12" s="75" t="e">
        <f t="shared" ca="1" si="44"/>
        <v>#REF!</v>
      </c>
      <c r="HI12" s="75" t="e">
        <f t="shared" ca="1" si="44"/>
        <v>#REF!</v>
      </c>
      <c r="HJ12" s="75" t="e">
        <f t="shared" ca="1" si="45"/>
        <v>#REF!</v>
      </c>
      <c r="HK12" s="75" t="e">
        <f t="shared" ca="1" si="45"/>
        <v>#REF!</v>
      </c>
      <c r="HL12" s="75" t="e">
        <f t="shared" ca="1" si="45"/>
        <v>#REF!</v>
      </c>
      <c r="HM12" s="75" t="e">
        <f t="shared" ca="1" si="45"/>
        <v>#REF!</v>
      </c>
      <c r="HN12" s="75" t="e">
        <f t="shared" ca="1" si="45"/>
        <v>#REF!</v>
      </c>
      <c r="HO12" s="75" t="e">
        <f t="shared" ca="1" si="45"/>
        <v>#REF!</v>
      </c>
      <c r="HP12" s="75" t="e">
        <f t="shared" ca="1" si="45"/>
        <v>#REF!</v>
      </c>
      <c r="HQ12" s="75" t="e">
        <f t="shared" ca="1" si="45"/>
        <v>#REF!</v>
      </c>
      <c r="HR12" s="75" t="e">
        <f t="shared" ca="1" si="45"/>
        <v>#REF!</v>
      </c>
      <c r="HS12" s="75" t="e">
        <f t="shared" ca="1" si="45"/>
        <v>#REF!</v>
      </c>
      <c r="HT12" s="75" t="e">
        <f t="shared" ca="1" si="45"/>
        <v>#REF!</v>
      </c>
      <c r="HU12" s="75" t="e">
        <f t="shared" ca="1" si="45"/>
        <v>#REF!</v>
      </c>
      <c r="HV12" s="75" t="e">
        <f t="shared" ca="1" si="45"/>
        <v>#REF!</v>
      </c>
      <c r="HW12" s="75" t="e">
        <f t="shared" ca="1" si="45"/>
        <v>#REF!</v>
      </c>
      <c r="HX12" s="75" t="e">
        <f t="shared" ca="1" si="45"/>
        <v>#REF!</v>
      </c>
      <c r="HY12" s="75" t="e">
        <f t="shared" ca="1" si="45"/>
        <v>#REF!</v>
      </c>
      <c r="HZ12" s="75" t="e">
        <f t="shared" ca="1" si="46"/>
        <v>#REF!</v>
      </c>
      <c r="IA12" s="75" t="e">
        <f t="shared" ca="1" si="46"/>
        <v>#REF!</v>
      </c>
      <c r="IB12" s="75" t="e">
        <f t="shared" ca="1" si="46"/>
        <v>#REF!</v>
      </c>
      <c r="IC12" s="75" t="e">
        <f t="shared" ca="1" si="46"/>
        <v>#REF!</v>
      </c>
      <c r="ID12" s="75" t="e">
        <f t="shared" ca="1" si="46"/>
        <v>#REF!</v>
      </c>
      <c r="IE12" s="75" t="e">
        <f t="shared" ca="1" si="46"/>
        <v>#REF!</v>
      </c>
      <c r="IF12" s="75" t="e">
        <f t="shared" ca="1" si="46"/>
        <v>#REF!</v>
      </c>
      <c r="IG12" s="75" t="e">
        <f t="shared" ca="1" si="46"/>
        <v>#REF!</v>
      </c>
      <c r="IH12" s="75" t="e">
        <f t="shared" ca="1" si="46"/>
        <v>#REF!</v>
      </c>
      <c r="II12" s="75" t="e">
        <f t="shared" ca="1" si="46"/>
        <v>#REF!</v>
      </c>
      <c r="IJ12" s="75" t="e">
        <f t="shared" ca="1" si="46"/>
        <v>#REF!</v>
      </c>
      <c r="IK12" s="75" t="e">
        <f t="shared" ca="1" si="46"/>
        <v>#REF!</v>
      </c>
      <c r="IL12" s="75" t="e">
        <f t="shared" ca="1" si="46"/>
        <v>#REF!</v>
      </c>
      <c r="IM12" s="75" t="e">
        <f t="shared" ca="1" si="46"/>
        <v>#REF!</v>
      </c>
      <c r="IN12" s="75" t="e">
        <f t="shared" ca="1" si="46"/>
        <v>#REF!</v>
      </c>
      <c r="IO12" s="75" t="e">
        <f t="shared" ca="1" si="46"/>
        <v>#REF!</v>
      </c>
      <c r="IP12" s="75" t="e">
        <f t="shared" ca="1" si="47"/>
        <v>#REF!</v>
      </c>
      <c r="IQ12" s="75" t="e">
        <f t="shared" ca="1" si="47"/>
        <v>#REF!</v>
      </c>
      <c r="IR12" s="75" t="e">
        <f t="shared" ca="1" si="47"/>
        <v>#REF!</v>
      </c>
      <c r="IS12" s="75" t="e">
        <f t="shared" ca="1" si="47"/>
        <v>#REF!</v>
      </c>
      <c r="IT12" s="75" t="e">
        <f t="shared" ca="1" si="47"/>
        <v>#REF!</v>
      </c>
      <c r="IU12" s="75" t="e">
        <f t="shared" ca="1" si="47"/>
        <v>#REF!</v>
      </c>
      <c r="IV12" s="75" t="e">
        <f t="shared" ca="1" si="47"/>
        <v>#REF!</v>
      </c>
      <c r="IW12" s="75" t="e">
        <f t="shared" ca="1" si="47"/>
        <v>#REF!</v>
      </c>
      <c r="IX12" s="75" t="e">
        <f t="shared" ca="1" si="47"/>
        <v>#REF!</v>
      </c>
      <c r="IY12" s="75" t="e">
        <f t="shared" ca="1" si="47"/>
        <v>#REF!</v>
      </c>
      <c r="IZ12" s="75" t="e">
        <f t="shared" ca="1" si="47"/>
        <v>#REF!</v>
      </c>
      <c r="JA12" s="75" t="e">
        <f t="shared" ca="1" si="47"/>
        <v>#REF!</v>
      </c>
      <c r="JB12" s="75" t="e">
        <f t="shared" ca="1" si="47"/>
        <v>#REF!</v>
      </c>
      <c r="JC12" s="75" t="e">
        <f t="shared" ca="1" si="47"/>
        <v>#REF!</v>
      </c>
      <c r="JD12" s="75" t="e">
        <f t="shared" ca="1" si="47"/>
        <v>#REF!</v>
      </c>
      <c r="JE12" s="75" t="e">
        <f t="shared" ca="1" si="47"/>
        <v>#REF!</v>
      </c>
      <c r="JF12" s="75" t="e">
        <f t="shared" ca="1" si="48"/>
        <v>#REF!</v>
      </c>
      <c r="JG12" s="75" t="e">
        <f t="shared" ca="1" si="48"/>
        <v>#REF!</v>
      </c>
      <c r="JH12" s="75" t="e">
        <f t="shared" ca="1" si="48"/>
        <v>#REF!</v>
      </c>
      <c r="JI12" s="75" t="e">
        <f t="shared" ca="1" si="48"/>
        <v>#REF!</v>
      </c>
      <c r="JJ12" s="75" t="e">
        <f t="shared" ca="1" si="48"/>
        <v>#REF!</v>
      </c>
      <c r="JK12" s="75" t="e">
        <f t="shared" ca="1" si="48"/>
        <v>#REF!</v>
      </c>
      <c r="JL12" s="75" t="e">
        <f t="shared" ca="1" si="48"/>
        <v>#REF!</v>
      </c>
      <c r="JM12" s="75" t="e">
        <f t="shared" ca="1" si="48"/>
        <v>#REF!</v>
      </c>
      <c r="JN12" s="75" t="e">
        <f t="shared" ca="1" si="48"/>
        <v>#REF!</v>
      </c>
      <c r="JO12" s="75" t="e">
        <f t="shared" ca="1" si="48"/>
        <v>#REF!</v>
      </c>
      <c r="JP12" s="75" t="e">
        <f t="shared" ca="1" si="48"/>
        <v>#REF!</v>
      </c>
      <c r="JQ12" s="75" t="e">
        <f t="shared" ca="1" si="48"/>
        <v>#REF!</v>
      </c>
      <c r="JR12" s="75" t="e">
        <f t="shared" ca="1" si="48"/>
        <v>#REF!</v>
      </c>
      <c r="JS12" s="75" t="e">
        <f t="shared" ca="1" si="48"/>
        <v>#REF!</v>
      </c>
      <c r="JT12" s="75" t="e">
        <f t="shared" ca="1" si="48"/>
        <v>#REF!</v>
      </c>
      <c r="JU12" s="75" t="e">
        <f t="shared" ca="1" si="48"/>
        <v>#REF!</v>
      </c>
      <c r="JV12" s="75" t="e">
        <f t="shared" ca="1" si="49"/>
        <v>#REF!</v>
      </c>
      <c r="JW12" s="75" t="e">
        <f t="shared" ca="1" si="49"/>
        <v>#REF!</v>
      </c>
      <c r="JX12" s="75" t="e">
        <f t="shared" ca="1" si="49"/>
        <v>#REF!</v>
      </c>
      <c r="JY12" s="75" t="e">
        <f t="shared" ca="1" si="49"/>
        <v>#REF!</v>
      </c>
      <c r="JZ12" s="75" t="e">
        <f t="shared" ca="1" si="49"/>
        <v>#REF!</v>
      </c>
      <c r="KA12" s="75" t="e">
        <f t="shared" ca="1" si="49"/>
        <v>#REF!</v>
      </c>
      <c r="KB12" s="75" t="e">
        <f t="shared" ca="1" si="49"/>
        <v>#REF!</v>
      </c>
      <c r="KC12" s="75" t="e">
        <f t="shared" ca="1" si="49"/>
        <v>#REF!</v>
      </c>
      <c r="KD12" s="75" t="e">
        <f t="shared" ca="1" si="49"/>
        <v>#REF!</v>
      </c>
      <c r="KE12" s="75" t="e">
        <f t="shared" ca="1" si="49"/>
        <v>#REF!</v>
      </c>
      <c r="KF12" s="75" t="e">
        <f t="shared" ca="1" si="49"/>
        <v>#REF!</v>
      </c>
      <c r="KG12" s="75" t="e">
        <f t="shared" ca="1" si="49"/>
        <v>#REF!</v>
      </c>
      <c r="KH12" s="75" t="e">
        <f t="shared" ca="1" si="49"/>
        <v>#REF!</v>
      </c>
      <c r="KI12" s="75" t="e">
        <f t="shared" ca="1" si="49"/>
        <v>#REF!</v>
      </c>
      <c r="KJ12" s="75" t="e">
        <f t="shared" ca="1" si="49"/>
        <v>#REF!</v>
      </c>
      <c r="KK12" s="75" t="e">
        <f t="shared" ca="1" si="49"/>
        <v>#REF!</v>
      </c>
      <c r="KL12" s="75" t="e">
        <f t="shared" ca="1" si="50"/>
        <v>#REF!</v>
      </c>
      <c r="KM12" s="75" t="e">
        <f t="shared" ca="1" si="50"/>
        <v>#REF!</v>
      </c>
      <c r="KN12" s="75" t="e">
        <f t="shared" ca="1" si="50"/>
        <v>#REF!</v>
      </c>
      <c r="KO12" s="75" t="e">
        <f t="shared" ca="1" si="50"/>
        <v>#REF!</v>
      </c>
      <c r="KP12" s="75" t="e">
        <f t="shared" ca="1" si="50"/>
        <v>#REF!</v>
      </c>
      <c r="KQ12" s="75" t="e">
        <f t="shared" ca="1" si="50"/>
        <v>#REF!</v>
      </c>
      <c r="KR12" s="75" t="e">
        <f t="shared" ca="1" si="50"/>
        <v>#REF!</v>
      </c>
      <c r="KS12" s="75" t="e">
        <f t="shared" ca="1" si="50"/>
        <v>#REF!</v>
      </c>
      <c r="KT12" s="75" t="e">
        <f t="shared" ca="1" si="50"/>
        <v>#REF!</v>
      </c>
      <c r="KU12" s="75" t="e">
        <f t="shared" ca="1" si="50"/>
        <v>#REF!</v>
      </c>
      <c r="KV12" s="75" t="e">
        <f t="shared" ca="1" si="50"/>
        <v>#REF!</v>
      </c>
      <c r="KW12" s="75" t="e">
        <f t="shared" ca="1" si="50"/>
        <v>#REF!</v>
      </c>
      <c r="KX12" s="75" t="e">
        <f t="shared" ca="1" si="50"/>
        <v>#REF!</v>
      </c>
      <c r="KY12" s="75" t="e">
        <f t="shared" ca="1" si="50"/>
        <v>#REF!</v>
      </c>
      <c r="KZ12" s="75" t="e">
        <f t="shared" ca="1" si="50"/>
        <v>#REF!</v>
      </c>
      <c r="LA12" s="75" t="e">
        <f t="shared" ca="1" si="50"/>
        <v>#REF!</v>
      </c>
      <c r="LB12" s="75" t="e">
        <f t="shared" ca="1" si="51"/>
        <v>#REF!</v>
      </c>
      <c r="LC12" s="75" t="e">
        <f t="shared" ca="1" si="51"/>
        <v>#REF!</v>
      </c>
      <c r="LD12" s="75" t="e">
        <f t="shared" ca="1" si="51"/>
        <v>#REF!</v>
      </c>
      <c r="LE12" s="75" t="e">
        <f t="shared" ca="1" si="51"/>
        <v>#REF!</v>
      </c>
      <c r="LF12" s="75" t="e">
        <f t="shared" ca="1" si="51"/>
        <v>#REF!</v>
      </c>
      <c r="LG12" s="75" t="e">
        <f t="shared" ca="1" si="51"/>
        <v>#REF!</v>
      </c>
      <c r="LH12" s="75" t="e">
        <f t="shared" ca="1" si="51"/>
        <v>#REF!</v>
      </c>
      <c r="LI12" s="75" t="e">
        <f t="shared" ca="1" si="51"/>
        <v>#REF!</v>
      </c>
      <c r="LJ12" s="75" t="e">
        <f t="shared" ca="1" si="51"/>
        <v>#REF!</v>
      </c>
      <c r="LK12" s="75" t="e">
        <f t="shared" ca="1" si="51"/>
        <v>#REF!</v>
      </c>
      <c r="LL12" s="75" t="e">
        <f t="shared" ca="1" si="51"/>
        <v>#REF!</v>
      </c>
      <c r="LM12" s="75" t="e">
        <f t="shared" ca="1" si="51"/>
        <v>#REF!</v>
      </c>
      <c r="LN12" s="75" t="e">
        <f t="shared" ca="1" si="51"/>
        <v>#REF!</v>
      </c>
      <c r="LO12" s="75" t="e">
        <f t="shared" ca="1" si="51"/>
        <v>#REF!</v>
      </c>
      <c r="LP12" s="75" t="e">
        <f t="shared" ca="1" si="51"/>
        <v>#REF!</v>
      </c>
      <c r="LQ12" s="75" t="e">
        <f t="shared" ca="1" si="51"/>
        <v>#REF!</v>
      </c>
      <c r="LR12" s="75" t="e">
        <f t="shared" ca="1" si="52"/>
        <v>#REF!</v>
      </c>
      <c r="LS12" s="75" t="e">
        <f t="shared" ca="1" si="52"/>
        <v>#REF!</v>
      </c>
      <c r="LT12" s="75" t="e">
        <f t="shared" ca="1" si="52"/>
        <v>#REF!</v>
      </c>
      <c r="LU12" s="75" t="e">
        <f t="shared" ca="1" si="52"/>
        <v>#REF!</v>
      </c>
      <c r="LV12" s="75" t="e">
        <f t="shared" ca="1" si="52"/>
        <v>#REF!</v>
      </c>
      <c r="LW12" s="75" t="e">
        <f t="shared" ca="1" si="52"/>
        <v>#REF!</v>
      </c>
      <c r="LX12" s="75" t="e">
        <f t="shared" ca="1" si="52"/>
        <v>#REF!</v>
      </c>
      <c r="LY12" s="75" t="e">
        <f t="shared" ca="1" si="52"/>
        <v>#REF!</v>
      </c>
      <c r="LZ12" s="75" t="e">
        <f t="shared" ca="1" si="52"/>
        <v>#REF!</v>
      </c>
      <c r="MA12" s="75" t="e">
        <f t="shared" ca="1" si="52"/>
        <v>#REF!</v>
      </c>
      <c r="MB12" s="75" t="e">
        <f t="shared" ca="1" si="52"/>
        <v>#REF!</v>
      </c>
      <c r="MC12" s="75" t="e">
        <f t="shared" ca="1" si="52"/>
        <v>#REF!</v>
      </c>
      <c r="MD12" s="75" t="e">
        <f t="shared" ca="1" si="52"/>
        <v>#REF!</v>
      </c>
      <c r="ME12" s="75" t="e">
        <f t="shared" ca="1" si="52"/>
        <v>#REF!</v>
      </c>
      <c r="MF12" s="75" t="e">
        <f t="shared" ca="1" si="52"/>
        <v>#REF!</v>
      </c>
      <c r="MG12" s="75" t="e">
        <f t="shared" ca="1" si="52"/>
        <v>#REF!</v>
      </c>
      <c r="MH12" s="75" t="e">
        <f t="shared" ca="1" si="53"/>
        <v>#REF!</v>
      </c>
      <c r="MI12" s="75" t="e">
        <f t="shared" ca="1" si="53"/>
        <v>#REF!</v>
      </c>
      <c r="MJ12" s="75" t="e">
        <f t="shared" ca="1" si="53"/>
        <v>#REF!</v>
      </c>
      <c r="MK12" s="75" t="e">
        <f t="shared" ca="1" si="53"/>
        <v>#REF!</v>
      </c>
      <c r="ML12" s="75" t="e">
        <f t="shared" ca="1" si="53"/>
        <v>#REF!</v>
      </c>
      <c r="MM12" s="75" t="e">
        <f t="shared" ca="1" si="53"/>
        <v>#REF!</v>
      </c>
      <c r="MN12" s="75" t="e">
        <f t="shared" ca="1" si="53"/>
        <v>#REF!</v>
      </c>
      <c r="MO12" s="75" t="e">
        <f t="shared" ca="1" si="53"/>
        <v>#REF!</v>
      </c>
      <c r="MP12" s="75" t="e">
        <f t="shared" ca="1" si="53"/>
        <v>#REF!</v>
      </c>
      <c r="MQ12" s="75" t="e">
        <f t="shared" ca="1" si="53"/>
        <v>#REF!</v>
      </c>
      <c r="MR12" s="75" t="e">
        <f t="shared" ca="1" si="53"/>
        <v>#REF!</v>
      </c>
      <c r="MS12" s="75" t="e">
        <f t="shared" ca="1" si="53"/>
        <v>#REF!</v>
      </c>
      <c r="MT12" s="75" t="e">
        <f t="shared" ca="1" si="53"/>
        <v>#REF!</v>
      </c>
      <c r="MU12" s="75" t="e">
        <f t="shared" ca="1" si="53"/>
        <v>#REF!</v>
      </c>
      <c r="MV12" s="75" t="e">
        <f t="shared" ca="1" si="53"/>
        <v>#REF!</v>
      </c>
      <c r="MW12" s="75" t="e">
        <f t="shared" ca="1" si="53"/>
        <v>#REF!</v>
      </c>
      <c r="MX12" s="75" t="e">
        <f t="shared" ca="1" si="54"/>
        <v>#REF!</v>
      </c>
      <c r="MY12" s="75" t="e">
        <f t="shared" ca="1" si="54"/>
        <v>#REF!</v>
      </c>
      <c r="MZ12" s="75" t="e">
        <f t="shared" ca="1" si="54"/>
        <v>#REF!</v>
      </c>
      <c r="NA12" s="75" t="e">
        <f t="shared" ca="1" si="54"/>
        <v>#REF!</v>
      </c>
      <c r="NB12" s="75" t="e">
        <f t="shared" ca="1" si="54"/>
        <v>#REF!</v>
      </c>
      <c r="NC12" s="75" t="e">
        <f t="shared" ca="1" si="54"/>
        <v>#REF!</v>
      </c>
      <c r="ND12" s="75" t="e">
        <f t="shared" ca="1" si="54"/>
        <v>#REF!</v>
      </c>
      <c r="NE12" s="75" t="e">
        <f t="shared" ca="1" si="54"/>
        <v>#REF!</v>
      </c>
      <c r="NF12" s="75" t="e">
        <f t="shared" ca="1" si="54"/>
        <v>#REF!</v>
      </c>
      <c r="NG12" s="75" t="e">
        <f t="shared" ca="1" si="54"/>
        <v>#REF!</v>
      </c>
      <c r="NH12" s="75" t="e">
        <f t="shared" ca="1" si="54"/>
        <v>#REF!</v>
      </c>
      <c r="NI12" s="75" t="e">
        <f t="shared" ca="1" si="54"/>
        <v>#REF!</v>
      </c>
      <c r="NJ12" s="75" t="e">
        <f t="shared" ca="1" si="54"/>
        <v>#REF!</v>
      </c>
      <c r="NK12" s="75" t="e">
        <f t="shared" ca="1" si="54"/>
        <v>#REF!</v>
      </c>
      <c r="NL12" s="75" t="e">
        <f t="shared" ca="1" si="54"/>
        <v>#REF!</v>
      </c>
      <c r="NM12" s="75" t="e">
        <f t="shared" ca="1" si="54"/>
        <v>#REF!</v>
      </c>
      <c r="NN12" s="75" t="e">
        <f t="shared" ca="1" si="55"/>
        <v>#REF!</v>
      </c>
      <c r="NO12" s="75" t="e">
        <f t="shared" ca="1" si="55"/>
        <v>#REF!</v>
      </c>
      <c r="NP12" s="75" t="e">
        <f t="shared" ca="1" si="55"/>
        <v>#REF!</v>
      </c>
      <c r="NQ12" s="75" t="e">
        <f t="shared" ca="1" si="55"/>
        <v>#REF!</v>
      </c>
      <c r="NR12" s="75" t="e">
        <f t="shared" ca="1" si="55"/>
        <v>#REF!</v>
      </c>
      <c r="NS12" s="75" t="e">
        <f t="shared" ca="1" si="55"/>
        <v>#REF!</v>
      </c>
      <c r="NT12" s="75" t="e">
        <f t="shared" ca="1" si="55"/>
        <v>#REF!</v>
      </c>
      <c r="NU12" s="75" t="e">
        <f t="shared" ca="1" si="55"/>
        <v>#REF!</v>
      </c>
      <c r="NV12" s="75" t="e">
        <f t="shared" ca="1" si="55"/>
        <v>#REF!</v>
      </c>
      <c r="NW12" s="75" t="e">
        <f t="shared" ca="1" si="55"/>
        <v>#REF!</v>
      </c>
      <c r="NX12" s="75" t="e">
        <f t="shared" ca="1" si="55"/>
        <v>#REF!</v>
      </c>
      <c r="NY12" s="75" t="e">
        <f t="shared" ca="1" si="55"/>
        <v>#REF!</v>
      </c>
      <c r="NZ12" s="75" t="e">
        <f t="shared" ca="1" si="55"/>
        <v>#REF!</v>
      </c>
      <c r="OA12" s="75" t="e">
        <f t="shared" ca="1" si="55"/>
        <v>#REF!</v>
      </c>
      <c r="OB12" s="75" t="e">
        <f t="shared" ca="1" si="55"/>
        <v>#REF!</v>
      </c>
      <c r="OC12" s="75" t="e">
        <f t="shared" ca="1" si="55"/>
        <v>#REF!</v>
      </c>
      <c r="OD12" s="75" t="e">
        <f t="shared" ca="1" si="56"/>
        <v>#REF!</v>
      </c>
      <c r="OE12" s="75" t="e">
        <f t="shared" ca="1" si="56"/>
        <v>#REF!</v>
      </c>
      <c r="OF12" s="75" t="e">
        <f t="shared" ca="1" si="56"/>
        <v>#REF!</v>
      </c>
      <c r="OG12" s="75" t="e">
        <f t="shared" ca="1" si="56"/>
        <v>#REF!</v>
      </c>
      <c r="OH12" s="75" t="e">
        <f t="shared" ca="1" si="56"/>
        <v>#REF!</v>
      </c>
      <c r="OI12" s="75" t="e">
        <f t="shared" ca="1" si="56"/>
        <v>#REF!</v>
      </c>
      <c r="OJ12" s="75" t="e">
        <f t="shared" ca="1" si="56"/>
        <v>#REF!</v>
      </c>
      <c r="OK12" s="75" t="e">
        <f t="shared" ca="1" si="56"/>
        <v>#REF!</v>
      </c>
      <c r="OL12" s="75" t="e">
        <f t="shared" ca="1" si="56"/>
        <v>#REF!</v>
      </c>
      <c r="OM12" s="75" t="e">
        <f t="shared" ca="1" si="56"/>
        <v>#REF!</v>
      </c>
      <c r="ON12" s="75" t="e">
        <f t="shared" ca="1" si="56"/>
        <v>#REF!</v>
      </c>
      <c r="OO12" s="75" t="e">
        <f t="shared" ca="1" si="56"/>
        <v>#REF!</v>
      </c>
      <c r="OP12" s="75" t="e">
        <f t="shared" ca="1" si="56"/>
        <v>#REF!</v>
      </c>
      <c r="OQ12" s="75" t="e">
        <f t="shared" ca="1" si="56"/>
        <v>#REF!</v>
      </c>
      <c r="OR12" s="75" t="e">
        <f t="shared" ca="1" si="56"/>
        <v>#REF!</v>
      </c>
      <c r="OS12" s="75" t="e">
        <f t="shared" ca="1" si="56"/>
        <v>#REF!</v>
      </c>
      <c r="OT12" s="75" t="e">
        <f t="shared" ca="1" si="57"/>
        <v>#REF!</v>
      </c>
      <c r="OU12" s="75" t="e">
        <f t="shared" ca="1" si="57"/>
        <v>#REF!</v>
      </c>
      <c r="OV12" s="75" t="e">
        <f t="shared" ca="1" si="57"/>
        <v>#REF!</v>
      </c>
      <c r="OW12" s="75" t="e">
        <f t="shared" ca="1" si="57"/>
        <v>#REF!</v>
      </c>
      <c r="OX12" s="75" t="e">
        <f t="shared" ca="1" si="57"/>
        <v>#REF!</v>
      </c>
      <c r="OY12" s="75" t="e">
        <f t="shared" ca="1" si="57"/>
        <v>#REF!</v>
      </c>
      <c r="OZ12" s="75" t="e">
        <f t="shared" ca="1" si="57"/>
        <v>#REF!</v>
      </c>
      <c r="PA12" s="75" t="e">
        <f t="shared" ca="1" si="57"/>
        <v>#REF!</v>
      </c>
      <c r="PB12" s="75" t="e">
        <f t="shared" ca="1" si="57"/>
        <v>#REF!</v>
      </c>
      <c r="PC12" s="75" t="e">
        <f t="shared" ca="1" si="57"/>
        <v>#REF!</v>
      </c>
      <c r="PD12" s="75" t="e">
        <f t="shared" ca="1" si="57"/>
        <v>#REF!</v>
      </c>
      <c r="PE12" s="75" t="e">
        <f t="shared" ca="1" si="57"/>
        <v>#REF!</v>
      </c>
      <c r="PF12" s="75" t="e">
        <f t="shared" ca="1" si="57"/>
        <v>#REF!</v>
      </c>
      <c r="PG12" s="75" t="e">
        <f t="shared" ca="1" si="57"/>
        <v>#REF!</v>
      </c>
      <c r="PH12" s="75" t="e">
        <f t="shared" ca="1" si="57"/>
        <v>#REF!</v>
      </c>
      <c r="PI12" s="75" t="e">
        <f t="shared" ca="1" si="57"/>
        <v>#REF!</v>
      </c>
      <c r="PJ12" s="75" t="e">
        <f t="shared" ca="1" si="58"/>
        <v>#REF!</v>
      </c>
      <c r="PK12" s="75" t="e">
        <f t="shared" ca="1" si="58"/>
        <v>#REF!</v>
      </c>
      <c r="PL12" s="75" t="e">
        <f t="shared" ca="1" si="58"/>
        <v>#REF!</v>
      </c>
      <c r="PM12" s="75" t="e">
        <f t="shared" ca="1" si="58"/>
        <v>#REF!</v>
      </c>
      <c r="PN12" s="75" t="e">
        <f t="shared" ca="1" si="58"/>
        <v>#REF!</v>
      </c>
      <c r="PO12" s="75" t="e">
        <f t="shared" ca="1" si="58"/>
        <v>#REF!</v>
      </c>
      <c r="PP12" s="75" t="e">
        <f t="shared" ca="1" si="58"/>
        <v>#REF!</v>
      </c>
      <c r="PQ12" s="75" t="e">
        <f t="shared" ca="1" si="58"/>
        <v>#REF!</v>
      </c>
      <c r="PR12" s="75" t="e">
        <f t="shared" ca="1" si="58"/>
        <v>#REF!</v>
      </c>
      <c r="PS12" s="75" t="e">
        <f t="shared" ca="1" si="58"/>
        <v>#REF!</v>
      </c>
      <c r="PT12" s="75" t="e">
        <f t="shared" ca="1" si="58"/>
        <v>#REF!</v>
      </c>
      <c r="PU12" s="75" t="e">
        <f t="shared" ca="1" si="58"/>
        <v>#REF!</v>
      </c>
      <c r="PV12" s="75" t="e">
        <f t="shared" ca="1" si="58"/>
        <v>#REF!</v>
      </c>
      <c r="PW12" s="75" t="e">
        <f t="shared" ca="1" si="58"/>
        <v>#REF!</v>
      </c>
      <c r="PX12" s="75" t="e">
        <f t="shared" ca="1" si="58"/>
        <v>#REF!</v>
      </c>
      <c r="PY12" s="75" t="e">
        <f t="shared" ca="1" si="58"/>
        <v>#REF!</v>
      </c>
      <c r="PZ12" s="75" t="e">
        <f t="shared" ca="1" si="59"/>
        <v>#REF!</v>
      </c>
      <c r="QA12" s="75" t="e">
        <f t="shared" ca="1" si="59"/>
        <v>#REF!</v>
      </c>
      <c r="QB12" s="75" t="e">
        <f t="shared" ca="1" si="59"/>
        <v>#REF!</v>
      </c>
      <c r="QC12" s="75" t="e">
        <f t="shared" ca="1" si="59"/>
        <v>#REF!</v>
      </c>
      <c r="QD12" s="75" t="e">
        <f t="shared" ca="1" si="59"/>
        <v>#REF!</v>
      </c>
      <c r="QE12" s="75" t="e">
        <f t="shared" ca="1" si="59"/>
        <v>#REF!</v>
      </c>
      <c r="QF12" s="75" t="e">
        <f t="shared" ca="1" si="59"/>
        <v>#REF!</v>
      </c>
      <c r="QG12" s="75" t="e">
        <f t="shared" ca="1" si="59"/>
        <v>#REF!</v>
      </c>
      <c r="QH12" s="75" t="e">
        <f t="shared" ca="1" si="59"/>
        <v>#REF!</v>
      </c>
      <c r="QI12" s="75" t="e">
        <f t="shared" ca="1" si="59"/>
        <v>#REF!</v>
      </c>
      <c r="QJ12" s="75" t="e">
        <f t="shared" ca="1" si="59"/>
        <v>#REF!</v>
      </c>
      <c r="QK12" s="75" t="e">
        <f t="shared" ca="1" si="59"/>
        <v>#REF!</v>
      </c>
      <c r="QL12" s="75" t="e">
        <f t="shared" ca="1" si="59"/>
        <v>#REF!</v>
      </c>
      <c r="QM12" s="75" t="e">
        <f t="shared" ca="1" si="59"/>
        <v>#REF!</v>
      </c>
      <c r="QN12" s="75" t="e">
        <f t="shared" ca="1" si="59"/>
        <v>#REF!</v>
      </c>
      <c r="QO12" s="75" t="e">
        <f t="shared" ca="1" si="59"/>
        <v>#REF!</v>
      </c>
      <c r="QP12" s="75" t="e">
        <f t="shared" ca="1" si="60"/>
        <v>#REF!</v>
      </c>
      <c r="QQ12" s="75" t="e">
        <f t="shared" ca="1" si="60"/>
        <v>#REF!</v>
      </c>
      <c r="QR12" s="75" t="e">
        <f t="shared" ca="1" si="60"/>
        <v>#REF!</v>
      </c>
      <c r="QS12" s="75" t="e">
        <f t="shared" ca="1" si="60"/>
        <v>#REF!</v>
      </c>
      <c r="QT12" s="75" t="e">
        <f t="shared" ca="1" si="60"/>
        <v>#REF!</v>
      </c>
      <c r="QU12" s="75" t="e">
        <f t="shared" ca="1" si="60"/>
        <v>#REF!</v>
      </c>
      <c r="QV12" s="75" t="e">
        <f t="shared" ca="1" si="60"/>
        <v>#REF!</v>
      </c>
      <c r="QW12" s="75" t="e">
        <f t="shared" ca="1" si="60"/>
        <v>#REF!</v>
      </c>
      <c r="QX12" s="75" t="e">
        <f t="shared" ca="1" si="60"/>
        <v>#REF!</v>
      </c>
      <c r="QY12" s="75" t="e">
        <f t="shared" ca="1" si="60"/>
        <v>#REF!</v>
      </c>
      <c r="QZ12" s="75" t="e">
        <f t="shared" ca="1" si="60"/>
        <v>#REF!</v>
      </c>
      <c r="RA12" s="75" t="e">
        <f t="shared" ca="1" si="60"/>
        <v>#REF!</v>
      </c>
      <c r="RB12" s="75" t="e">
        <f t="shared" ca="1" si="60"/>
        <v>#REF!</v>
      </c>
      <c r="RC12" s="75" t="e">
        <f t="shared" ca="1" si="60"/>
        <v>#REF!</v>
      </c>
      <c r="RD12" s="75" t="e">
        <f t="shared" ca="1" si="60"/>
        <v>#REF!</v>
      </c>
      <c r="RE12" s="75" t="e">
        <f t="shared" ca="1" si="60"/>
        <v>#REF!</v>
      </c>
      <c r="RF12" s="75" t="e">
        <f t="shared" ca="1" si="61"/>
        <v>#REF!</v>
      </c>
      <c r="RG12" s="75" t="e">
        <f t="shared" ca="1" si="61"/>
        <v>#REF!</v>
      </c>
      <c r="RH12" s="75" t="e">
        <f t="shared" ca="1" si="61"/>
        <v>#REF!</v>
      </c>
      <c r="RI12" s="75" t="e">
        <f t="shared" ca="1" si="61"/>
        <v>#REF!</v>
      </c>
      <c r="RJ12" s="75" t="e">
        <f t="shared" ca="1" si="61"/>
        <v>#REF!</v>
      </c>
      <c r="RK12" s="75" t="e">
        <f t="shared" ca="1" si="61"/>
        <v>#REF!</v>
      </c>
      <c r="RL12" s="75" t="e">
        <f t="shared" ca="1" si="61"/>
        <v>#REF!</v>
      </c>
      <c r="RM12" s="75" t="e">
        <f t="shared" ca="1" si="61"/>
        <v>#REF!</v>
      </c>
      <c r="RN12" s="75" t="e">
        <f t="shared" ca="1" si="61"/>
        <v>#REF!</v>
      </c>
      <c r="RO12" s="75" t="e">
        <f t="shared" ca="1" si="61"/>
        <v>#REF!</v>
      </c>
      <c r="RP12" s="75" t="e">
        <f t="shared" ca="1" si="61"/>
        <v>#REF!</v>
      </c>
      <c r="RQ12" s="75" t="e">
        <f t="shared" ca="1" si="61"/>
        <v>#REF!</v>
      </c>
      <c r="RR12" s="75" t="e">
        <f t="shared" ca="1" si="61"/>
        <v>#REF!</v>
      </c>
      <c r="RS12" s="75" t="e">
        <f t="shared" ca="1" si="61"/>
        <v>#REF!</v>
      </c>
      <c r="RT12" s="75" t="e">
        <f t="shared" ca="1" si="61"/>
        <v>#REF!</v>
      </c>
      <c r="RU12" s="75" t="e">
        <f t="shared" ca="1" si="61"/>
        <v>#REF!</v>
      </c>
      <c r="RV12" s="75" t="e">
        <f t="shared" ca="1" si="62"/>
        <v>#REF!</v>
      </c>
      <c r="RW12" s="75" t="e">
        <f t="shared" ca="1" si="62"/>
        <v>#REF!</v>
      </c>
      <c r="RX12" s="75" t="e">
        <f t="shared" ca="1" si="62"/>
        <v>#REF!</v>
      </c>
      <c r="RY12" s="75" t="e">
        <f t="shared" ca="1" si="62"/>
        <v>#REF!</v>
      </c>
      <c r="RZ12" s="75" t="e">
        <f t="shared" ca="1" si="62"/>
        <v>#REF!</v>
      </c>
      <c r="SA12" s="75" t="e">
        <f t="shared" ca="1" si="62"/>
        <v>#REF!</v>
      </c>
      <c r="SB12" s="75" t="e">
        <f t="shared" ca="1" si="62"/>
        <v>#REF!</v>
      </c>
      <c r="SC12" s="75" t="e">
        <f t="shared" ca="1" si="62"/>
        <v>#REF!</v>
      </c>
      <c r="SD12" s="75" t="e">
        <f t="shared" ca="1" si="62"/>
        <v>#REF!</v>
      </c>
      <c r="SE12" s="75" t="e">
        <f t="shared" ca="1" si="62"/>
        <v>#REF!</v>
      </c>
      <c r="SF12" s="75" t="e">
        <f t="shared" ca="1" si="62"/>
        <v>#REF!</v>
      </c>
      <c r="SG12" s="75" t="e">
        <f t="shared" ca="1" si="62"/>
        <v>#REF!</v>
      </c>
      <c r="SH12" s="75" t="e">
        <f t="shared" ca="1" si="62"/>
        <v>#REF!</v>
      </c>
      <c r="SI12" s="75" t="e">
        <f t="shared" ca="1" si="62"/>
        <v>#REF!</v>
      </c>
      <c r="SJ12" s="75" t="e">
        <f t="shared" ca="1" si="62"/>
        <v>#REF!</v>
      </c>
      <c r="SK12" s="75" t="e">
        <f t="shared" ca="1" si="62"/>
        <v>#REF!</v>
      </c>
      <c r="SL12" s="75" t="e">
        <f t="shared" ca="1" si="63"/>
        <v>#REF!</v>
      </c>
      <c r="SM12" s="75" t="e">
        <f t="shared" ca="1" si="63"/>
        <v>#REF!</v>
      </c>
      <c r="SN12" s="75" t="e">
        <f t="shared" ca="1" si="63"/>
        <v>#REF!</v>
      </c>
      <c r="SO12" s="75" t="e">
        <f t="shared" ca="1" si="63"/>
        <v>#REF!</v>
      </c>
      <c r="SP12" s="75" t="e">
        <f t="shared" ca="1" si="63"/>
        <v>#REF!</v>
      </c>
      <c r="SQ12" s="75" t="e">
        <f t="shared" ca="1" si="63"/>
        <v>#REF!</v>
      </c>
      <c r="SR12" s="75" t="e">
        <f t="shared" ca="1" si="63"/>
        <v>#REF!</v>
      </c>
      <c r="SS12" s="75" t="e">
        <f t="shared" ca="1" si="63"/>
        <v>#REF!</v>
      </c>
      <c r="ST12" s="75" t="e">
        <f t="shared" ca="1" si="63"/>
        <v>#REF!</v>
      </c>
      <c r="SU12" s="75" t="e">
        <f t="shared" ca="1" si="63"/>
        <v>#REF!</v>
      </c>
      <c r="SV12" s="75" t="e">
        <f t="shared" ca="1" si="63"/>
        <v>#REF!</v>
      </c>
      <c r="SW12" s="75" t="e">
        <f t="shared" ca="1" si="63"/>
        <v>#REF!</v>
      </c>
      <c r="SX12" s="75" t="e">
        <f t="shared" ca="1" si="63"/>
        <v>#REF!</v>
      </c>
      <c r="SY12" s="75" t="e">
        <f t="shared" ca="1" si="63"/>
        <v>#REF!</v>
      </c>
      <c r="SZ12" s="75" t="e">
        <f t="shared" ca="1" si="63"/>
        <v>#REF!</v>
      </c>
      <c r="TA12" s="75" t="e">
        <f t="shared" ca="1" si="63"/>
        <v>#REF!</v>
      </c>
      <c r="TB12" s="75" t="e">
        <f t="shared" ca="1" si="64"/>
        <v>#REF!</v>
      </c>
      <c r="TC12" s="75" t="e">
        <f t="shared" ca="1" si="64"/>
        <v>#REF!</v>
      </c>
      <c r="TD12" s="75" t="e">
        <f t="shared" ca="1" si="64"/>
        <v>#REF!</v>
      </c>
      <c r="TE12" s="75" t="e">
        <f t="shared" ca="1" si="64"/>
        <v>#REF!</v>
      </c>
      <c r="TF12" s="75" t="e">
        <f t="shared" ca="1" si="64"/>
        <v>#REF!</v>
      </c>
      <c r="TG12" s="75" t="e">
        <f t="shared" ca="1" si="64"/>
        <v>#REF!</v>
      </c>
      <c r="TH12" s="75" t="e">
        <f t="shared" ca="1" si="64"/>
        <v>#REF!</v>
      </c>
      <c r="TI12" s="75" t="e">
        <f t="shared" ca="1" si="64"/>
        <v>#REF!</v>
      </c>
      <c r="TJ12" s="75" t="e">
        <f t="shared" ca="1" si="64"/>
        <v>#REF!</v>
      </c>
      <c r="TK12" s="75" t="e">
        <f t="shared" ca="1" si="64"/>
        <v>#REF!</v>
      </c>
      <c r="TL12" s="75" t="e">
        <f t="shared" ca="1" si="64"/>
        <v>#REF!</v>
      </c>
      <c r="TM12" s="75" t="e">
        <f t="shared" ca="1" si="64"/>
        <v>#REF!</v>
      </c>
      <c r="TN12" s="75" t="e">
        <f t="shared" ca="1" si="64"/>
        <v>#REF!</v>
      </c>
      <c r="TO12" s="75" t="e">
        <f t="shared" ca="1" si="64"/>
        <v>#REF!</v>
      </c>
      <c r="TP12" s="75" t="e">
        <f t="shared" ca="1" si="64"/>
        <v>#REF!</v>
      </c>
      <c r="TQ12" s="75" t="e">
        <f t="shared" ca="1" si="64"/>
        <v>#REF!</v>
      </c>
      <c r="TR12" s="75" t="e">
        <f t="shared" ca="1" si="65"/>
        <v>#REF!</v>
      </c>
      <c r="TS12" s="75" t="e">
        <f t="shared" ca="1" si="65"/>
        <v>#REF!</v>
      </c>
      <c r="TT12" s="75" t="e">
        <f t="shared" ca="1" si="65"/>
        <v>#REF!</v>
      </c>
      <c r="TU12" s="75" t="e">
        <f t="shared" ca="1" si="65"/>
        <v>#REF!</v>
      </c>
      <c r="TV12" s="75" t="e">
        <f t="shared" ca="1" si="65"/>
        <v>#REF!</v>
      </c>
      <c r="TW12" s="75" t="e">
        <f t="shared" ca="1" si="65"/>
        <v>#REF!</v>
      </c>
      <c r="TX12" s="75" t="e">
        <f t="shared" ca="1" si="65"/>
        <v>#REF!</v>
      </c>
      <c r="TY12" s="75" t="e">
        <f t="shared" ca="1" si="65"/>
        <v>#REF!</v>
      </c>
      <c r="TZ12" s="75" t="e">
        <f t="shared" ca="1" si="65"/>
        <v>#REF!</v>
      </c>
      <c r="UA12" s="75" t="e">
        <f t="shared" ca="1" si="65"/>
        <v>#REF!</v>
      </c>
      <c r="UB12" s="75" t="e">
        <f t="shared" ca="1" si="65"/>
        <v>#REF!</v>
      </c>
      <c r="UC12" s="75" t="e">
        <f t="shared" ca="1" si="65"/>
        <v>#REF!</v>
      </c>
      <c r="UD12" s="75" t="e">
        <f t="shared" ca="1" si="65"/>
        <v>#REF!</v>
      </c>
      <c r="UE12" s="75" t="e">
        <f t="shared" ca="1" si="65"/>
        <v>#REF!</v>
      </c>
      <c r="UF12" s="75" t="e">
        <f t="shared" ca="1" si="65"/>
        <v>#REF!</v>
      </c>
      <c r="UG12" s="75" t="e">
        <f t="shared" ca="1" si="65"/>
        <v>#REF!</v>
      </c>
      <c r="UH12" s="75" t="e">
        <f t="shared" ca="1" si="66"/>
        <v>#REF!</v>
      </c>
      <c r="UI12" s="75" t="e">
        <f t="shared" ca="1" si="66"/>
        <v>#REF!</v>
      </c>
      <c r="UJ12" s="75" t="e">
        <f t="shared" ca="1" si="66"/>
        <v>#REF!</v>
      </c>
      <c r="UK12" s="75" t="e">
        <f t="shared" ca="1" si="66"/>
        <v>#REF!</v>
      </c>
      <c r="UL12" s="75" t="e">
        <f t="shared" ca="1" si="66"/>
        <v>#REF!</v>
      </c>
      <c r="UM12" s="75" t="e">
        <f t="shared" ca="1" si="66"/>
        <v>#REF!</v>
      </c>
      <c r="UN12" s="75" t="e">
        <f t="shared" ca="1" si="66"/>
        <v>#REF!</v>
      </c>
      <c r="UO12" s="75" t="e">
        <f t="shared" ca="1" si="66"/>
        <v>#REF!</v>
      </c>
      <c r="UP12" s="75" t="e">
        <f t="shared" ca="1" si="66"/>
        <v>#REF!</v>
      </c>
      <c r="UQ12" s="75" t="e">
        <f t="shared" ca="1" si="66"/>
        <v>#REF!</v>
      </c>
      <c r="UR12" s="75" t="e">
        <f t="shared" ca="1" si="66"/>
        <v>#REF!</v>
      </c>
      <c r="US12" s="75" t="e">
        <f t="shared" ca="1" si="66"/>
        <v>#REF!</v>
      </c>
      <c r="UT12" s="75" t="e">
        <f t="shared" ca="1" si="66"/>
        <v>#REF!</v>
      </c>
      <c r="UU12" s="75" t="e">
        <f t="shared" ca="1" si="66"/>
        <v>#REF!</v>
      </c>
      <c r="UV12" s="75" t="e">
        <f t="shared" ca="1" si="66"/>
        <v>#REF!</v>
      </c>
      <c r="UW12" s="75" t="e">
        <f t="shared" ca="1" si="66"/>
        <v>#REF!</v>
      </c>
      <c r="UX12" s="75" t="e">
        <f t="shared" ca="1" si="67"/>
        <v>#REF!</v>
      </c>
      <c r="UY12" s="75" t="e">
        <f t="shared" ca="1" si="67"/>
        <v>#REF!</v>
      </c>
      <c r="UZ12" s="75" t="e">
        <f t="shared" ca="1" si="67"/>
        <v>#REF!</v>
      </c>
      <c r="VA12" s="75" t="e">
        <f t="shared" ca="1" si="67"/>
        <v>#REF!</v>
      </c>
      <c r="VB12" s="75" t="e">
        <f t="shared" ca="1" si="67"/>
        <v>#REF!</v>
      </c>
      <c r="VC12" s="75" t="e">
        <f t="shared" ca="1" si="67"/>
        <v>#REF!</v>
      </c>
      <c r="VD12" s="75" t="e">
        <f t="shared" ca="1" si="67"/>
        <v>#REF!</v>
      </c>
      <c r="VE12" s="75" t="e">
        <f t="shared" ca="1" si="67"/>
        <v>#REF!</v>
      </c>
      <c r="VF12" s="75" t="e">
        <f t="shared" ca="1" si="67"/>
        <v>#REF!</v>
      </c>
      <c r="VG12" s="75" t="e">
        <f t="shared" ca="1" si="67"/>
        <v>#REF!</v>
      </c>
      <c r="VH12" s="75" t="e">
        <f t="shared" ca="1" si="67"/>
        <v>#REF!</v>
      </c>
      <c r="VI12" s="75" t="e">
        <f t="shared" ca="1" si="67"/>
        <v>#REF!</v>
      </c>
      <c r="VJ12" s="75" t="e">
        <f t="shared" ca="1" si="67"/>
        <v>#REF!</v>
      </c>
      <c r="VK12" s="75" t="e">
        <f t="shared" ca="1" si="67"/>
        <v>#REF!</v>
      </c>
      <c r="VL12" s="75" t="e">
        <f t="shared" ca="1" si="67"/>
        <v>#REF!</v>
      </c>
      <c r="VM12" s="75" t="e">
        <f t="shared" ca="1" si="67"/>
        <v>#REF!</v>
      </c>
      <c r="VN12" s="75" t="e">
        <f t="shared" ca="1" si="68"/>
        <v>#REF!</v>
      </c>
      <c r="VO12" s="75" t="e">
        <f t="shared" ca="1" si="68"/>
        <v>#REF!</v>
      </c>
      <c r="VP12" s="75" t="e">
        <f t="shared" ca="1" si="68"/>
        <v>#REF!</v>
      </c>
      <c r="VQ12" s="75" t="e">
        <f t="shared" ca="1" si="68"/>
        <v>#REF!</v>
      </c>
      <c r="VR12" s="75" t="e">
        <f t="shared" ca="1" si="68"/>
        <v>#REF!</v>
      </c>
      <c r="VS12" s="75" t="e">
        <f t="shared" ca="1" si="68"/>
        <v>#REF!</v>
      </c>
    </row>
    <row r="13" spans="1:591" s="17" customFormat="1" ht="16.2" customHeight="1" x14ac:dyDescent="0.3">
      <c r="A13" s="82"/>
      <c r="B13" s="56" t="str">
        <f>'CoS Tracker'!$Y$7</f>
        <v>1. Written Brief Due / Design Briefing Session</v>
      </c>
      <c r="C13" s="19" t="s">
        <v>76</v>
      </c>
      <c r="D13" s="19"/>
      <c r="E13" s="27">
        <v>0</v>
      </c>
      <c r="F13" s="26" t="e">
        <f>F12</f>
        <v>#REF!</v>
      </c>
      <c r="G13" s="26" t="e">
        <f>'CoS Tracker'!#REF!</f>
        <v>#REF!</v>
      </c>
      <c r="H13" s="25" t="e">
        <f>Milestones43524[[#This Row],[End]]-Milestones43524[[#This Row],[Start]]</f>
        <v>#REF!</v>
      </c>
      <c r="I13" s="19"/>
      <c r="J13" s="24" t="e">
        <f t="shared" ca="1" si="32"/>
        <v>#REF!</v>
      </c>
      <c r="K13" s="24" t="e">
        <f t="shared" ca="1" si="32"/>
        <v>#REF!</v>
      </c>
      <c r="L13" s="24" t="e">
        <f t="shared" ca="1" si="32"/>
        <v>#REF!</v>
      </c>
      <c r="M13" s="24" t="e">
        <f t="shared" ca="1" si="32"/>
        <v>#REF!</v>
      </c>
      <c r="N13" s="24" t="e">
        <f t="shared" ca="1" si="32"/>
        <v>#REF!</v>
      </c>
      <c r="O13" s="24" t="e">
        <f t="shared" ca="1" si="32"/>
        <v>#REF!</v>
      </c>
      <c r="P13" s="24" t="e">
        <f t="shared" ca="1" si="32"/>
        <v>#REF!</v>
      </c>
      <c r="Q13" s="24" t="e">
        <f t="shared" ca="1" si="32"/>
        <v>#REF!</v>
      </c>
      <c r="R13" s="24" t="e">
        <f t="shared" ca="1" si="32"/>
        <v>#REF!</v>
      </c>
      <c r="S13" s="24" t="e">
        <f t="shared" ca="1" si="32"/>
        <v>#REF!</v>
      </c>
      <c r="T13" s="24" t="e">
        <f t="shared" ca="1" si="32"/>
        <v>#REF!</v>
      </c>
      <c r="U13" s="24" t="e">
        <f t="shared" ca="1" si="32"/>
        <v>#REF!</v>
      </c>
      <c r="V13" s="24" t="e">
        <f t="shared" ca="1" si="32"/>
        <v>#REF!</v>
      </c>
      <c r="W13" s="24" t="e">
        <f t="shared" ca="1" si="32"/>
        <v>#REF!</v>
      </c>
      <c r="X13" s="24" t="e">
        <f t="shared" ca="1" si="32"/>
        <v>#REF!</v>
      </c>
      <c r="Y13" s="24" t="e">
        <f t="shared" ca="1" si="32"/>
        <v>#REF!</v>
      </c>
      <c r="Z13" s="24" t="e">
        <f t="shared" ca="1" si="33"/>
        <v>#REF!</v>
      </c>
      <c r="AA13" s="24" t="e">
        <f t="shared" ca="1" si="33"/>
        <v>#REF!</v>
      </c>
      <c r="AB13" s="24" t="e">
        <f t="shared" ca="1" si="33"/>
        <v>#REF!</v>
      </c>
      <c r="AC13" s="24" t="e">
        <f t="shared" ca="1" si="33"/>
        <v>#REF!</v>
      </c>
      <c r="AD13" s="24" t="e">
        <f t="shared" ca="1" si="33"/>
        <v>#REF!</v>
      </c>
      <c r="AE13" s="24" t="e">
        <f t="shared" ca="1" si="33"/>
        <v>#REF!</v>
      </c>
      <c r="AF13" s="24" t="e">
        <f t="shared" ca="1" si="33"/>
        <v>#REF!</v>
      </c>
      <c r="AG13" s="24" t="e">
        <f t="shared" ca="1" si="33"/>
        <v>#REF!</v>
      </c>
      <c r="AH13" s="24" t="e">
        <f t="shared" ca="1" si="33"/>
        <v>#REF!</v>
      </c>
      <c r="AI13" s="24" t="e">
        <f t="shared" ca="1" si="33"/>
        <v>#REF!</v>
      </c>
      <c r="AJ13" s="24" t="e">
        <f t="shared" ca="1" si="33"/>
        <v>#REF!</v>
      </c>
      <c r="AK13" s="24" t="e">
        <f t="shared" ca="1" si="33"/>
        <v>#REF!</v>
      </c>
      <c r="AL13" s="24" t="e">
        <f t="shared" ca="1" si="33"/>
        <v>#REF!</v>
      </c>
      <c r="AM13" s="24" t="e">
        <f t="shared" ca="1" si="33"/>
        <v>#REF!</v>
      </c>
      <c r="AN13" s="24" t="e">
        <f t="shared" ca="1" si="33"/>
        <v>#REF!</v>
      </c>
      <c r="AO13" s="24" t="e">
        <f t="shared" ca="1" si="33"/>
        <v>#REF!</v>
      </c>
      <c r="AP13" s="24" t="e">
        <f t="shared" ca="1" si="34"/>
        <v>#REF!</v>
      </c>
      <c r="AQ13" s="24" t="e">
        <f t="shared" ca="1" si="34"/>
        <v>#REF!</v>
      </c>
      <c r="AR13" s="24" t="e">
        <f t="shared" ca="1" si="34"/>
        <v>#REF!</v>
      </c>
      <c r="AS13" s="24" t="e">
        <f t="shared" ca="1" si="34"/>
        <v>#REF!</v>
      </c>
      <c r="AT13" s="24" t="e">
        <f t="shared" ca="1" si="34"/>
        <v>#REF!</v>
      </c>
      <c r="AU13" s="24" t="e">
        <f t="shared" ca="1" si="34"/>
        <v>#REF!</v>
      </c>
      <c r="AV13" s="24" t="e">
        <f t="shared" ca="1" si="34"/>
        <v>#REF!</v>
      </c>
      <c r="AW13" s="24" t="e">
        <f t="shared" ca="1" si="34"/>
        <v>#REF!</v>
      </c>
      <c r="AX13" s="24" t="e">
        <f t="shared" ca="1" si="34"/>
        <v>#REF!</v>
      </c>
      <c r="AY13" s="24" t="e">
        <f t="shared" ca="1" si="34"/>
        <v>#REF!</v>
      </c>
      <c r="AZ13" s="24" t="e">
        <f t="shared" ca="1" si="34"/>
        <v>#REF!</v>
      </c>
      <c r="BA13" s="24" t="e">
        <f t="shared" ca="1" si="34"/>
        <v>#REF!</v>
      </c>
      <c r="BB13" s="24" t="e">
        <f t="shared" ca="1" si="34"/>
        <v>#REF!</v>
      </c>
      <c r="BC13" s="24" t="e">
        <f t="shared" ca="1" si="34"/>
        <v>#REF!</v>
      </c>
      <c r="BD13" s="24" t="e">
        <f t="shared" ca="1" si="34"/>
        <v>#REF!</v>
      </c>
      <c r="BE13" s="24" t="e">
        <f t="shared" ca="1" si="34"/>
        <v>#REF!</v>
      </c>
      <c r="BF13" s="24" t="e">
        <f t="shared" ca="1" si="35"/>
        <v>#REF!</v>
      </c>
      <c r="BG13" s="24" t="e">
        <f t="shared" ca="1" si="35"/>
        <v>#REF!</v>
      </c>
      <c r="BH13" s="24" t="e">
        <f t="shared" ca="1" si="35"/>
        <v>#REF!</v>
      </c>
      <c r="BI13" s="24" t="e">
        <f t="shared" ca="1" si="35"/>
        <v>#REF!</v>
      </c>
      <c r="BJ13" s="24" t="e">
        <f t="shared" ca="1" si="35"/>
        <v>#REF!</v>
      </c>
      <c r="BK13" s="24" t="e">
        <f t="shared" ca="1" si="35"/>
        <v>#REF!</v>
      </c>
      <c r="BL13" s="24" t="e">
        <f t="shared" ca="1" si="35"/>
        <v>#REF!</v>
      </c>
      <c r="BM13" s="24" t="e">
        <f t="shared" ca="1" si="35"/>
        <v>#REF!</v>
      </c>
      <c r="BN13" s="24" t="e">
        <f t="shared" ca="1" si="35"/>
        <v>#REF!</v>
      </c>
      <c r="BO13" s="24" t="e">
        <f t="shared" ca="1" si="35"/>
        <v>#REF!</v>
      </c>
      <c r="BP13" s="24" t="e">
        <f t="shared" ca="1" si="35"/>
        <v>#REF!</v>
      </c>
      <c r="BQ13" s="24" t="e">
        <f t="shared" ca="1" si="35"/>
        <v>#REF!</v>
      </c>
      <c r="BR13" s="24" t="e">
        <f t="shared" ca="1" si="35"/>
        <v>#REF!</v>
      </c>
      <c r="BS13" s="24" t="e">
        <f t="shared" ca="1" si="35"/>
        <v>#REF!</v>
      </c>
      <c r="BT13" s="24" t="e">
        <f t="shared" ca="1" si="35"/>
        <v>#REF!</v>
      </c>
      <c r="BU13" s="24" t="e">
        <f t="shared" ca="1" si="35"/>
        <v>#REF!</v>
      </c>
      <c r="BV13" s="24" t="e">
        <f t="shared" ca="1" si="36"/>
        <v>#REF!</v>
      </c>
      <c r="BW13" s="24" t="e">
        <f t="shared" ca="1" si="36"/>
        <v>#REF!</v>
      </c>
      <c r="BX13" s="24" t="e">
        <f t="shared" ca="1" si="36"/>
        <v>#REF!</v>
      </c>
      <c r="BY13" s="24" t="e">
        <f t="shared" ca="1" si="36"/>
        <v>#REF!</v>
      </c>
      <c r="BZ13" s="24" t="e">
        <f t="shared" ca="1" si="36"/>
        <v>#REF!</v>
      </c>
      <c r="CA13" s="24" t="e">
        <f t="shared" ca="1" si="36"/>
        <v>#REF!</v>
      </c>
      <c r="CB13" s="24" t="e">
        <f t="shared" ca="1" si="36"/>
        <v>#REF!</v>
      </c>
      <c r="CC13" s="24" t="e">
        <f t="shared" ca="1" si="36"/>
        <v>#REF!</v>
      </c>
      <c r="CD13" s="24" t="e">
        <f t="shared" ca="1" si="36"/>
        <v>#REF!</v>
      </c>
      <c r="CE13" s="24" t="e">
        <f t="shared" ca="1" si="36"/>
        <v>#REF!</v>
      </c>
      <c r="CF13" s="24" t="e">
        <f t="shared" ca="1" si="36"/>
        <v>#REF!</v>
      </c>
      <c r="CG13" s="24" t="e">
        <f t="shared" ca="1" si="36"/>
        <v>#REF!</v>
      </c>
      <c r="CH13" s="24" t="e">
        <f t="shared" ca="1" si="36"/>
        <v>#REF!</v>
      </c>
      <c r="CI13" s="24" t="e">
        <f t="shared" ca="1" si="36"/>
        <v>#REF!</v>
      </c>
      <c r="CJ13" s="24" t="e">
        <f t="shared" ca="1" si="36"/>
        <v>#REF!</v>
      </c>
      <c r="CK13" s="24" t="e">
        <f t="shared" ca="1" si="36"/>
        <v>#REF!</v>
      </c>
      <c r="CL13" s="24" t="e">
        <f t="shared" ca="1" si="37"/>
        <v>#REF!</v>
      </c>
      <c r="CM13" s="24" t="e">
        <f t="shared" ca="1" si="37"/>
        <v>#REF!</v>
      </c>
      <c r="CN13" s="24" t="e">
        <f t="shared" ca="1" si="37"/>
        <v>#REF!</v>
      </c>
      <c r="CO13" s="24" t="e">
        <f t="shared" ca="1" si="37"/>
        <v>#REF!</v>
      </c>
      <c r="CP13" s="24" t="e">
        <f t="shared" ca="1" si="37"/>
        <v>#REF!</v>
      </c>
      <c r="CQ13" s="24" t="e">
        <f t="shared" ca="1" si="37"/>
        <v>#REF!</v>
      </c>
      <c r="CR13" s="24" t="e">
        <f t="shared" ca="1" si="37"/>
        <v>#REF!</v>
      </c>
      <c r="CS13" s="24" t="e">
        <f t="shared" ca="1" si="37"/>
        <v>#REF!</v>
      </c>
      <c r="CT13" s="24" t="e">
        <f t="shared" ca="1" si="37"/>
        <v>#REF!</v>
      </c>
      <c r="CU13" s="24" t="e">
        <f t="shared" ca="1" si="37"/>
        <v>#REF!</v>
      </c>
      <c r="CV13" s="24" t="e">
        <f t="shared" ca="1" si="37"/>
        <v>#REF!</v>
      </c>
      <c r="CW13" s="24" t="e">
        <f t="shared" ca="1" si="37"/>
        <v>#REF!</v>
      </c>
      <c r="CX13" s="24" t="e">
        <f t="shared" ca="1" si="37"/>
        <v>#REF!</v>
      </c>
      <c r="CY13" s="24" t="e">
        <f t="shared" ca="1" si="37"/>
        <v>#REF!</v>
      </c>
      <c r="CZ13" s="24" t="e">
        <f t="shared" ca="1" si="37"/>
        <v>#REF!</v>
      </c>
      <c r="DA13" s="24" t="e">
        <f t="shared" ca="1" si="37"/>
        <v>#REF!</v>
      </c>
      <c r="DB13" s="24" t="e">
        <f t="shared" ca="1" si="38"/>
        <v>#REF!</v>
      </c>
      <c r="DC13" s="24" t="e">
        <f t="shared" ca="1" si="38"/>
        <v>#REF!</v>
      </c>
      <c r="DD13" s="24" t="e">
        <f t="shared" ca="1" si="38"/>
        <v>#REF!</v>
      </c>
      <c r="DE13" s="24" t="e">
        <f t="shared" ca="1" si="38"/>
        <v>#REF!</v>
      </c>
      <c r="DF13" s="24" t="e">
        <f t="shared" ca="1" si="38"/>
        <v>#REF!</v>
      </c>
      <c r="DG13" s="24" t="e">
        <f t="shared" ca="1" si="38"/>
        <v>#REF!</v>
      </c>
      <c r="DH13" s="24" t="e">
        <f t="shared" ca="1" si="38"/>
        <v>#REF!</v>
      </c>
      <c r="DI13" s="24" t="e">
        <f t="shared" ca="1" si="38"/>
        <v>#REF!</v>
      </c>
      <c r="DJ13" s="24" t="e">
        <f t="shared" ca="1" si="38"/>
        <v>#REF!</v>
      </c>
      <c r="DK13" s="24" t="e">
        <f t="shared" ca="1" si="38"/>
        <v>#REF!</v>
      </c>
      <c r="DL13" s="24" t="e">
        <f t="shared" ca="1" si="38"/>
        <v>#REF!</v>
      </c>
      <c r="DM13" s="24" t="e">
        <f t="shared" ca="1" si="38"/>
        <v>#REF!</v>
      </c>
      <c r="DN13" s="24" t="e">
        <f t="shared" ca="1" si="38"/>
        <v>#REF!</v>
      </c>
      <c r="DO13" s="24" t="e">
        <f t="shared" ca="1" si="38"/>
        <v>#REF!</v>
      </c>
      <c r="DP13" s="24" t="e">
        <f t="shared" ca="1" si="38"/>
        <v>#REF!</v>
      </c>
      <c r="DQ13" s="24" t="e">
        <f t="shared" ca="1" si="38"/>
        <v>#REF!</v>
      </c>
      <c r="DR13" s="24" t="e">
        <f t="shared" ca="1" si="39"/>
        <v>#REF!</v>
      </c>
      <c r="DS13" s="24" t="e">
        <f t="shared" ca="1" si="39"/>
        <v>#REF!</v>
      </c>
      <c r="DT13" s="24" t="e">
        <f t="shared" ca="1" si="39"/>
        <v>#REF!</v>
      </c>
      <c r="DU13" s="24" t="e">
        <f t="shared" ca="1" si="39"/>
        <v>#REF!</v>
      </c>
      <c r="DV13" s="24" t="e">
        <f t="shared" ca="1" si="39"/>
        <v>#REF!</v>
      </c>
      <c r="DW13" s="24" t="e">
        <f t="shared" ca="1" si="39"/>
        <v>#REF!</v>
      </c>
      <c r="DX13" s="24" t="e">
        <f t="shared" ca="1" si="39"/>
        <v>#REF!</v>
      </c>
      <c r="DY13" s="24" t="e">
        <f t="shared" ca="1" si="39"/>
        <v>#REF!</v>
      </c>
      <c r="DZ13" s="24" t="e">
        <f t="shared" ca="1" si="39"/>
        <v>#REF!</v>
      </c>
      <c r="EA13" s="24" t="e">
        <f t="shared" ca="1" si="39"/>
        <v>#REF!</v>
      </c>
      <c r="EB13" s="24" t="e">
        <f t="shared" ca="1" si="39"/>
        <v>#REF!</v>
      </c>
      <c r="EC13" s="24" t="e">
        <f t="shared" ca="1" si="39"/>
        <v>#REF!</v>
      </c>
      <c r="ED13" s="24" t="e">
        <f t="shared" ca="1" si="39"/>
        <v>#REF!</v>
      </c>
      <c r="EE13" s="24" t="e">
        <f t="shared" ca="1" si="39"/>
        <v>#REF!</v>
      </c>
      <c r="EF13" s="24" t="e">
        <f t="shared" ca="1" si="39"/>
        <v>#REF!</v>
      </c>
      <c r="EG13" s="24" t="e">
        <f t="shared" ca="1" si="39"/>
        <v>#REF!</v>
      </c>
      <c r="EH13" s="24" t="e">
        <f t="shared" ca="1" si="40"/>
        <v>#REF!</v>
      </c>
      <c r="EI13" s="24" t="e">
        <f t="shared" ca="1" si="40"/>
        <v>#REF!</v>
      </c>
      <c r="EJ13" s="24" t="e">
        <f t="shared" ca="1" si="40"/>
        <v>#REF!</v>
      </c>
      <c r="EK13" s="24" t="e">
        <f t="shared" ca="1" si="40"/>
        <v>#REF!</v>
      </c>
      <c r="EL13" s="24" t="e">
        <f t="shared" ca="1" si="40"/>
        <v>#REF!</v>
      </c>
      <c r="EM13" s="24" t="e">
        <f t="shared" ca="1" si="40"/>
        <v>#REF!</v>
      </c>
      <c r="EN13" s="24" t="e">
        <f t="shared" ca="1" si="40"/>
        <v>#REF!</v>
      </c>
      <c r="EO13" s="24" t="e">
        <f t="shared" ca="1" si="40"/>
        <v>#REF!</v>
      </c>
      <c r="EP13" s="24" t="e">
        <f t="shared" ca="1" si="40"/>
        <v>#REF!</v>
      </c>
      <c r="EQ13" s="24" t="e">
        <f t="shared" ca="1" si="40"/>
        <v>#REF!</v>
      </c>
      <c r="ER13" s="24" t="e">
        <f t="shared" ca="1" si="40"/>
        <v>#REF!</v>
      </c>
      <c r="ES13" s="24" t="e">
        <f t="shared" ca="1" si="40"/>
        <v>#REF!</v>
      </c>
      <c r="ET13" s="24" t="e">
        <f t="shared" ca="1" si="40"/>
        <v>#REF!</v>
      </c>
      <c r="EU13" s="24" t="e">
        <f t="shared" ca="1" si="40"/>
        <v>#REF!</v>
      </c>
      <c r="EV13" s="24" t="e">
        <f t="shared" ca="1" si="40"/>
        <v>#REF!</v>
      </c>
      <c r="EW13" s="24" t="e">
        <f t="shared" ca="1" si="40"/>
        <v>#REF!</v>
      </c>
      <c r="EX13" s="24" t="e">
        <f t="shared" ca="1" si="41"/>
        <v>#REF!</v>
      </c>
      <c r="EY13" s="24" t="e">
        <f t="shared" ca="1" si="41"/>
        <v>#REF!</v>
      </c>
      <c r="EZ13" s="24" t="e">
        <f t="shared" ca="1" si="41"/>
        <v>#REF!</v>
      </c>
      <c r="FA13" s="24" t="e">
        <f t="shared" ca="1" si="41"/>
        <v>#REF!</v>
      </c>
      <c r="FB13" s="24" t="e">
        <f t="shared" ca="1" si="41"/>
        <v>#REF!</v>
      </c>
      <c r="FC13" s="24" t="e">
        <f t="shared" ca="1" si="41"/>
        <v>#REF!</v>
      </c>
      <c r="FD13" s="24" t="e">
        <f t="shared" ca="1" si="41"/>
        <v>#REF!</v>
      </c>
      <c r="FE13" s="24" t="e">
        <f t="shared" ca="1" si="41"/>
        <v>#REF!</v>
      </c>
      <c r="FF13" s="24" t="e">
        <f t="shared" ca="1" si="41"/>
        <v>#REF!</v>
      </c>
      <c r="FG13" s="24" t="e">
        <f t="shared" ca="1" si="41"/>
        <v>#REF!</v>
      </c>
      <c r="FH13" s="24" t="e">
        <f t="shared" ca="1" si="41"/>
        <v>#REF!</v>
      </c>
      <c r="FI13" s="24" t="e">
        <f t="shared" ca="1" si="41"/>
        <v>#REF!</v>
      </c>
      <c r="FJ13" s="24" t="e">
        <f t="shared" ca="1" si="41"/>
        <v>#REF!</v>
      </c>
      <c r="FK13" s="24" t="e">
        <f t="shared" ca="1" si="41"/>
        <v>#REF!</v>
      </c>
      <c r="FL13" s="24" t="e">
        <f t="shared" ca="1" si="41"/>
        <v>#REF!</v>
      </c>
      <c r="FM13" s="24" t="e">
        <f t="shared" ca="1" si="41"/>
        <v>#REF!</v>
      </c>
      <c r="FN13" s="24" t="e">
        <f t="shared" ca="1" si="42"/>
        <v>#REF!</v>
      </c>
      <c r="FO13" s="24" t="e">
        <f t="shared" ca="1" si="42"/>
        <v>#REF!</v>
      </c>
      <c r="FP13" s="24" t="e">
        <f t="shared" ca="1" si="42"/>
        <v>#REF!</v>
      </c>
      <c r="FQ13" s="24" t="e">
        <f t="shared" ca="1" si="42"/>
        <v>#REF!</v>
      </c>
      <c r="FR13" s="24" t="e">
        <f t="shared" ca="1" si="42"/>
        <v>#REF!</v>
      </c>
      <c r="FS13" s="24" t="e">
        <f t="shared" ca="1" si="42"/>
        <v>#REF!</v>
      </c>
      <c r="FT13" s="24" t="e">
        <f t="shared" ca="1" si="42"/>
        <v>#REF!</v>
      </c>
      <c r="FU13" s="24" t="e">
        <f t="shared" ca="1" si="42"/>
        <v>#REF!</v>
      </c>
      <c r="FV13" s="24" t="e">
        <f t="shared" ca="1" si="42"/>
        <v>#REF!</v>
      </c>
      <c r="FW13" s="24" t="e">
        <f t="shared" ca="1" si="42"/>
        <v>#REF!</v>
      </c>
      <c r="FX13" s="24" t="e">
        <f t="shared" ca="1" si="42"/>
        <v>#REF!</v>
      </c>
      <c r="FY13" s="24" t="e">
        <f t="shared" ca="1" si="42"/>
        <v>#REF!</v>
      </c>
      <c r="FZ13" s="24" t="e">
        <f t="shared" ca="1" si="42"/>
        <v>#REF!</v>
      </c>
      <c r="GA13" s="24" t="e">
        <f t="shared" ca="1" si="42"/>
        <v>#REF!</v>
      </c>
      <c r="GB13" s="24" t="e">
        <f t="shared" ca="1" si="42"/>
        <v>#REF!</v>
      </c>
      <c r="GC13" s="24" t="e">
        <f t="shared" ca="1" si="42"/>
        <v>#REF!</v>
      </c>
      <c r="GD13" s="24" t="e">
        <f t="shared" ca="1" si="43"/>
        <v>#REF!</v>
      </c>
      <c r="GE13" s="24" t="e">
        <f t="shared" ca="1" si="43"/>
        <v>#REF!</v>
      </c>
      <c r="GF13" s="24" t="e">
        <f t="shared" ca="1" si="43"/>
        <v>#REF!</v>
      </c>
      <c r="GG13" s="24" t="e">
        <f t="shared" ca="1" si="43"/>
        <v>#REF!</v>
      </c>
      <c r="GH13" s="24" t="e">
        <f t="shared" ca="1" si="43"/>
        <v>#REF!</v>
      </c>
      <c r="GI13" s="24" t="e">
        <f t="shared" ca="1" si="43"/>
        <v>#REF!</v>
      </c>
      <c r="GJ13" s="24" t="e">
        <f t="shared" ca="1" si="43"/>
        <v>#REF!</v>
      </c>
      <c r="GK13" s="24" t="e">
        <f t="shared" ca="1" si="43"/>
        <v>#REF!</v>
      </c>
      <c r="GL13" s="24" t="e">
        <f t="shared" ca="1" si="43"/>
        <v>#REF!</v>
      </c>
      <c r="GM13" s="24" t="e">
        <f t="shared" ca="1" si="43"/>
        <v>#REF!</v>
      </c>
      <c r="GN13" s="24" t="e">
        <f t="shared" ca="1" si="43"/>
        <v>#REF!</v>
      </c>
      <c r="GO13" s="24" t="e">
        <f t="shared" ca="1" si="43"/>
        <v>#REF!</v>
      </c>
      <c r="GP13" s="24" t="e">
        <f t="shared" ca="1" si="43"/>
        <v>#REF!</v>
      </c>
      <c r="GQ13" s="24" t="e">
        <f t="shared" ca="1" si="43"/>
        <v>#REF!</v>
      </c>
      <c r="GR13" s="24" t="e">
        <f t="shared" ca="1" si="43"/>
        <v>#REF!</v>
      </c>
      <c r="GS13" s="24" t="e">
        <f t="shared" ca="1" si="43"/>
        <v>#REF!</v>
      </c>
      <c r="GT13" s="24" t="e">
        <f t="shared" ca="1" si="44"/>
        <v>#REF!</v>
      </c>
      <c r="GU13" s="24" t="e">
        <f t="shared" ca="1" si="44"/>
        <v>#REF!</v>
      </c>
      <c r="GV13" s="24" t="e">
        <f t="shared" ca="1" si="44"/>
        <v>#REF!</v>
      </c>
      <c r="GW13" s="24" t="e">
        <f t="shared" ca="1" si="44"/>
        <v>#REF!</v>
      </c>
      <c r="GX13" s="24" t="e">
        <f t="shared" ca="1" si="44"/>
        <v>#REF!</v>
      </c>
      <c r="GY13" s="24" t="e">
        <f t="shared" ca="1" si="44"/>
        <v>#REF!</v>
      </c>
      <c r="GZ13" s="24" t="e">
        <f t="shared" ca="1" si="44"/>
        <v>#REF!</v>
      </c>
      <c r="HA13" s="24" t="e">
        <f t="shared" ca="1" si="44"/>
        <v>#REF!</v>
      </c>
      <c r="HB13" s="24" t="e">
        <f t="shared" ca="1" si="44"/>
        <v>#REF!</v>
      </c>
      <c r="HC13" s="24" t="e">
        <f t="shared" ca="1" si="44"/>
        <v>#REF!</v>
      </c>
      <c r="HD13" s="24" t="e">
        <f t="shared" ca="1" si="44"/>
        <v>#REF!</v>
      </c>
      <c r="HE13" s="24" t="e">
        <f t="shared" ca="1" si="44"/>
        <v>#REF!</v>
      </c>
      <c r="HF13" s="24" t="e">
        <f t="shared" ca="1" si="44"/>
        <v>#REF!</v>
      </c>
      <c r="HG13" s="24" t="e">
        <f t="shared" ca="1" si="44"/>
        <v>#REF!</v>
      </c>
      <c r="HH13" s="24" t="e">
        <f t="shared" ca="1" si="44"/>
        <v>#REF!</v>
      </c>
      <c r="HI13" s="24" t="e">
        <f t="shared" ca="1" si="44"/>
        <v>#REF!</v>
      </c>
      <c r="HJ13" s="24" t="e">
        <f t="shared" ca="1" si="45"/>
        <v>#REF!</v>
      </c>
      <c r="HK13" s="24" t="e">
        <f t="shared" ca="1" si="45"/>
        <v>#REF!</v>
      </c>
      <c r="HL13" s="24" t="e">
        <f t="shared" ca="1" si="45"/>
        <v>#REF!</v>
      </c>
      <c r="HM13" s="24" t="e">
        <f t="shared" ca="1" si="45"/>
        <v>#REF!</v>
      </c>
      <c r="HN13" s="24" t="e">
        <f t="shared" ca="1" si="45"/>
        <v>#REF!</v>
      </c>
      <c r="HO13" s="24" t="e">
        <f t="shared" ca="1" si="45"/>
        <v>#REF!</v>
      </c>
      <c r="HP13" s="24" t="e">
        <f t="shared" ca="1" si="45"/>
        <v>#REF!</v>
      </c>
      <c r="HQ13" s="24" t="e">
        <f t="shared" ca="1" si="45"/>
        <v>#REF!</v>
      </c>
      <c r="HR13" s="24" t="e">
        <f t="shared" ca="1" si="45"/>
        <v>#REF!</v>
      </c>
      <c r="HS13" s="24" t="e">
        <f t="shared" ca="1" si="45"/>
        <v>#REF!</v>
      </c>
      <c r="HT13" s="24" t="e">
        <f t="shared" ca="1" si="45"/>
        <v>#REF!</v>
      </c>
      <c r="HU13" s="24" t="e">
        <f t="shared" ca="1" si="45"/>
        <v>#REF!</v>
      </c>
      <c r="HV13" s="24" t="e">
        <f t="shared" ca="1" si="45"/>
        <v>#REF!</v>
      </c>
      <c r="HW13" s="24" t="e">
        <f t="shared" ca="1" si="45"/>
        <v>#REF!</v>
      </c>
      <c r="HX13" s="24" t="e">
        <f t="shared" ca="1" si="45"/>
        <v>#REF!</v>
      </c>
      <c r="HY13" s="24" t="e">
        <f t="shared" ca="1" si="45"/>
        <v>#REF!</v>
      </c>
      <c r="HZ13" s="24" t="e">
        <f t="shared" ca="1" si="46"/>
        <v>#REF!</v>
      </c>
      <c r="IA13" s="24" t="e">
        <f t="shared" ca="1" si="46"/>
        <v>#REF!</v>
      </c>
      <c r="IB13" s="24" t="e">
        <f t="shared" ca="1" si="46"/>
        <v>#REF!</v>
      </c>
      <c r="IC13" s="24" t="e">
        <f t="shared" ca="1" si="46"/>
        <v>#REF!</v>
      </c>
      <c r="ID13" s="24" t="e">
        <f t="shared" ca="1" si="46"/>
        <v>#REF!</v>
      </c>
      <c r="IE13" s="24" t="e">
        <f t="shared" ca="1" si="46"/>
        <v>#REF!</v>
      </c>
      <c r="IF13" s="24" t="e">
        <f t="shared" ca="1" si="46"/>
        <v>#REF!</v>
      </c>
      <c r="IG13" s="24" t="e">
        <f t="shared" ca="1" si="46"/>
        <v>#REF!</v>
      </c>
      <c r="IH13" s="24" t="e">
        <f t="shared" ca="1" si="46"/>
        <v>#REF!</v>
      </c>
      <c r="II13" s="24" t="e">
        <f t="shared" ca="1" si="46"/>
        <v>#REF!</v>
      </c>
      <c r="IJ13" s="24" t="e">
        <f t="shared" ca="1" si="46"/>
        <v>#REF!</v>
      </c>
      <c r="IK13" s="24" t="e">
        <f t="shared" ca="1" si="46"/>
        <v>#REF!</v>
      </c>
      <c r="IL13" s="24" t="e">
        <f t="shared" ca="1" si="46"/>
        <v>#REF!</v>
      </c>
      <c r="IM13" s="24" t="e">
        <f t="shared" ca="1" si="46"/>
        <v>#REF!</v>
      </c>
      <c r="IN13" s="24" t="e">
        <f t="shared" ca="1" si="46"/>
        <v>#REF!</v>
      </c>
      <c r="IO13" s="24" t="e">
        <f t="shared" ca="1" si="46"/>
        <v>#REF!</v>
      </c>
      <c r="IP13" s="24" t="e">
        <f t="shared" ca="1" si="47"/>
        <v>#REF!</v>
      </c>
      <c r="IQ13" s="24" t="e">
        <f t="shared" ca="1" si="47"/>
        <v>#REF!</v>
      </c>
      <c r="IR13" s="24" t="e">
        <f t="shared" ca="1" si="47"/>
        <v>#REF!</v>
      </c>
      <c r="IS13" s="24" t="e">
        <f t="shared" ca="1" si="47"/>
        <v>#REF!</v>
      </c>
      <c r="IT13" s="24" t="e">
        <f t="shared" ca="1" si="47"/>
        <v>#REF!</v>
      </c>
      <c r="IU13" s="24" t="e">
        <f t="shared" ca="1" si="47"/>
        <v>#REF!</v>
      </c>
      <c r="IV13" s="24" t="e">
        <f t="shared" ca="1" si="47"/>
        <v>#REF!</v>
      </c>
      <c r="IW13" s="24" t="e">
        <f t="shared" ca="1" si="47"/>
        <v>#REF!</v>
      </c>
      <c r="IX13" s="24" t="e">
        <f t="shared" ca="1" si="47"/>
        <v>#REF!</v>
      </c>
      <c r="IY13" s="24" t="e">
        <f t="shared" ca="1" si="47"/>
        <v>#REF!</v>
      </c>
      <c r="IZ13" s="24" t="e">
        <f t="shared" ca="1" si="47"/>
        <v>#REF!</v>
      </c>
      <c r="JA13" s="24" t="e">
        <f t="shared" ca="1" si="47"/>
        <v>#REF!</v>
      </c>
      <c r="JB13" s="24" t="e">
        <f t="shared" ca="1" si="47"/>
        <v>#REF!</v>
      </c>
      <c r="JC13" s="24" t="e">
        <f t="shared" ca="1" si="47"/>
        <v>#REF!</v>
      </c>
      <c r="JD13" s="24" t="e">
        <f t="shared" ca="1" si="47"/>
        <v>#REF!</v>
      </c>
      <c r="JE13" s="24" t="e">
        <f t="shared" ca="1" si="47"/>
        <v>#REF!</v>
      </c>
      <c r="JF13" s="24" t="e">
        <f t="shared" ca="1" si="48"/>
        <v>#REF!</v>
      </c>
      <c r="JG13" s="24" t="e">
        <f t="shared" ca="1" si="48"/>
        <v>#REF!</v>
      </c>
      <c r="JH13" s="24" t="e">
        <f t="shared" ca="1" si="48"/>
        <v>#REF!</v>
      </c>
      <c r="JI13" s="24" t="e">
        <f t="shared" ca="1" si="48"/>
        <v>#REF!</v>
      </c>
      <c r="JJ13" s="24" t="e">
        <f t="shared" ca="1" si="48"/>
        <v>#REF!</v>
      </c>
      <c r="JK13" s="24" t="e">
        <f t="shared" ca="1" si="48"/>
        <v>#REF!</v>
      </c>
      <c r="JL13" s="24" t="e">
        <f t="shared" ca="1" si="48"/>
        <v>#REF!</v>
      </c>
      <c r="JM13" s="24" t="e">
        <f t="shared" ca="1" si="48"/>
        <v>#REF!</v>
      </c>
      <c r="JN13" s="24" t="e">
        <f t="shared" ca="1" si="48"/>
        <v>#REF!</v>
      </c>
      <c r="JO13" s="24" t="e">
        <f t="shared" ca="1" si="48"/>
        <v>#REF!</v>
      </c>
      <c r="JP13" s="24" t="e">
        <f t="shared" ca="1" si="48"/>
        <v>#REF!</v>
      </c>
      <c r="JQ13" s="24" t="e">
        <f t="shared" ca="1" si="48"/>
        <v>#REF!</v>
      </c>
      <c r="JR13" s="24" t="e">
        <f t="shared" ca="1" si="48"/>
        <v>#REF!</v>
      </c>
      <c r="JS13" s="24" t="e">
        <f t="shared" ca="1" si="48"/>
        <v>#REF!</v>
      </c>
      <c r="JT13" s="24" t="e">
        <f t="shared" ca="1" si="48"/>
        <v>#REF!</v>
      </c>
      <c r="JU13" s="24" t="e">
        <f t="shared" ca="1" si="48"/>
        <v>#REF!</v>
      </c>
      <c r="JV13" s="24" t="e">
        <f t="shared" ca="1" si="49"/>
        <v>#REF!</v>
      </c>
      <c r="JW13" s="24" t="e">
        <f t="shared" ca="1" si="49"/>
        <v>#REF!</v>
      </c>
      <c r="JX13" s="24" t="e">
        <f t="shared" ca="1" si="49"/>
        <v>#REF!</v>
      </c>
      <c r="JY13" s="24" t="e">
        <f t="shared" ca="1" si="49"/>
        <v>#REF!</v>
      </c>
      <c r="JZ13" s="24" t="e">
        <f t="shared" ca="1" si="49"/>
        <v>#REF!</v>
      </c>
      <c r="KA13" s="24" t="e">
        <f t="shared" ca="1" si="49"/>
        <v>#REF!</v>
      </c>
      <c r="KB13" s="24" t="e">
        <f t="shared" ca="1" si="49"/>
        <v>#REF!</v>
      </c>
      <c r="KC13" s="24" t="e">
        <f t="shared" ca="1" si="49"/>
        <v>#REF!</v>
      </c>
      <c r="KD13" s="24" t="e">
        <f t="shared" ca="1" si="49"/>
        <v>#REF!</v>
      </c>
      <c r="KE13" s="24" t="e">
        <f t="shared" ca="1" si="49"/>
        <v>#REF!</v>
      </c>
      <c r="KF13" s="24" t="e">
        <f t="shared" ca="1" si="49"/>
        <v>#REF!</v>
      </c>
      <c r="KG13" s="24" t="e">
        <f t="shared" ca="1" si="49"/>
        <v>#REF!</v>
      </c>
      <c r="KH13" s="24" t="e">
        <f t="shared" ca="1" si="49"/>
        <v>#REF!</v>
      </c>
      <c r="KI13" s="24" t="e">
        <f t="shared" ca="1" si="49"/>
        <v>#REF!</v>
      </c>
      <c r="KJ13" s="24" t="e">
        <f t="shared" ca="1" si="49"/>
        <v>#REF!</v>
      </c>
      <c r="KK13" s="24" t="e">
        <f t="shared" ca="1" si="49"/>
        <v>#REF!</v>
      </c>
      <c r="KL13" s="24" t="e">
        <f t="shared" ca="1" si="50"/>
        <v>#REF!</v>
      </c>
      <c r="KM13" s="24" t="e">
        <f t="shared" ca="1" si="50"/>
        <v>#REF!</v>
      </c>
      <c r="KN13" s="24" t="e">
        <f t="shared" ca="1" si="50"/>
        <v>#REF!</v>
      </c>
      <c r="KO13" s="24" t="e">
        <f t="shared" ca="1" si="50"/>
        <v>#REF!</v>
      </c>
      <c r="KP13" s="24" t="e">
        <f t="shared" ca="1" si="50"/>
        <v>#REF!</v>
      </c>
      <c r="KQ13" s="24" t="e">
        <f t="shared" ca="1" si="50"/>
        <v>#REF!</v>
      </c>
      <c r="KR13" s="24" t="e">
        <f t="shared" ca="1" si="50"/>
        <v>#REF!</v>
      </c>
      <c r="KS13" s="24" t="e">
        <f t="shared" ca="1" si="50"/>
        <v>#REF!</v>
      </c>
      <c r="KT13" s="24" t="e">
        <f t="shared" ca="1" si="50"/>
        <v>#REF!</v>
      </c>
      <c r="KU13" s="24" t="e">
        <f t="shared" ca="1" si="50"/>
        <v>#REF!</v>
      </c>
      <c r="KV13" s="24" t="e">
        <f t="shared" ca="1" si="50"/>
        <v>#REF!</v>
      </c>
      <c r="KW13" s="24" t="e">
        <f t="shared" ca="1" si="50"/>
        <v>#REF!</v>
      </c>
      <c r="KX13" s="24" t="e">
        <f t="shared" ca="1" si="50"/>
        <v>#REF!</v>
      </c>
      <c r="KY13" s="24" t="e">
        <f t="shared" ca="1" si="50"/>
        <v>#REF!</v>
      </c>
      <c r="KZ13" s="24" t="e">
        <f t="shared" ca="1" si="50"/>
        <v>#REF!</v>
      </c>
      <c r="LA13" s="24" t="e">
        <f t="shared" ca="1" si="50"/>
        <v>#REF!</v>
      </c>
      <c r="LB13" s="24" t="e">
        <f t="shared" ca="1" si="51"/>
        <v>#REF!</v>
      </c>
      <c r="LC13" s="24" t="e">
        <f t="shared" ca="1" si="51"/>
        <v>#REF!</v>
      </c>
      <c r="LD13" s="24" t="e">
        <f t="shared" ca="1" si="51"/>
        <v>#REF!</v>
      </c>
      <c r="LE13" s="24" t="e">
        <f t="shared" ca="1" si="51"/>
        <v>#REF!</v>
      </c>
      <c r="LF13" s="24" t="e">
        <f t="shared" ca="1" si="51"/>
        <v>#REF!</v>
      </c>
      <c r="LG13" s="24" t="e">
        <f t="shared" ca="1" si="51"/>
        <v>#REF!</v>
      </c>
      <c r="LH13" s="24" t="e">
        <f t="shared" ca="1" si="51"/>
        <v>#REF!</v>
      </c>
      <c r="LI13" s="24" t="e">
        <f t="shared" ca="1" si="51"/>
        <v>#REF!</v>
      </c>
      <c r="LJ13" s="24" t="e">
        <f t="shared" ca="1" si="51"/>
        <v>#REF!</v>
      </c>
      <c r="LK13" s="24" t="e">
        <f t="shared" ca="1" si="51"/>
        <v>#REF!</v>
      </c>
      <c r="LL13" s="24" t="e">
        <f t="shared" ca="1" si="51"/>
        <v>#REF!</v>
      </c>
      <c r="LM13" s="24" t="e">
        <f t="shared" ca="1" si="51"/>
        <v>#REF!</v>
      </c>
      <c r="LN13" s="24" t="e">
        <f t="shared" ca="1" si="51"/>
        <v>#REF!</v>
      </c>
      <c r="LO13" s="24" t="e">
        <f t="shared" ca="1" si="51"/>
        <v>#REF!</v>
      </c>
      <c r="LP13" s="24" t="e">
        <f t="shared" ca="1" si="51"/>
        <v>#REF!</v>
      </c>
      <c r="LQ13" s="24" t="e">
        <f t="shared" ca="1" si="51"/>
        <v>#REF!</v>
      </c>
      <c r="LR13" s="24" t="e">
        <f t="shared" ca="1" si="52"/>
        <v>#REF!</v>
      </c>
      <c r="LS13" s="24" t="e">
        <f t="shared" ca="1" si="52"/>
        <v>#REF!</v>
      </c>
      <c r="LT13" s="24" t="e">
        <f t="shared" ca="1" si="52"/>
        <v>#REF!</v>
      </c>
      <c r="LU13" s="24" t="e">
        <f t="shared" ca="1" si="52"/>
        <v>#REF!</v>
      </c>
      <c r="LV13" s="24" t="e">
        <f t="shared" ca="1" si="52"/>
        <v>#REF!</v>
      </c>
      <c r="LW13" s="24" t="e">
        <f t="shared" ca="1" si="52"/>
        <v>#REF!</v>
      </c>
      <c r="LX13" s="24" t="e">
        <f t="shared" ca="1" si="52"/>
        <v>#REF!</v>
      </c>
      <c r="LY13" s="24" t="e">
        <f t="shared" ca="1" si="52"/>
        <v>#REF!</v>
      </c>
      <c r="LZ13" s="24" t="e">
        <f t="shared" ca="1" si="52"/>
        <v>#REF!</v>
      </c>
      <c r="MA13" s="24" t="e">
        <f t="shared" ca="1" si="52"/>
        <v>#REF!</v>
      </c>
      <c r="MB13" s="24" t="e">
        <f t="shared" ca="1" si="52"/>
        <v>#REF!</v>
      </c>
      <c r="MC13" s="24" t="e">
        <f t="shared" ca="1" si="52"/>
        <v>#REF!</v>
      </c>
      <c r="MD13" s="24" t="e">
        <f t="shared" ca="1" si="52"/>
        <v>#REF!</v>
      </c>
      <c r="ME13" s="24" t="e">
        <f t="shared" ca="1" si="52"/>
        <v>#REF!</v>
      </c>
      <c r="MF13" s="24" t="e">
        <f t="shared" ca="1" si="52"/>
        <v>#REF!</v>
      </c>
      <c r="MG13" s="24" t="e">
        <f t="shared" ca="1" si="52"/>
        <v>#REF!</v>
      </c>
      <c r="MH13" s="24" t="e">
        <f t="shared" ca="1" si="53"/>
        <v>#REF!</v>
      </c>
      <c r="MI13" s="24" t="e">
        <f t="shared" ca="1" si="53"/>
        <v>#REF!</v>
      </c>
      <c r="MJ13" s="24" t="e">
        <f t="shared" ca="1" si="53"/>
        <v>#REF!</v>
      </c>
      <c r="MK13" s="24" t="e">
        <f t="shared" ca="1" si="53"/>
        <v>#REF!</v>
      </c>
      <c r="ML13" s="24" t="e">
        <f t="shared" ca="1" si="53"/>
        <v>#REF!</v>
      </c>
      <c r="MM13" s="24" t="e">
        <f t="shared" ca="1" si="53"/>
        <v>#REF!</v>
      </c>
      <c r="MN13" s="24" t="e">
        <f t="shared" ca="1" si="53"/>
        <v>#REF!</v>
      </c>
      <c r="MO13" s="24" t="e">
        <f t="shared" ca="1" si="53"/>
        <v>#REF!</v>
      </c>
      <c r="MP13" s="24" t="e">
        <f t="shared" ca="1" si="53"/>
        <v>#REF!</v>
      </c>
      <c r="MQ13" s="24" t="e">
        <f t="shared" ca="1" si="53"/>
        <v>#REF!</v>
      </c>
      <c r="MR13" s="24" t="e">
        <f t="shared" ca="1" si="53"/>
        <v>#REF!</v>
      </c>
      <c r="MS13" s="24" t="e">
        <f t="shared" ca="1" si="53"/>
        <v>#REF!</v>
      </c>
      <c r="MT13" s="24" t="e">
        <f t="shared" ca="1" si="53"/>
        <v>#REF!</v>
      </c>
      <c r="MU13" s="24" t="e">
        <f t="shared" ca="1" si="53"/>
        <v>#REF!</v>
      </c>
      <c r="MV13" s="24" t="e">
        <f t="shared" ca="1" si="53"/>
        <v>#REF!</v>
      </c>
      <c r="MW13" s="24" t="e">
        <f t="shared" ca="1" si="53"/>
        <v>#REF!</v>
      </c>
      <c r="MX13" s="24" t="e">
        <f t="shared" ca="1" si="54"/>
        <v>#REF!</v>
      </c>
      <c r="MY13" s="24" t="e">
        <f t="shared" ca="1" si="54"/>
        <v>#REF!</v>
      </c>
      <c r="MZ13" s="24" t="e">
        <f t="shared" ca="1" si="54"/>
        <v>#REF!</v>
      </c>
      <c r="NA13" s="24" t="e">
        <f t="shared" ca="1" si="54"/>
        <v>#REF!</v>
      </c>
      <c r="NB13" s="24" t="e">
        <f t="shared" ca="1" si="54"/>
        <v>#REF!</v>
      </c>
      <c r="NC13" s="24" t="e">
        <f t="shared" ca="1" si="54"/>
        <v>#REF!</v>
      </c>
      <c r="ND13" s="24" t="e">
        <f t="shared" ca="1" si="54"/>
        <v>#REF!</v>
      </c>
      <c r="NE13" s="24" t="e">
        <f t="shared" ca="1" si="54"/>
        <v>#REF!</v>
      </c>
      <c r="NF13" s="24" t="e">
        <f t="shared" ca="1" si="54"/>
        <v>#REF!</v>
      </c>
      <c r="NG13" s="24" t="e">
        <f t="shared" ca="1" si="54"/>
        <v>#REF!</v>
      </c>
      <c r="NH13" s="24" t="e">
        <f t="shared" ca="1" si="54"/>
        <v>#REF!</v>
      </c>
      <c r="NI13" s="24" t="e">
        <f t="shared" ca="1" si="54"/>
        <v>#REF!</v>
      </c>
      <c r="NJ13" s="24" t="e">
        <f t="shared" ca="1" si="54"/>
        <v>#REF!</v>
      </c>
      <c r="NK13" s="24" t="e">
        <f t="shared" ca="1" si="54"/>
        <v>#REF!</v>
      </c>
      <c r="NL13" s="24" t="e">
        <f t="shared" ca="1" si="54"/>
        <v>#REF!</v>
      </c>
      <c r="NM13" s="24" t="e">
        <f t="shared" ca="1" si="54"/>
        <v>#REF!</v>
      </c>
      <c r="NN13" s="24" t="e">
        <f t="shared" ca="1" si="55"/>
        <v>#REF!</v>
      </c>
      <c r="NO13" s="24" t="e">
        <f t="shared" ca="1" si="55"/>
        <v>#REF!</v>
      </c>
      <c r="NP13" s="24" t="e">
        <f t="shared" ca="1" si="55"/>
        <v>#REF!</v>
      </c>
      <c r="NQ13" s="24" t="e">
        <f t="shared" ca="1" si="55"/>
        <v>#REF!</v>
      </c>
      <c r="NR13" s="24" t="e">
        <f t="shared" ca="1" si="55"/>
        <v>#REF!</v>
      </c>
      <c r="NS13" s="24" t="e">
        <f t="shared" ca="1" si="55"/>
        <v>#REF!</v>
      </c>
      <c r="NT13" s="24" t="e">
        <f t="shared" ca="1" si="55"/>
        <v>#REF!</v>
      </c>
      <c r="NU13" s="24" t="e">
        <f t="shared" ca="1" si="55"/>
        <v>#REF!</v>
      </c>
      <c r="NV13" s="24" t="e">
        <f t="shared" ca="1" si="55"/>
        <v>#REF!</v>
      </c>
      <c r="NW13" s="24" t="e">
        <f t="shared" ca="1" si="55"/>
        <v>#REF!</v>
      </c>
      <c r="NX13" s="24" t="e">
        <f t="shared" ca="1" si="55"/>
        <v>#REF!</v>
      </c>
      <c r="NY13" s="24" t="e">
        <f t="shared" ca="1" si="55"/>
        <v>#REF!</v>
      </c>
      <c r="NZ13" s="24" t="e">
        <f t="shared" ca="1" si="55"/>
        <v>#REF!</v>
      </c>
      <c r="OA13" s="24" t="e">
        <f t="shared" ca="1" si="55"/>
        <v>#REF!</v>
      </c>
      <c r="OB13" s="24" t="e">
        <f t="shared" ca="1" si="55"/>
        <v>#REF!</v>
      </c>
      <c r="OC13" s="24" t="e">
        <f t="shared" ca="1" si="55"/>
        <v>#REF!</v>
      </c>
      <c r="OD13" s="24" t="e">
        <f t="shared" ca="1" si="56"/>
        <v>#REF!</v>
      </c>
      <c r="OE13" s="24" t="e">
        <f t="shared" ca="1" si="56"/>
        <v>#REF!</v>
      </c>
      <c r="OF13" s="24" t="e">
        <f t="shared" ca="1" si="56"/>
        <v>#REF!</v>
      </c>
      <c r="OG13" s="24" t="e">
        <f t="shared" ca="1" si="56"/>
        <v>#REF!</v>
      </c>
      <c r="OH13" s="24" t="e">
        <f t="shared" ca="1" si="56"/>
        <v>#REF!</v>
      </c>
      <c r="OI13" s="24" t="e">
        <f t="shared" ca="1" si="56"/>
        <v>#REF!</v>
      </c>
      <c r="OJ13" s="24" t="e">
        <f t="shared" ca="1" si="56"/>
        <v>#REF!</v>
      </c>
      <c r="OK13" s="24" t="e">
        <f t="shared" ca="1" si="56"/>
        <v>#REF!</v>
      </c>
      <c r="OL13" s="24" t="e">
        <f t="shared" ca="1" si="56"/>
        <v>#REF!</v>
      </c>
      <c r="OM13" s="24" t="e">
        <f t="shared" ca="1" si="56"/>
        <v>#REF!</v>
      </c>
      <c r="ON13" s="24" t="e">
        <f t="shared" ca="1" si="56"/>
        <v>#REF!</v>
      </c>
      <c r="OO13" s="24" t="e">
        <f t="shared" ca="1" si="56"/>
        <v>#REF!</v>
      </c>
      <c r="OP13" s="24" t="e">
        <f t="shared" ca="1" si="56"/>
        <v>#REF!</v>
      </c>
      <c r="OQ13" s="24" t="e">
        <f t="shared" ca="1" si="56"/>
        <v>#REF!</v>
      </c>
      <c r="OR13" s="24" t="e">
        <f t="shared" ca="1" si="56"/>
        <v>#REF!</v>
      </c>
      <c r="OS13" s="24" t="e">
        <f t="shared" ca="1" si="56"/>
        <v>#REF!</v>
      </c>
      <c r="OT13" s="24" t="e">
        <f t="shared" ca="1" si="57"/>
        <v>#REF!</v>
      </c>
      <c r="OU13" s="24" t="e">
        <f t="shared" ca="1" si="57"/>
        <v>#REF!</v>
      </c>
      <c r="OV13" s="24" t="e">
        <f t="shared" ca="1" si="57"/>
        <v>#REF!</v>
      </c>
      <c r="OW13" s="24" t="e">
        <f t="shared" ca="1" si="57"/>
        <v>#REF!</v>
      </c>
      <c r="OX13" s="24" t="e">
        <f t="shared" ca="1" si="57"/>
        <v>#REF!</v>
      </c>
      <c r="OY13" s="24" t="e">
        <f t="shared" ca="1" si="57"/>
        <v>#REF!</v>
      </c>
      <c r="OZ13" s="24" t="e">
        <f t="shared" ca="1" si="57"/>
        <v>#REF!</v>
      </c>
      <c r="PA13" s="24" t="e">
        <f t="shared" ca="1" si="57"/>
        <v>#REF!</v>
      </c>
      <c r="PB13" s="24" t="e">
        <f t="shared" ca="1" si="57"/>
        <v>#REF!</v>
      </c>
      <c r="PC13" s="24" t="e">
        <f t="shared" ca="1" si="57"/>
        <v>#REF!</v>
      </c>
      <c r="PD13" s="24" t="e">
        <f t="shared" ca="1" si="57"/>
        <v>#REF!</v>
      </c>
      <c r="PE13" s="24" t="e">
        <f t="shared" ca="1" si="57"/>
        <v>#REF!</v>
      </c>
      <c r="PF13" s="24" t="e">
        <f t="shared" ca="1" si="57"/>
        <v>#REF!</v>
      </c>
      <c r="PG13" s="24" t="e">
        <f t="shared" ca="1" si="57"/>
        <v>#REF!</v>
      </c>
      <c r="PH13" s="24" t="e">
        <f t="shared" ca="1" si="57"/>
        <v>#REF!</v>
      </c>
      <c r="PI13" s="24" t="e">
        <f t="shared" ca="1" si="57"/>
        <v>#REF!</v>
      </c>
      <c r="PJ13" s="24" t="e">
        <f t="shared" ca="1" si="58"/>
        <v>#REF!</v>
      </c>
      <c r="PK13" s="24" t="e">
        <f t="shared" ca="1" si="58"/>
        <v>#REF!</v>
      </c>
      <c r="PL13" s="24" t="e">
        <f t="shared" ca="1" si="58"/>
        <v>#REF!</v>
      </c>
      <c r="PM13" s="24" t="e">
        <f t="shared" ca="1" si="58"/>
        <v>#REF!</v>
      </c>
      <c r="PN13" s="24" t="e">
        <f t="shared" ca="1" si="58"/>
        <v>#REF!</v>
      </c>
      <c r="PO13" s="24" t="e">
        <f t="shared" ca="1" si="58"/>
        <v>#REF!</v>
      </c>
      <c r="PP13" s="24" t="e">
        <f t="shared" ca="1" si="58"/>
        <v>#REF!</v>
      </c>
      <c r="PQ13" s="24" t="e">
        <f t="shared" ca="1" si="58"/>
        <v>#REF!</v>
      </c>
      <c r="PR13" s="24" t="e">
        <f t="shared" ca="1" si="58"/>
        <v>#REF!</v>
      </c>
      <c r="PS13" s="24" t="e">
        <f t="shared" ca="1" si="58"/>
        <v>#REF!</v>
      </c>
      <c r="PT13" s="24" t="e">
        <f t="shared" ca="1" si="58"/>
        <v>#REF!</v>
      </c>
      <c r="PU13" s="24" t="e">
        <f t="shared" ca="1" si="58"/>
        <v>#REF!</v>
      </c>
      <c r="PV13" s="24" t="e">
        <f t="shared" ca="1" si="58"/>
        <v>#REF!</v>
      </c>
      <c r="PW13" s="24" t="e">
        <f t="shared" ca="1" si="58"/>
        <v>#REF!</v>
      </c>
      <c r="PX13" s="24" t="e">
        <f t="shared" ca="1" si="58"/>
        <v>#REF!</v>
      </c>
      <c r="PY13" s="24" t="e">
        <f t="shared" ca="1" si="58"/>
        <v>#REF!</v>
      </c>
      <c r="PZ13" s="24" t="e">
        <f t="shared" ca="1" si="59"/>
        <v>#REF!</v>
      </c>
      <c r="QA13" s="24" t="e">
        <f t="shared" ca="1" si="59"/>
        <v>#REF!</v>
      </c>
      <c r="QB13" s="24" t="e">
        <f t="shared" ca="1" si="59"/>
        <v>#REF!</v>
      </c>
      <c r="QC13" s="24" t="e">
        <f t="shared" ca="1" si="59"/>
        <v>#REF!</v>
      </c>
      <c r="QD13" s="24" t="e">
        <f t="shared" ca="1" si="59"/>
        <v>#REF!</v>
      </c>
      <c r="QE13" s="24" t="e">
        <f t="shared" ca="1" si="59"/>
        <v>#REF!</v>
      </c>
      <c r="QF13" s="24" t="e">
        <f t="shared" ca="1" si="59"/>
        <v>#REF!</v>
      </c>
      <c r="QG13" s="24" t="e">
        <f t="shared" ca="1" si="59"/>
        <v>#REF!</v>
      </c>
      <c r="QH13" s="24" t="e">
        <f t="shared" ca="1" si="59"/>
        <v>#REF!</v>
      </c>
      <c r="QI13" s="24" t="e">
        <f t="shared" ca="1" si="59"/>
        <v>#REF!</v>
      </c>
      <c r="QJ13" s="24" t="e">
        <f t="shared" ca="1" si="59"/>
        <v>#REF!</v>
      </c>
      <c r="QK13" s="24" t="e">
        <f t="shared" ca="1" si="59"/>
        <v>#REF!</v>
      </c>
      <c r="QL13" s="24" t="e">
        <f t="shared" ca="1" si="59"/>
        <v>#REF!</v>
      </c>
      <c r="QM13" s="24" t="e">
        <f t="shared" ca="1" si="59"/>
        <v>#REF!</v>
      </c>
      <c r="QN13" s="24" t="e">
        <f t="shared" ca="1" si="59"/>
        <v>#REF!</v>
      </c>
      <c r="QO13" s="24" t="e">
        <f t="shared" ca="1" si="59"/>
        <v>#REF!</v>
      </c>
      <c r="QP13" s="24" t="e">
        <f t="shared" ca="1" si="60"/>
        <v>#REF!</v>
      </c>
      <c r="QQ13" s="24" t="e">
        <f t="shared" ca="1" si="60"/>
        <v>#REF!</v>
      </c>
      <c r="QR13" s="24" t="e">
        <f t="shared" ca="1" si="60"/>
        <v>#REF!</v>
      </c>
      <c r="QS13" s="24" t="e">
        <f t="shared" ca="1" si="60"/>
        <v>#REF!</v>
      </c>
      <c r="QT13" s="24" t="e">
        <f t="shared" ca="1" si="60"/>
        <v>#REF!</v>
      </c>
      <c r="QU13" s="24" t="e">
        <f t="shared" ca="1" si="60"/>
        <v>#REF!</v>
      </c>
      <c r="QV13" s="24" t="e">
        <f t="shared" ca="1" si="60"/>
        <v>#REF!</v>
      </c>
      <c r="QW13" s="24" t="e">
        <f t="shared" ca="1" si="60"/>
        <v>#REF!</v>
      </c>
      <c r="QX13" s="24" t="e">
        <f t="shared" ca="1" si="60"/>
        <v>#REF!</v>
      </c>
      <c r="QY13" s="24" t="e">
        <f t="shared" ca="1" si="60"/>
        <v>#REF!</v>
      </c>
      <c r="QZ13" s="24" t="e">
        <f t="shared" ca="1" si="60"/>
        <v>#REF!</v>
      </c>
      <c r="RA13" s="24" t="e">
        <f t="shared" ca="1" si="60"/>
        <v>#REF!</v>
      </c>
      <c r="RB13" s="24" t="e">
        <f t="shared" ca="1" si="60"/>
        <v>#REF!</v>
      </c>
      <c r="RC13" s="24" t="e">
        <f t="shared" ca="1" si="60"/>
        <v>#REF!</v>
      </c>
      <c r="RD13" s="24" t="e">
        <f t="shared" ca="1" si="60"/>
        <v>#REF!</v>
      </c>
      <c r="RE13" s="24" t="e">
        <f t="shared" ca="1" si="60"/>
        <v>#REF!</v>
      </c>
      <c r="RF13" s="24" t="e">
        <f t="shared" ca="1" si="61"/>
        <v>#REF!</v>
      </c>
      <c r="RG13" s="24" t="e">
        <f t="shared" ca="1" si="61"/>
        <v>#REF!</v>
      </c>
      <c r="RH13" s="24" t="e">
        <f t="shared" ca="1" si="61"/>
        <v>#REF!</v>
      </c>
      <c r="RI13" s="24" t="e">
        <f t="shared" ca="1" si="61"/>
        <v>#REF!</v>
      </c>
      <c r="RJ13" s="24" t="e">
        <f t="shared" ca="1" si="61"/>
        <v>#REF!</v>
      </c>
      <c r="RK13" s="24" t="e">
        <f t="shared" ca="1" si="61"/>
        <v>#REF!</v>
      </c>
      <c r="RL13" s="24" t="e">
        <f t="shared" ca="1" si="61"/>
        <v>#REF!</v>
      </c>
      <c r="RM13" s="24" t="e">
        <f t="shared" ca="1" si="61"/>
        <v>#REF!</v>
      </c>
      <c r="RN13" s="24" t="e">
        <f t="shared" ca="1" si="61"/>
        <v>#REF!</v>
      </c>
      <c r="RO13" s="24" t="e">
        <f t="shared" ca="1" si="61"/>
        <v>#REF!</v>
      </c>
      <c r="RP13" s="24" t="e">
        <f t="shared" ca="1" si="61"/>
        <v>#REF!</v>
      </c>
      <c r="RQ13" s="24" t="e">
        <f t="shared" ca="1" si="61"/>
        <v>#REF!</v>
      </c>
      <c r="RR13" s="24" t="e">
        <f t="shared" ca="1" si="61"/>
        <v>#REF!</v>
      </c>
      <c r="RS13" s="24" t="e">
        <f t="shared" ca="1" si="61"/>
        <v>#REF!</v>
      </c>
      <c r="RT13" s="24" t="e">
        <f t="shared" ca="1" si="61"/>
        <v>#REF!</v>
      </c>
      <c r="RU13" s="24" t="e">
        <f t="shared" ca="1" si="61"/>
        <v>#REF!</v>
      </c>
      <c r="RV13" s="24" t="e">
        <f t="shared" ca="1" si="62"/>
        <v>#REF!</v>
      </c>
      <c r="RW13" s="24" t="e">
        <f t="shared" ca="1" si="62"/>
        <v>#REF!</v>
      </c>
      <c r="RX13" s="24" t="e">
        <f t="shared" ca="1" si="62"/>
        <v>#REF!</v>
      </c>
      <c r="RY13" s="24" t="e">
        <f t="shared" ca="1" si="62"/>
        <v>#REF!</v>
      </c>
      <c r="RZ13" s="24" t="e">
        <f t="shared" ca="1" si="62"/>
        <v>#REF!</v>
      </c>
      <c r="SA13" s="24" t="e">
        <f t="shared" ca="1" si="62"/>
        <v>#REF!</v>
      </c>
      <c r="SB13" s="24" t="e">
        <f t="shared" ca="1" si="62"/>
        <v>#REF!</v>
      </c>
      <c r="SC13" s="24" t="e">
        <f t="shared" ca="1" si="62"/>
        <v>#REF!</v>
      </c>
      <c r="SD13" s="24" t="e">
        <f t="shared" ca="1" si="62"/>
        <v>#REF!</v>
      </c>
      <c r="SE13" s="24" t="e">
        <f t="shared" ca="1" si="62"/>
        <v>#REF!</v>
      </c>
      <c r="SF13" s="24" t="e">
        <f t="shared" ca="1" si="62"/>
        <v>#REF!</v>
      </c>
      <c r="SG13" s="24" t="e">
        <f t="shared" ca="1" si="62"/>
        <v>#REF!</v>
      </c>
      <c r="SH13" s="24" t="e">
        <f t="shared" ca="1" si="62"/>
        <v>#REF!</v>
      </c>
      <c r="SI13" s="24" t="e">
        <f t="shared" ca="1" si="62"/>
        <v>#REF!</v>
      </c>
      <c r="SJ13" s="24" t="e">
        <f t="shared" ca="1" si="62"/>
        <v>#REF!</v>
      </c>
      <c r="SK13" s="24" t="e">
        <f t="shared" ca="1" si="62"/>
        <v>#REF!</v>
      </c>
      <c r="SL13" s="24" t="e">
        <f t="shared" ca="1" si="63"/>
        <v>#REF!</v>
      </c>
      <c r="SM13" s="24" t="e">
        <f t="shared" ca="1" si="63"/>
        <v>#REF!</v>
      </c>
      <c r="SN13" s="24" t="e">
        <f t="shared" ca="1" si="63"/>
        <v>#REF!</v>
      </c>
      <c r="SO13" s="24" t="e">
        <f t="shared" ca="1" si="63"/>
        <v>#REF!</v>
      </c>
      <c r="SP13" s="24" t="e">
        <f t="shared" ca="1" si="63"/>
        <v>#REF!</v>
      </c>
      <c r="SQ13" s="24" t="e">
        <f t="shared" ca="1" si="63"/>
        <v>#REF!</v>
      </c>
      <c r="SR13" s="24" t="e">
        <f t="shared" ca="1" si="63"/>
        <v>#REF!</v>
      </c>
      <c r="SS13" s="24" t="e">
        <f t="shared" ca="1" si="63"/>
        <v>#REF!</v>
      </c>
      <c r="ST13" s="24" t="e">
        <f t="shared" ca="1" si="63"/>
        <v>#REF!</v>
      </c>
      <c r="SU13" s="24" t="e">
        <f t="shared" ca="1" si="63"/>
        <v>#REF!</v>
      </c>
      <c r="SV13" s="24" t="e">
        <f t="shared" ca="1" si="63"/>
        <v>#REF!</v>
      </c>
      <c r="SW13" s="24" t="e">
        <f t="shared" ca="1" si="63"/>
        <v>#REF!</v>
      </c>
      <c r="SX13" s="24" t="e">
        <f t="shared" ca="1" si="63"/>
        <v>#REF!</v>
      </c>
      <c r="SY13" s="24" t="e">
        <f t="shared" ca="1" si="63"/>
        <v>#REF!</v>
      </c>
      <c r="SZ13" s="24" t="e">
        <f t="shared" ca="1" si="63"/>
        <v>#REF!</v>
      </c>
      <c r="TA13" s="24" t="e">
        <f t="shared" ca="1" si="63"/>
        <v>#REF!</v>
      </c>
      <c r="TB13" s="24" t="e">
        <f t="shared" ca="1" si="64"/>
        <v>#REF!</v>
      </c>
      <c r="TC13" s="24" t="e">
        <f t="shared" ca="1" si="64"/>
        <v>#REF!</v>
      </c>
      <c r="TD13" s="24" t="e">
        <f t="shared" ca="1" si="64"/>
        <v>#REF!</v>
      </c>
      <c r="TE13" s="24" t="e">
        <f t="shared" ca="1" si="64"/>
        <v>#REF!</v>
      </c>
      <c r="TF13" s="24" t="e">
        <f t="shared" ca="1" si="64"/>
        <v>#REF!</v>
      </c>
      <c r="TG13" s="24" t="e">
        <f t="shared" ca="1" si="64"/>
        <v>#REF!</v>
      </c>
      <c r="TH13" s="24" t="e">
        <f t="shared" ca="1" si="64"/>
        <v>#REF!</v>
      </c>
      <c r="TI13" s="24" t="e">
        <f t="shared" ca="1" si="64"/>
        <v>#REF!</v>
      </c>
      <c r="TJ13" s="24" t="e">
        <f t="shared" ca="1" si="64"/>
        <v>#REF!</v>
      </c>
      <c r="TK13" s="24" t="e">
        <f t="shared" ca="1" si="64"/>
        <v>#REF!</v>
      </c>
      <c r="TL13" s="24" t="e">
        <f t="shared" ca="1" si="64"/>
        <v>#REF!</v>
      </c>
      <c r="TM13" s="24" t="e">
        <f t="shared" ca="1" si="64"/>
        <v>#REF!</v>
      </c>
      <c r="TN13" s="24" t="e">
        <f t="shared" ca="1" si="64"/>
        <v>#REF!</v>
      </c>
      <c r="TO13" s="24" t="e">
        <f t="shared" ca="1" si="64"/>
        <v>#REF!</v>
      </c>
      <c r="TP13" s="24" t="e">
        <f t="shared" ca="1" si="64"/>
        <v>#REF!</v>
      </c>
      <c r="TQ13" s="24" t="e">
        <f t="shared" ca="1" si="64"/>
        <v>#REF!</v>
      </c>
      <c r="TR13" s="24" t="e">
        <f t="shared" ca="1" si="65"/>
        <v>#REF!</v>
      </c>
      <c r="TS13" s="24" t="e">
        <f t="shared" ca="1" si="65"/>
        <v>#REF!</v>
      </c>
      <c r="TT13" s="24" t="e">
        <f t="shared" ca="1" si="65"/>
        <v>#REF!</v>
      </c>
      <c r="TU13" s="24" t="e">
        <f t="shared" ca="1" si="65"/>
        <v>#REF!</v>
      </c>
      <c r="TV13" s="24" t="e">
        <f t="shared" ca="1" si="65"/>
        <v>#REF!</v>
      </c>
      <c r="TW13" s="24" t="e">
        <f t="shared" ca="1" si="65"/>
        <v>#REF!</v>
      </c>
      <c r="TX13" s="24" t="e">
        <f t="shared" ca="1" si="65"/>
        <v>#REF!</v>
      </c>
      <c r="TY13" s="24" t="e">
        <f t="shared" ca="1" si="65"/>
        <v>#REF!</v>
      </c>
      <c r="TZ13" s="24" t="e">
        <f t="shared" ca="1" si="65"/>
        <v>#REF!</v>
      </c>
      <c r="UA13" s="24" t="e">
        <f t="shared" ca="1" si="65"/>
        <v>#REF!</v>
      </c>
      <c r="UB13" s="24" t="e">
        <f t="shared" ca="1" si="65"/>
        <v>#REF!</v>
      </c>
      <c r="UC13" s="24" t="e">
        <f t="shared" ca="1" si="65"/>
        <v>#REF!</v>
      </c>
      <c r="UD13" s="24" t="e">
        <f t="shared" ca="1" si="65"/>
        <v>#REF!</v>
      </c>
      <c r="UE13" s="24" t="e">
        <f t="shared" ca="1" si="65"/>
        <v>#REF!</v>
      </c>
      <c r="UF13" s="24" t="e">
        <f t="shared" ca="1" si="65"/>
        <v>#REF!</v>
      </c>
      <c r="UG13" s="24" t="e">
        <f t="shared" ca="1" si="65"/>
        <v>#REF!</v>
      </c>
      <c r="UH13" s="24" t="e">
        <f t="shared" ca="1" si="66"/>
        <v>#REF!</v>
      </c>
      <c r="UI13" s="24" t="e">
        <f t="shared" ca="1" si="66"/>
        <v>#REF!</v>
      </c>
      <c r="UJ13" s="24" t="e">
        <f t="shared" ca="1" si="66"/>
        <v>#REF!</v>
      </c>
      <c r="UK13" s="24" t="e">
        <f t="shared" ca="1" si="66"/>
        <v>#REF!</v>
      </c>
      <c r="UL13" s="24" t="e">
        <f t="shared" ca="1" si="66"/>
        <v>#REF!</v>
      </c>
      <c r="UM13" s="24" t="e">
        <f t="shared" ca="1" si="66"/>
        <v>#REF!</v>
      </c>
      <c r="UN13" s="24" t="e">
        <f t="shared" ca="1" si="66"/>
        <v>#REF!</v>
      </c>
      <c r="UO13" s="24" t="e">
        <f t="shared" ca="1" si="66"/>
        <v>#REF!</v>
      </c>
      <c r="UP13" s="24" t="e">
        <f t="shared" ca="1" si="66"/>
        <v>#REF!</v>
      </c>
      <c r="UQ13" s="24" t="e">
        <f t="shared" ca="1" si="66"/>
        <v>#REF!</v>
      </c>
      <c r="UR13" s="24" t="e">
        <f t="shared" ca="1" si="66"/>
        <v>#REF!</v>
      </c>
      <c r="US13" s="24" t="e">
        <f t="shared" ca="1" si="66"/>
        <v>#REF!</v>
      </c>
      <c r="UT13" s="24" t="e">
        <f t="shared" ca="1" si="66"/>
        <v>#REF!</v>
      </c>
      <c r="UU13" s="24" t="e">
        <f t="shared" ca="1" si="66"/>
        <v>#REF!</v>
      </c>
      <c r="UV13" s="24" t="e">
        <f t="shared" ca="1" si="66"/>
        <v>#REF!</v>
      </c>
      <c r="UW13" s="24" t="e">
        <f t="shared" ca="1" si="66"/>
        <v>#REF!</v>
      </c>
      <c r="UX13" s="24" t="e">
        <f t="shared" ca="1" si="67"/>
        <v>#REF!</v>
      </c>
      <c r="UY13" s="24" t="e">
        <f t="shared" ca="1" si="67"/>
        <v>#REF!</v>
      </c>
      <c r="UZ13" s="24" t="e">
        <f t="shared" ca="1" si="67"/>
        <v>#REF!</v>
      </c>
      <c r="VA13" s="24" t="e">
        <f t="shared" ca="1" si="67"/>
        <v>#REF!</v>
      </c>
      <c r="VB13" s="24" t="e">
        <f t="shared" ca="1" si="67"/>
        <v>#REF!</v>
      </c>
      <c r="VC13" s="24" t="e">
        <f t="shared" ca="1" si="67"/>
        <v>#REF!</v>
      </c>
      <c r="VD13" s="24" t="e">
        <f t="shared" ca="1" si="67"/>
        <v>#REF!</v>
      </c>
      <c r="VE13" s="24" t="e">
        <f t="shared" ca="1" si="67"/>
        <v>#REF!</v>
      </c>
      <c r="VF13" s="24" t="e">
        <f t="shared" ca="1" si="67"/>
        <v>#REF!</v>
      </c>
      <c r="VG13" s="24" t="e">
        <f t="shared" ca="1" si="67"/>
        <v>#REF!</v>
      </c>
      <c r="VH13" s="24" t="e">
        <f t="shared" ca="1" si="67"/>
        <v>#REF!</v>
      </c>
      <c r="VI13" s="24" t="e">
        <f t="shared" ca="1" si="67"/>
        <v>#REF!</v>
      </c>
      <c r="VJ13" s="24" t="e">
        <f t="shared" ca="1" si="67"/>
        <v>#REF!</v>
      </c>
      <c r="VK13" s="24" t="e">
        <f t="shared" ca="1" si="67"/>
        <v>#REF!</v>
      </c>
      <c r="VL13" s="24" t="e">
        <f t="shared" ca="1" si="67"/>
        <v>#REF!</v>
      </c>
      <c r="VM13" s="24" t="e">
        <f t="shared" ca="1" si="67"/>
        <v>#REF!</v>
      </c>
      <c r="VN13" s="24" t="e">
        <f t="shared" ca="1" si="68"/>
        <v>#REF!</v>
      </c>
      <c r="VO13" s="24" t="e">
        <f t="shared" ca="1" si="68"/>
        <v>#REF!</v>
      </c>
      <c r="VP13" s="24" t="e">
        <f t="shared" ca="1" si="68"/>
        <v>#REF!</v>
      </c>
      <c r="VQ13" s="24" t="e">
        <f t="shared" ca="1" si="68"/>
        <v>#REF!</v>
      </c>
      <c r="VR13" s="24" t="e">
        <f t="shared" ca="1" si="68"/>
        <v>#REF!</v>
      </c>
      <c r="VS13" s="24" t="e">
        <f t="shared" ca="1" si="68"/>
        <v>#REF!</v>
      </c>
    </row>
    <row r="14" spans="1:591" s="17" customFormat="1" ht="16.2" customHeight="1" x14ac:dyDescent="0.3">
      <c r="A14" s="81"/>
      <c r="B14" s="56" t="str">
        <f>'CoS Tracker'!$AF$7</f>
        <v>2. Design Period End</v>
      </c>
      <c r="C14" s="19" t="s">
        <v>72</v>
      </c>
      <c r="D14" s="19"/>
      <c r="E14" s="27">
        <v>0.1</v>
      </c>
      <c r="F14" s="26" t="e">
        <f>F12</f>
        <v>#REF!</v>
      </c>
      <c r="G14" s="26" t="e">
        <f>'CoS Tracker'!#REF!</f>
        <v>#REF!</v>
      </c>
      <c r="H14" s="25" t="e">
        <f>Milestones43524[[#This Row],[End]]-Milestones43524[[#This Row],[Start]]</f>
        <v>#REF!</v>
      </c>
      <c r="I14" s="19"/>
      <c r="J14" s="24" t="e">
        <f t="shared" ca="1" si="32"/>
        <v>#REF!</v>
      </c>
      <c r="K14" s="24" t="e">
        <f t="shared" ca="1" si="32"/>
        <v>#REF!</v>
      </c>
      <c r="L14" s="24" t="e">
        <f t="shared" ca="1" si="32"/>
        <v>#REF!</v>
      </c>
      <c r="M14" s="24" t="e">
        <f t="shared" ca="1" si="32"/>
        <v>#REF!</v>
      </c>
      <c r="N14" s="24" t="e">
        <f t="shared" ca="1" si="32"/>
        <v>#REF!</v>
      </c>
      <c r="O14" s="24" t="e">
        <f t="shared" ca="1" si="32"/>
        <v>#REF!</v>
      </c>
      <c r="P14" s="24" t="e">
        <f t="shared" ca="1" si="32"/>
        <v>#REF!</v>
      </c>
      <c r="Q14" s="24" t="e">
        <f t="shared" ca="1" si="32"/>
        <v>#REF!</v>
      </c>
      <c r="R14" s="24" t="e">
        <f t="shared" ca="1" si="32"/>
        <v>#REF!</v>
      </c>
      <c r="S14" s="24" t="e">
        <f t="shared" ca="1" si="32"/>
        <v>#REF!</v>
      </c>
      <c r="T14" s="24" t="e">
        <f t="shared" ca="1" si="32"/>
        <v>#REF!</v>
      </c>
      <c r="U14" s="24" t="e">
        <f t="shared" ca="1" si="32"/>
        <v>#REF!</v>
      </c>
      <c r="V14" s="24" t="e">
        <f t="shared" ca="1" si="32"/>
        <v>#REF!</v>
      </c>
      <c r="W14" s="24" t="e">
        <f t="shared" ca="1" si="32"/>
        <v>#REF!</v>
      </c>
      <c r="X14" s="24" t="e">
        <f t="shared" ca="1" si="32"/>
        <v>#REF!</v>
      </c>
      <c r="Y14" s="24" t="e">
        <f t="shared" ca="1" si="32"/>
        <v>#REF!</v>
      </c>
      <c r="Z14" s="24" t="e">
        <f t="shared" ca="1" si="33"/>
        <v>#REF!</v>
      </c>
      <c r="AA14" s="24" t="e">
        <f t="shared" ca="1" si="33"/>
        <v>#REF!</v>
      </c>
      <c r="AB14" s="24" t="e">
        <f t="shared" ca="1" si="33"/>
        <v>#REF!</v>
      </c>
      <c r="AC14" s="24" t="e">
        <f t="shared" ca="1" si="33"/>
        <v>#REF!</v>
      </c>
      <c r="AD14" s="24" t="e">
        <f t="shared" ca="1" si="33"/>
        <v>#REF!</v>
      </c>
      <c r="AE14" s="24" t="e">
        <f t="shared" ca="1" si="33"/>
        <v>#REF!</v>
      </c>
      <c r="AF14" s="24" t="e">
        <f t="shared" ca="1" si="33"/>
        <v>#REF!</v>
      </c>
      <c r="AG14" s="24" t="e">
        <f t="shared" ca="1" si="33"/>
        <v>#REF!</v>
      </c>
      <c r="AH14" s="24" t="e">
        <f t="shared" ca="1" si="33"/>
        <v>#REF!</v>
      </c>
      <c r="AI14" s="24" t="e">
        <f t="shared" ca="1" si="33"/>
        <v>#REF!</v>
      </c>
      <c r="AJ14" s="24" t="e">
        <f t="shared" ca="1" si="33"/>
        <v>#REF!</v>
      </c>
      <c r="AK14" s="24" t="e">
        <f t="shared" ca="1" si="33"/>
        <v>#REF!</v>
      </c>
      <c r="AL14" s="24" t="e">
        <f t="shared" ca="1" si="33"/>
        <v>#REF!</v>
      </c>
      <c r="AM14" s="24" t="e">
        <f t="shared" ca="1" si="33"/>
        <v>#REF!</v>
      </c>
      <c r="AN14" s="24" t="e">
        <f t="shared" ca="1" si="33"/>
        <v>#REF!</v>
      </c>
      <c r="AO14" s="24" t="e">
        <f t="shared" ca="1" si="33"/>
        <v>#REF!</v>
      </c>
      <c r="AP14" s="24" t="e">
        <f t="shared" ca="1" si="34"/>
        <v>#REF!</v>
      </c>
      <c r="AQ14" s="24" t="e">
        <f t="shared" ca="1" si="34"/>
        <v>#REF!</v>
      </c>
      <c r="AR14" s="24" t="e">
        <f t="shared" ca="1" si="34"/>
        <v>#REF!</v>
      </c>
      <c r="AS14" s="24" t="e">
        <f t="shared" ca="1" si="34"/>
        <v>#REF!</v>
      </c>
      <c r="AT14" s="24" t="e">
        <f t="shared" ca="1" si="34"/>
        <v>#REF!</v>
      </c>
      <c r="AU14" s="24" t="e">
        <f t="shared" ca="1" si="34"/>
        <v>#REF!</v>
      </c>
      <c r="AV14" s="24" t="e">
        <f t="shared" ca="1" si="34"/>
        <v>#REF!</v>
      </c>
      <c r="AW14" s="24" t="e">
        <f t="shared" ca="1" si="34"/>
        <v>#REF!</v>
      </c>
      <c r="AX14" s="24" t="e">
        <f t="shared" ca="1" si="34"/>
        <v>#REF!</v>
      </c>
      <c r="AY14" s="24" t="e">
        <f t="shared" ca="1" si="34"/>
        <v>#REF!</v>
      </c>
      <c r="AZ14" s="24" t="e">
        <f t="shared" ca="1" si="34"/>
        <v>#REF!</v>
      </c>
      <c r="BA14" s="24" t="e">
        <f t="shared" ca="1" si="34"/>
        <v>#REF!</v>
      </c>
      <c r="BB14" s="24" t="e">
        <f t="shared" ca="1" si="34"/>
        <v>#REF!</v>
      </c>
      <c r="BC14" s="24" t="e">
        <f t="shared" ca="1" si="34"/>
        <v>#REF!</v>
      </c>
      <c r="BD14" s="24" t="e">
        <f t="shared" ca="1" si="34"/>
        <v>#REF!</v>
      </c>
      <c r="BE14" s="24" t="e">
        <f t="shared" ca="1" si="34"/>
        <v>#REF!</v>
      </c>
      <c r="BF14" s="24" t="e">
        <f t="shared" ca="1" si="35"/>
        <v>#REF!</v>
      </c>
      <c r="BG14" s="24" t="e">
        <f t="shared" ca="1" si="35"/>
        <v>#REF!</v>
      </c>
      <c r="BH14" s="24" t="e">
        <f t="shared" ca="1" si="35"/>
        <v>#REF!</v>
      </c>
      <c r="BI14" s="24" t="e">
        <f t="shared" ca="1" si="35"/>
        <v>#REF!</v>
      </c>
      <c r="BJ14" s="24" t="e">
        <f t="shared" ca="1" si="35"/>
        <v>#REF!</v>
      </c>
      <c r="BK14" s="24" t="e">
        <f t="shared" ca="1" si="35"/>
        <v>#REF!</v>
      </c>
      <c r="BL14" s="24" t="e">
        <f t="shared" ca="1" si="35"/>
        <v>#REF!</v>
      </c>
      <c r="BM14" s="24" t="e">
        <f t="shared" ca="1" si="35"/>
        <v>#REF!</v>
      </c>
      <c r="BN14" s="24" t="e">
        <f t="shared" ca="1" si="35"/>
        <v>#REF!</v>
      </c>
      <c r="BO14" s="24" t="e">
        <f t="shared" ca="1" si="35"/>
        <v>#REF!</v>
      </c>
      <c r="BP14" s="24" t="e">
        <f t="shared" ca="1" si="35"/>
        <v>#REF!</v>
      </c>
      <c r="BQ14" s="24" t="e">
        <f t="shared" ca="1" si="35"/>
        <v>#REF!</v>
      </c>
      <c r="BR14" s="24" t="e">
        <f t="shared" ca="1" si="35"/>
        <v>#REF!</v>
      </c>
      <c r="BS14" s="24" t="e">
        <f t="shared" ca="1" si="35"/>
        <v>#REF!</v>
      </c>
      <c r="BT14" s="24" t="e">
        <f t="shared" ca="1" si="35"/>
        <v>#REF!</v>
      </c>
      <c r="BU14" s="24" t="e">
        <f t="shared" ca="1" si="35"/>
        <v>#REF!</v>
      </c>
      <c r="BV14" s="24" t="e">
        <f t="shared" ca="1" si="36"/>
        <v>#REF!</v>
      </c>
      <c r="BW14" s="24" t="e">
        <f t="shared" ca="1" si="36"/>
        <v>#REF!</v>
      </c>
      <c r="BX14" s="24" t="e">
        <f t="shared" ca="1" si="36"/>
        <v>#REF!</v>
      </c>
      <c r="BY14" s="24" t="e">
        <f t="shared" ca="1" si="36"/>
        <v>#REF!</v>
      </c>
      <c r="BZ14" s="24" t="e">
        <f t="shared" ca="1" si="36"/>
        <v>#REF!</v>
      </c>
      <c r="CA14" s="24" t="e">
        <f t="shared" ca="1" si="36"/>
        <v>#REF!</v>
      </c>
      <c r="CB14" s="24" t="e">
        <f t="shared" ca="1" si="36"/>
        <v>#REF!</v>
      </c>
      <c r="CC14" s="24" t="e">
        <f t="shared" ca="1" si="36"/>
        <v>#REF!</v>
      </c>
      <c r="CD14" s="24" t="e">
        <f t="shared" ca="1" si="36"/>
        <v>#REF!</v>
      </c>
      <c r="CE14" s="24" t="e">
        <f t="shared" ca="1" si="36"/>
        <v>#REF!</v>
      </c>
      <c r="CF14" s="24" t="e">
        <f t="shared" ca="1" si="36"/>
        <v>#REF!</v>
      </c>
      <c r="CG14" s="24" t="e">
        <f t="shared" ca="1" si="36"/>
        <v>#REF!</v>
      </c>
      <c r="CH14" s="24" t="e">
        <f t="shared" ca="1" si="36"/>
        <v>#REF!</v>
      </c>
      <c r="CI14" s="24" t="e">
        <f t="shared" ca="1" si="36"/>
        <v>#REF!</v>
      </c>
      <c r="CJ14" s="24" t="e">
        <f t="shared" ca="1" si="36"/>
        <v>#REF!</v>
      </c>
      <c r="CK14" s="24" t="e">
        <f t="shared" ca="1" si="36"/>
        <v>#REF!</v>
      </c>
      <c r="CL14" s="24" t="e">
        <f t="shared" ca="1" si="37"/>
        <v>#REF!</v>
      </c>
      <c r="CM14" s="24" t="e">
        <f t="shared" ca="1" si="37"/>
        <v>#REF!</v>
      </c>
      <c r="CN14" s="24" t="e">
        <f t="shared" ca="1" si="37"/>
        <v>#REF!</v>
      </c>
      <c r="CO14" s="24" t="e">
        <f t="shared" ca="1" si="37"/>
        <v>#REF!</v>
      </c>
      <c r="CP14" s="24" t="e">
        <f t="shared" ca="1" si="37"/>
        <v>#REF!</v>
      </c>
      <c r="CQ14" s="24" t="e">
        <f t="shared" ca="1" si="37"/>
        <v>#REF!</v>
      </c>
      <c r="CR14" s="24" t="e">
        <f t="shared" ca="1" si="37"/>
        <v>#REF!</v>
      </c>
      <c r="CS14" s="24" t="e">
        <f t="shared" ca="1" si="37"/>
        <v>#REF!</v>
      </c>
      <c r="CT14" s="24" t="e">
        <f t="shared" ca="1" si="37"/>
        <v>#REF!</v>
      </c>
      <c r="CU14" s="24" t="e">
        <f t="shared" ca="1" si="37"/>
        <v>#REF!</v>
      </c>
      <c r="CV14" s="24" t="e">
        <f t="shared" ca="1" si="37"/>
        <v>#REF!</v>
      </c>
      <c r="CW14" s="24" t="e">
        <f t="shared" ca="1" si="37"/>
        <v>#REF!</v>
      </c>
      <c r="CX14" s="24" t="e">
        <f t="shared" ca="1" si="37"/>
        <v>#REF!</v>
      </c>
      <c r="CY14" s="24" t="e">
        <f t="shared" ca="1" si="37"/>
        <v>#REF!</v>
      </c>
      <c r="CZ14" s="24" t="e">
        <f t="shared" ca="1" si="37"/>
        <v>#REF!</v>
      </c>
      <c r="DA14" s="24" t="e">
        <f t="shared" ca="1" si="37"/>
        <v>#REF!</v>
      </c>
      <c r="DB14" s="24" t="e">
        <f t="shared" ca="1" si="38"/>
        <v>#REF!</v>
      </c>
      <c r="DC14" s="24" t="e">
        <f t="shared" ca="1" si="38"/>
        <v>#REF!</v>
      </c>
      <c r="DD14" s="24" t="e">
        <f t="shared" ca="1" si="38"/>
        <v>#REF!</v>
      </c>
      <c r="DE14" s="24" t="e">
        <f t="shared" ca="1" si="38"/>
        <v>#REF!</v>
      </c>
      <c r="DF14" s="24" t="e">
        <f t="shared" ca="1" si="38"/>
        <v>#REF!</v>
      </c>
      <c r="DG14" s="24" t="e">
        <f t="shared" ca="1" si="38"/>
        <v>#REF!</v>
      </c>
      <c r="DH14" s="24" t="e">
        <f t="shared" ca="1" si="38"/>
        <v>#REF!</v>
      </c>
      <c r="DI14" s="24" t="e">
        <f t="shared" ca="1" si="38"/>
        <v>#REF!</v>
      </c>
      <c r="DJ14" s="24" t="e">
        <f t="shared" ca="1" si="38"/>
        <v>#REF!</v>
      </c>
      <c r="DK14" s="24" t="e">
        <f t="shared" ca="1" si="38"/>
        <v>#REF!</v>
      </c>
      <c r="DL14" s="24" t="e">
        <f t="shared" ca="1" si="38"/>
        <v>#REF!</v>
      </c>
      <c r="DM14" s="24" t="e">
        <f t="shared" ca="1" si="38"/>
        <v>#REF!</v>
      </c>
      <c r="DN14" s="24" t="e">
        <f t="shared" ca="1" si="38"/>
        <v>#REF!</v>
      </c>
      <c r="DO14" s="24" t="e">
        <f t="shared" ca="1" si="38"/>
        <v>#REF!</v>
      </c>
      <c r="DP14" s="24" t="e">
        <f t="shared" ca="1" si="38"/>
        <v>#REF!</v>
      </c>
      <c r="DQ14" s="24" t="e">
        <f t="shared" ca="1" si="38"/>
        <v>#REF!</v>
      </c>
      <c r="DR14" s="24" t="e">
        <f t="shared" ca="1" si="39"/>
        <v>#REF!</v>
      </c>
      <c r="DS14" s="24" t="e">
        <f t="shared" ca="1" si="39"/>
        <v>#REF!</v>
      </c>
      <c r="DT14" s="24" t="e">
        <f t="shared" ca="1" si="39"/>
        <v>#REF!</v>
      </c>
      <c r="DU14" s="24" t="e">
        <f t="shared" ca="1" si="39"/>
        <v>#REF!</v>
      </c>
      <c r="DV14" s="24" t="e">
        <f t="shared" ca="1" si="39"/>
        <v>#REF!</v>
      </c>
      <c r="DW14" s="24" t="e">
        <f t="shared" ca="1" si="39"/>
        <v>#REF!</v>
      </c>
      <c r="DX14" s="24" t="e">
        <f t="shared" ca="1" si="39"/>
        <v>#REF!</v>
      </c>
      <c r="DY14" s="24" t="e">
        <f t="shared" ca="1" si="39"/>
        <v>#REF!</v>
      </c>
      <c r="DZ14" s="24" t="e">
        <f t="shared" ca="1" si="39"/>
        <v>#REF!</v>
      </c>
      <c r="EA14" s="24" t="e">
        <f t="shared" ca="1" si="39"/>
        <v>#REF!</v>
      </c>
      <c r="EB14" s="24" t="e">
        <f t="shared" ca="1" si="39"/>
        <v>#REF!</v>
      </c>
      <c r="EC14" s="24" t="e">
        <f t="shared" ca="1" si="39"/>
        <v>#REF!</v>
      </c>
      <c r="ED14" s="24" t="e">
        <f t="shared" ca="1" si="39"/>
        <v>#REF!</v>
      </c>
      <c r="EE14" s="24" t="e">
        <f t="shared" ca="1" si="39"/>
        <v>#REF!</v>
      </c>
      <c r="EF14" s="24" t="e">
        <f t="shared" ca="1" si="39"/>
        <v>#REF!</v>
      </c>
      <c r="EG14" s="24" t="e">
        <f t="shared" ca="1" si="39"/>
        <v>#REF!</v>
      </c>
      <c r="EH14" s="24" t="e">
        <f t="shared" ca="1" si="40"/>
        <v>#REF!</v>
      </c>
      <c r="EI14" s="24" t="e">
        <f t="shared" ca="1" si="40"/>
        <v>#REF!</v>
      </c>
      <c r="EJ14" s="24" t="e">
        <f t="shared" ca="1" si="40"/>
        <v>#REF!</v>
      </c>
      <c r="EK14" s="24" t="e">
        <f t="shared" ca="1" si="40"/>
        <v>#REF!</v>
      </c>
      <c r="EL14" s="24" t="e">
        <f t="shared" ca="1" si="40"/>
        <v>#REF!</v>
      </c>
      <c r="EM14" s="24" t="e">
        <f t="shared" ca="1" si="40"/>
        <v>#REF!</v>
      </c>
      <c r="EN14" s="24" t="e">
        <f t="shared" ca="1" si="40"/>
        <v>#REF!</v>
      </c>
      <c r="EO14" s="24" t="e">
        <f t="shared" ca="1" si="40"/>
        <v>#REF!</v>
      </c>
      <c r="EP14" s="24" t="e">
        <f t="shared" ca="1" si="40"/>
        <v>#REF!</v>
      </c>
      <c r="EQ14" s="24" t="e">
        <f t="shared" ca="1" si="40"/>
        <v>#REF!</v>
      </c>
      <c r="ER14" s="24" t="e">
        <f t="shared" ca="1" si="40"/>
        <v>#REF!</v>
      </c>
      <c r="ES14" s="24" t="e">
        <f t="shared" ca="1" si="40"/>
        <v>#REF!</v>
      </c>
      <c r="ET14" s="24" t="e">
        <f t="shared" ca="1" si="40"/>
        <v>#REF!</v>
      </c>
      <c r="EU14" s="24" t="e">
        <f t="shared" ca="1" si="40"/>
        <v>#REF!</v>
      </c>
      <c r="EV14" s="24" t="e">
        <f t="shared" ca="1" si="40"/>
        <v>#REF!</v>
      </c>
      <c r="EW14" s="24" t="e">
        <f t="shared" ca="1" si="40"/>
        <v>#REF!</v>
      </c>
      <c r="EX14" s="24" t="e">
        <f t="shared" ca="1" si="41"/>
        <v>#REF!</v>
      </c>
      <c r="EY14" s="24" t="e">
        <f t="shared" ca="1" si="41"/>
        <v>#REF!</v>
      </c>
      <c r="EZ14" s="24" t="e">
        <f t="shared" ca="1" si="41"/>
        <v>#REF!</v>
      </c>
      <c r="FA14" s="24" t="e">
        <f t="shared" ca="1" si="41"/>
        <v>#REF!</v>
      </c>
      <c r="FB14" s="24" t="e">
        <f t="shared" ca="1" si="41"/>
        <v>#REF!</v>
      </c>
      <c r="FC14" s="24" t="e">
        <f t="shared" ca="1" si="41"/>
        <v>#REF!</v>
      </c>
      <c r="FD14" s="24" t="e">
        <f t="shared" ca="1" si="41"/>
        <v>#REF!</v>
      </c>
      <c r="FE14" s="24" t="e">
        <f t="shared" ca="1" si="41"/>
        <v>#REF!</v>
      </c>
      <c r="FF14" s="24" t="e">
        <f t="shared" ca="1" si="41"/>
        <v>#REF!</v>
      </c>
      <c r="FG14" s="24" t="e">
        <f t="shared" ca="1" si="41"/>
        <v>#REF!</v>
      </c>
      <c r="FH14" s="24" t="e">
        <f t="shared" ca="1" si="41"/>
        <v>#REF!</v>
      </c>
      <c r="FI14" s="24" t="e">
        <f t="shared" ca="1" si="41"/>
        <v>#REF!</v>
      </c>
      <c r="FJ14" s="24" t="e">
        <f t="shared" ca="1" si="41"/>
        <v>#REF!</v>
      </c>
      <c r="FK14" s="24" t="e">
        <f t="shared" ca="1" si="41"/>
        <v>#REF!</v>
      </c>
      <c r="FL14" s="24" t="e">
        <f t="shared" ca="1" si="41"/>
        <v>#REF!</v>
      </c>
      <c r="FM14" s="24" t="e">
        <f t="shared" ca="1" si="41"/>
        <v>#REF!</v>
      </c>
      <c r="FN14" s="24" t="e">
        <f t="shared" ca="1" si="42"/>
        <v>#REF!</v>
      </c>
      <c r="FO14" s="24" t="e">
        <f t="shared" ca="1" si="42"/>
        <v>#REF!</v>
      </c>
      <c r="FP14" s="24" t="e">
        <f t="shared" ca="1" si="42"/>
        <v>#REF!</v>
      </c>
      <c r="FQ14" s="24" t="e">
        <f t="shared" ca="1" si="42"/>
        <v>#REF!</v>
      </c>
      <c r="FR14" s="24" t="e">
        <f t="shared" ca="1" si="42"/>
        <v>#REF!</v>
      </c>
      <c r="FS14" s="24" t="e">
        <f t="shared" ca="1" si="42"/>
        <v>#REF!</v>
      </c>
      <c r="FT14" s="24" t="e">
        <f t="shared" ca="1" si="42"/>
        <v>#REF!</v>
      </c>
      <c r="FU14" s="24" t="e">
        <f t="shared" ca="1" si="42"/>
        <v>#REF!</v>
      </c>
      <c r="FV14" s="24" t="e">
        <f t="shared" ca="1" si="42"/>
        <v>#REF!</v>
      </c>
      <c r="FW14" s="24" t="e">
        <f t="shared" ca="1" si="42"/>
        <v>#REF!</v>
      </c>
      <c r="FX14" s="24" t="e">
        <f t="shared" ca="1" si="42"/>
        <v>#REF!</v>
      </c>
      <c r="FY14" s="24" t="e">
        <f t="shared" ca="1" si="42"/>
        <v>#REF!</v>
      </c>
      <c r="FZ14" s="24" t="e">
        <f t="shared" ca="1" si="42"/>
        <v>#REF!</v>
      </c>
      <c r="GA14" s="24" t="e">
        <f t="shared" ca="1" si="42"/>
        <v>#REF!</v>
      </c>
      <c r="GB14" s="24" t="e">
        <f t="shared" ca="1" si="42"/>
        <v>#REF!</v>
      </c>
      <c r="GC14" s="24" t="e">
        <f t="shared" ca="1" si="42"/>
        <v>#REF!</v>
      </c>
      <c r="GD14" s="24" t="e">
        <f t="shared" ca="1" si="43"/>
        <v>#REF!</v>
      </c>
      <c r="GE14" s="24" t="e">
        <f t="shared" ca="1" si="43"/>
        <v>#REF!</v>
      </c>
      <c r="GF14" s="24" t="e">
        <f t="shared" ca="1" si="43"/>
        <v>#REF!</v>
      </c>
      <c r="GG14" s="24" t="e">
        <f t="shared" ca="1" si="43"/>
        <v>#REF!</v>
      </c>
      <c r="GH14" s="24" t="e">
        <f t="shared" ca="1" si="43"/>
        <v>#REF!</v>
      </c>
      <c r="GI14" s="24" t="e">
        <f t="shared" ca="1" si="43"/>
        <v>#REF!</v>
      </c>
      <c r="GJ14" s="24" t="e">
        <f t="shared" ca="1" si="43"/>
        <v>#REF!</v>
      </c>
      <c r="GK14" s="24" t="e">
        <f t="shared" ca="1" si="43"/>
        <v>#REF!</v>
      </c>
      <c r="GL14" s="24" t="e">
        <f t="shared" ca="1" si="43"/>
        <v>#REF!</v>
      </c>
      <c r="GM14" s="24" t="e">
        <f t="shared" ca="1" si="43"/>
        <v>#REF!</v>
      </c>
      <c r="GN14" s="24" t="e">
        <f t="shared" ca="1" si="43"/>
        <v>#REF!</v>
      </c>
      <c r="GO14" s="24" t="e">
        <f t="shared" ca="1" si="43"/>
        <v>#REF!</v>
      </c>
      <c r="GP14" s="24" t="e">
        <f t="shared" ca="1" si="43"/>
        <v>#REF!</v>
      </c>
      <c r="GQ14" s="24" t="e">
        <f t="shared" ca="1" si="43"/>
        <v>#REF!</v>
      </c>
      <c r="GR14" s="24" t="e">
        <f t="shared" ca="1" si="43"/>
        <v>#REF!</v>
      </c>
      <c r="GS14" s="24" t="e">
        <f t="shared" ca="1" si="43"/>
        <v>#REF!</v>
      </c>
      <c r="GT14" s="24" t="e">
        <f t="shared" ca="1" si="44"/>
        <v>#REF!</v>
      </c>
      <c r="GU14" s="24" t="e">
        <f t="shared" ca="1" si="44"/>
        <v>#REF!</v>
      </c>
      <c r="GV14" s="24" t="e">
        <f t="shared" ca="1" si="44"/>
        <v>#REF!</v>
      </c>
      <c r="GW14" s="24" t="e">
        <f t="shared" ca="1" si="44"/>
        <v>#REF!</v>
      </c>
      <c r="GX14" s="24" t="e">
        <f t="shared" ca="1" si="44"/>
        <v>#REF!</v>
      </c>
      <c r="GY14" s="24" t="e">
        <f t="shared" ca="1" si="44"/>
        <v>#REF!</v>
      </c>
      <c r="GZ14" s="24" t="e">
        <f t="shared" ca="1" si="44"/>
        <v>#REF!</v>
      </c>
      <c r="HA14" s="24" t="e">
        <f t="shared" ca="1" si="44"/>
        <v>#REF!</v>
      </c>
      <c r="HB14" s="24" t="e">
        <f t="shared" ca="1" si="44"/>
        <v>#REF!</v>
      </c>
      <c r="HC14" s="24" t="e">
        <f t="shared" ca="1" si="44"/>
        <v>#REF!</v>
      </c>
      <c r="HD14" s="24" t="e">
        <f t="shared" ca="1" si="44"/>
        <v>#REF!</v>
      </c>
      <c r="HE14" s="24" t="e">
        <f t="shared" ca="1" si="44"/>
        <v>#REF!</v>
      </c>
      <c r="HF14" s="24" t="e">
        <f t="shared" ca="1" si="44"/>
        <v>#REF!</v>
      </c>
      <c r="HG14" s="24" t="e">
        <f t="shared" ca="1" si="44"/>
        <v>#REF!</v>
      </c>
      <c r="HH14" s="24" t="e">
        <f t="shared" ca="1" si="44"/>
        <v>#REF!</v>
      </c>
      <c r="HI14" s="24" t="e">
        <f t="shared" ca="1" si="44"/>
        <v>#REF!</v>
      </c>
      <c r="HJ14" s="24" t="e">
        <f t="shared" ca="1" si="45"/>
        <v>#REF!</v>
      </c>
      <c r="HK14" s="24" t="e">
        <f t="shared" ca="1" si="45"/>
        <v>#REF!</v>
      </c>
      <c r="HL14" s="24" t="e">
        <f t="shared" ca="1" si="45"/>
        <v>#REF!</v>
      </c>
      <c r="HM14" s="24" t="e">
        <f t="shared" ca="1" si="45"/>
        <v>#REF!</v>
      </c>
      <c r="HN14" s="24" t="e">
        <f t="shared" ca="1" si="45"/>
        <v>#REF!</v>
      </c>
      <c r="HO14" s="24" t="e">
        <f t="shared" ca="1" si="45"/>
        <v>#REF!</v>
      </c>
      <c r="HP14" s="24" t="e">
        <f t="shared" ca="1" si="45"/>
        <v>#REF!</v>
      </c>
      <c r="HQ14" s="24" t="e">
        <f t="shared" ca="1" si="45"/>
        <v>#REF!</v>
      </c>
      <c r="HR14" s="24" t="e">
        <f t="shared" ca="1" si="45"/>
        <v>#REF!</v>
      </c>
      <c r="HS14" s="24" t="e">
        <f t="shared" ca="1" si="45"/>
        <v>#REF!</v>
      </c>
      <c r="HT14" s="24" t="e">
        <f t="shared" ca="1" si="45"/>
        <v>#REF!</v>
      </c>
      <c r="HU14" s="24" t="e">
        <f t="shared" ca="1" si="45"/>
        <v>#REF!</v>
      </c>
      <c r="HV14" s="24" t="e">
        <f t="shared" ca="1" si="45"/>
        <v>#REF!</v>
      </c>
      <c r="HW14" s="24" t="e">
        <f t="shared" ca="1" si="45"/>
        <v>#REF!</v>
      </c>
      <c r="HX14" s="24" t="e">
        <f t="shared" ca="1" si="45"/>
        <v>#REF!</v>
      </c>
      <c r="HY14" s="24" t="e">
        <f t="shared" ca="1" si="45"/>
        <v>#REF!</v>
      </c>
      <c r="HZ14" s="24" t="e">
        <f t="shared" ca="1" si="46"/>
        <v>#REF!</v>
      </c>
      <c r="IA14" s="24" t="e">
        <f t="shared" ca="1" si="46"/>
        <v>#REF!</v>
      </c>
      <c r="IB14" s="24" t="e">
        <f t="shared" ca="1" si="46"/>
        <v>#REF!</v>
      </c>
      <c r="IC14" s="24" t="e">
        <f t="shared" ca="1" si="46"/>
        <v>#REF!</v>
      </c>
      <c r="ID14" s="24" t="e">
        <f t="shared" ca="1" si="46"/>
        <v>#REF!</v>
      </c>
      <c r="IE14" s="24" t="e">
        <f t="shared" ca="1" si="46"/>
        <v>#REF!</v>
      </c>
      <c r="IF14" s="24" t="e">
        <f t="shared" ca="1" si="46"/>
        <v>#REF!</v>
      </c>
      <c r="IG14" s="24" t="e">
        <f t="shared" ca="1" si="46"/>
        <v>#REF!</v>
      </c>
      <c r="IH14" s="24" t="e">
        <f t="shared" ca="1" si="46"/>
        <v>#REF!</v>
      </c>
      <c r="II14" s="24" t="e">
        <f t="shared" ca="1" si="46"/>
        <v>#REF!</v>
      </c>
      <c r="IJ14" s="24" t="e">
        <f t="shared" ca="1" si="46"/>
        <v>#REF!</v>
      </c>
      <c r="IK14" s="24" t="e">
        <f t="shared" ca="1" si="46"/>
        <v>#REF!</v>
      </c>
      <c r="IL14" s="24" t="e">
        <f t="shared" ca="1" si="46"/>
        <v>#REF!</v>
      </c>
      <c r="IM14" s="24" t="e">
        <f t="shared" ca="1" si="46"/>
        <v>#REF!</v>
      </c>
      <c r="IN14" s="24" t="e">
        <f t="shared" ca="1" si="46"/>
        <v>#REF!</v>
      </c>
      <c r="IO14" s="24" t="e">
        <f t="shared" ca="1" si="46"/>
        <v>#REF!</v>
      </c>
      <c r="IP14" s="24" t="e">
        <f t="shared" ca="1" si="47"/>
        <v>#REF!</v>
      </c>
      <c r="IQ14" s="24" t="e">
        <f t="shared" ca="1" si="47"/>
        <v>#REF!</v>
      </c>
      <c r="IR14" s="24" t="e">
        <f t="shared" ca="1" si="47"/>
        <v>#REF!</v>
      </c>
      <c r="IS14" s="24" t="e">
        <f t="shared" ca="1" si="47"/>
        <v>#REF!</v>
      </c>
      <c r="IT14" s="24" t="e">
        <f t="shared" ca="1" si="47"/>
        <v>#REF!</v>
      </c>
      <c r="IU14" s="24" t="e">
        <f t="shared" ca="1" si="47"/>
        <v>#REF!</v>
      </c>
      <c r="IV14" s="24" t="e">
        <f t="shared" ca="1" si="47"/>
        <v>#REF!</v>
      </c>
      <c r="IW14" s="24" t="e">
        <f t="shared" ca="1" si="47"/>
        <v>#REF!</v>
      </c>
      <c r="IX14" s="24" t="e">
        <f t="shared" ca="1" si="47"/>
        <v>#REF!</v>
      </c>
      <c r="IY14" s="24" t="e">
        <f t="shared" ca="1" si="47"/>
        <v>#REF!</v>
      </c>
      <c r="IZ14" s="24" t="e">
        <f t="shared" ca="1" si="47"/>
        <v>#REF!</v>
      </c>
      <c r="JA14" s="24" t="e">
        <f t="shared" ca="1" si="47"/>
        <v>#REF!</v>
      </c>
      <c r="JB14" s="24" t="e">
        <f t="shared" ca="1" si="47"/>
        <v>#REF!</v>
      </c>
      <c r="JC14" s="24" t="e">
        <f t="shared" ca="1" si="47"/>
        <v>#REF!</v>
      </c>
      <c r="JD14" s="24" t="e">
        <f t="shared" ca="1" si="47"/>
        <v>#REF!</v>
      </c>
      <c r="JE14" s="24" t="e">
        <f t="shared" ca="1" si="47"/>
        <v>#REF!</v>
      </c>
      <c r="JF14" s="24" t="e">
        <f t="shared" ca="1" si="48"/>
        <v>#REF!</v>
      </c>
      <c r="JG14" s="24" t="e">
        <f t="shared" ca="1" si="48"/>
        <v>#REF!</v>
      </c>
      <c r="JH14" s="24" t="e">
        <f t="shared" ca="1" si="48"/>
        <v>#REF!</v>
      </c>
      <c r="JI14" s="24" t="e">
        <f t="shared" ca="1" si="48"/>
        <v>#REF!</v>
      </c>
      <c r="JJ14" s="24" t="e">
        <f t="shared" ca="1" si="48"/>
        <v>#REF!</v>
      </c>
      <c r="JK14" s="24" t="e">
        <f t="shared" ca="1" si="48"/>
        <v>#REF!</v>
      </c>
      <c r="JL14" s="24" t="e">
        <f t="shared" ca="1" si="48"/>
        <v>#REF!</v>
      </c>
      <c r="JM14" s="24" t="e">
        <f t="shared" ca="1" si="48"/>
        <v>#REF!</v>
      </c>
      <c r="JN14" s="24" t="e">
        <f t="shared" ca="1" si="48"/>
        <v>#REF!</v>
      </c>
      <c r="JO14" s="24" t="e">
        <f t="shared" ca="1" si="48"/>
        <v>#REF!</v>
      </c>
      <c r="JP14" s="24" t="e">
        <f t="shared" ca="1" si="48"/>
        <v>#REF!</v>
      </c>
      <c r="JQ14" s="24" t="e">
        <f t="shared" ca="1" si="48"/>
        <v>#REF!</v>
      </c>
      <c r="JR14" s="24" t="e">
        <f t="shared" ca="1" si="48"/>
        <v>#REF!</v>
      </c>
      <c r="JS14" s="24" t="e">
        <f t="shared" ca="1" si="48"/>
        <v>#REF!</v>
      </c>
      <c r="JT14" s="24" t="e">
        <f t="shared" ca="1" si="48"/>
        <v>#REF!</v>
      </c>
      <c r="JU14" s="24" t="e">
        <f t="shared" ca="1" si="48"/>
        <v>#REF!</v>
      </c>
      <c r="JV14" s="24" t="e">
        <f t="shared" ca="1" si="49"/>
        <v>#REF!</v>
      </c>
      <c r="JW14" s="24" t="e">
        <f t="shared" ca="1" si="49"/>
        <v>#REF!</v>
      </c>
      <c r="JX14" s="24" t="e">
        <f t="shared" ca="1" si="49"/>
        <v>#REF!</v>
      </c>
      <c r="JY14" s="24" t="e">
        <f t="shared" ca="1" si="49"/>
        <v>#REF!</v>
      </c>
      <c r="JZ14" s="24" t="e">
        <f t="shared" ca="1" si="49"/>
        <v>#REF!</v>
      </c>
      <c r="KA14" s="24" t="e">
        <f t="shared" ca="1" si="49"/>
        <v>#REF!</v>
      </c>
      <c r="KB14" s="24" t="e">
        <f t="shared" ca="1" si="49"/>
        <v>#REF!</v>
      </c>
      <c r="KC14" s="24" t="e">
        <f t="shared" ca="1" si="49"/>
        <v>#REF!</v>
      </c>
      <c r="KD14" s="24" t="e">
        <f t="shared" ca="1" si="49"/>
        <v>#REF!</v>
      </c>
      <c r="KE14" s="24" t="e">
        <f t="shared" ca="1" si="49"/>
        <v>#REF!</v>
      </c>
      <c r="KF14" s="24" t="e">
        <f t="shared" ca="1" si="49"/>
        <v>#REF!</v>
      </c>
      <c r="KG14" s="24" t="e">
        <f t="shared" ca="1" si="49"/>
        <v>#REF!</v>
      </c>
      <c r="KH14" s="24" t="e">
        <f t="shared" ca="1" si="49"/>
        <v>#REF!</v>
      </c>
      <c r="KI14" s="24" t="e">
        <f t="shared" ca="1" si="49"/>
        <v>#REF!</v>
      </c>
      <c r="KJ14" s="24" t="e">
        <f t="shared" ca="1" si="49"/>
        <v>#REF!</v>
      </c>
      <c r="KK14" s="24" t="e">
        <f t="shared" ca="1" si="49"/>
        <v>#REF!</v>
      </c>
      <c r="KL14" s="24" t="e">
        <f t="shared" ca="1" si="50"/>
        <v>#REF!</v>
      </c>
      <c r="KM14" s="24" t="e">
        <f t="shared" ca="1" si="50"/>
        <v>#REF!</v>
      </c>
      <c r="KN14" s="24" t="e">
        <f t="shared" ca="1" si="50"/>
        <v>#REF!</v>
      </c>
      <c r="KO14" s="24" t="e">
        <f t="shared" ca="1" si="50"/>
        <v>#REF!</v>
      </c>
      <c r="KP14" s="24" t="e">
        <f t="shared" ca="1" si="50"/>
        <v>#REF!</v>
      </c>
      <c r="KQ14" s="24" t="e">
        <f t="shared" ca="1" si="50"/>
        <v>#REF!</v>
      </c>
      <c r="KR14" s="24" t="e">
        <f t="shared" ca="1" si="50"/>
        <v>#REF!</v>
      </c>
      <c r="KS14" s="24" t="e">
        <f t="shared" ca="1" si="50"/>
        <v>#REF!</v>
      </c>
      <c r="KT14" s="24" t="e">
        <f t="shared" ca="1" si="50"/>
        <v>#REF!</v>
      </c>
      <c r="KU14" s="24" t="e">
        <f t="shared" ca="1" si="50"/>
        <v>#REF!</v>
      </c>
      <c r="KV14" s="24" t="e">
        <f t="shared" ca="1" si="50"/>
        <v>#REF!</v>
      </c>
      <c r="KW14" s="24" t="e">
        <f t="shared" ca="1" si="50"/>
        <v>#REF!</v>
      </c>
      <c r="KX14" s="24" t="e">
        <f t="shared" ca="1" si="50"/>
        <v>#REF!</v>
      </c>
      <c r="KY14" s="24" t="e">
        <f t="shared" ca="1" si="50"/>
        <v>#REF!</v>
      </c>
      <c r="KZ14" s="24" t="e">
        <f t="shared" ca="1" si="50"/>
        <v>#REF!</v>
      </c>
      <c r="LA14" s="24" t="e">
        <f t="shared" ca="1" si="50"/>
        <v>#REF!</v>
      </c>
      <c r="LB14" s="24" t="e">
        <f t="shared" ca="1" si="51"/>
        <v>#REF!</v>
      </c>
      <c r="LC14" s="24" t="e">
        <f t="shared" ca="1" si="51"/>
        <v>#REF!</v>
      </c>
      <c r="LD14" s="24" t="e">
        <f t="shared" ca="1" si="51"/>
        <v>#REF!</v>
      </c>
      <c r="LE14" s="24" t="e">
        <f t="shared" ca="1" si="51"/>
        <v>#REF!</v>
      </c>
      <c r="LF14" s="24" t="e">
        <f t="shared" ca="1" si="51"/>
        <v>#REF!</v>
      </c>
      <c r="LG14" s="24" t="e">
        <f t="shared" ca="1" si="51"/>
        <v>#REF!</v>
      </c>
      <c r="LH14" s="24" t="e">
        <f t="shared" ca="1" si="51"/>
        <v>#REF!</v>
      </c>
      <c r="LI14" s="24" t="e">
        <f t="shared" ca="1" si="51"/>
        <v>#REF!</v>
      </c>
      <c r="LJ14" s="24" t="e">
        <f t="shared" ca="1" si="51"/>
        <v>#REF!</v>
      </c>
      <c r="LK14" s="24" t="e">
        <f t="shared" ca="1" si="51"/>
        <v>#REF!</v>
      </c>
      <c r="LL14" s="24" t="e">
        <f t="shared" ca="1" si="51"/>
        <v>#REF!</v>
      </c>
      <c r="LM14" s="24" t="e">
        <f t="shared" ca="1" si="51"/>
        <v>#REF!</v>
      </c>
      <c r="LN14" s="24" t="e">
        <f t="shared" ca="1" si="51"/>
        <v>#REF!</v>
      </c>
      <c r="LO14" s="24" t="e">
        <f t="shared" ca="1" si="51"/>
        <v>#REF!</v>
      </c>
      <c r="LP14" s="24" t="e">
        <f t="shared" ca="1" si="51"/>
        <v>#REF!</v>
      </c>
      <c r="LQ14" s="24" t="e">
        <f t="shared" ca="1" si="51"/>
        <v>#REF!</v>
      </c>
      <c r="LR14" s="24" t="e">
        <f t="shared" ca="1" si="52"/>
        <v>#REF!</v>
      </c>
      <c r="LS14" s="24" t="e">
        <f t="shared" ca="1" si="52"/>
        <v>#REF!</v>
      </c>
      <c r="LT14" s="24" t="e">
        <f t="shared" ca="1" si="52"/>
        <v>#REF!</v>
      </c>
      <c r="LU14" s="24" t="e">
        <f t="shared" ca="1" si="52"/>
        <v>#REF!</v>
      </c>
      <c r="LV14" s="24" t="e">
        <f t="shared" ca="1" si="52"/>
        <v>#REF!</v>
      </c>
      <c r="LW14" s="24" t="e">
        <f t="shared" ca="1" si="52"/>
        <v>#REF!</v>
      </c>
      <c r="LX14" s="24" t="e">
        <f t="shared" ca="1" si="52"/>
        <v>#REF!</v>
      </c>
      <c r="LY14" s="24" t="e">
        <f t="shared" ca="1" si="52"/>
        <v>#REF!</v>
      </c>
      <c r="LZ14" s="24" t="e">
        <f t="shared" ca="1" si="52"/>
        <v>#REF!</v>
      </c>
      <c r="MA14" s="24" t="e">
        <f t="shared" ca="1" si="52"/>
        <v>#REF!</v>
      </c>
      <c r="MB14" s="24" t="e">
        <f t="shared" ca="1" si="52"/>
        <v>#REF!</v>
      </c>
      <c r="MC14" s="24" t="e">
        <f t="shared" ca="1" si="52"/>
        <v>#REF!</v>
      </c>
      <c r="MD14" s="24" t="e">
        <f t="shared" ca="1" si="52"/>
        <v>#REF!</v>
      </c>
      <c r="ME14" s="24" t="e">
        <f t="shared" ca="1" si="52"/>
        <v>#REF!</v>
      </c>
      <c r="MF14" s="24" t="e">
        <f t="shared" ca="1" si="52"/>
        <v>#REF!</v>
      </c>
      <c r="MG14" s="24" t="e">
        <f t="shared" ca="1" si="52"/>
        <v>#REF!</v>
      </c>
      <c r="MH14" s="24" t="e">
        <f t="shared" ca="1" si="53"/>
        <v>#REF!</v>
      </c>
      <c r="MI14" s="24" t="e">
        <f t="shared" ca="1" si="53"/>
        <v>#REF!</v>
      </c>
      <c r="MJ14" s="24" t="e">
        <f t="shared" ca="1" si="53"/>
        <v>#REF!</v>
      </c>
      <c r="MK14" s="24" t="e">
        <f t="shared" ca="1" si="53"/>
        <v>#REF!</v>
      </c>
      <c r="ML14" s="24" t="e">
        <f t="shared" ca="1" si="53"/>
        <v>#REF!</v>
      </c>
      <c r="MM14" s="24" t="e">
        <f t="shared" ca="1" si="53"/>
        <v>#REF!</v>
      </c>
      <c r="MN14" s="24" t="e">
        <f t="shared" ca="1" si="53"/>
        <v>#REF!</v>
      </c>
      <c r="MO14" s="24" t="e">
        <f t="shared" ca="1" si="53"/>
        <v>#REF!</v>
      </c>
      <c r="MP14" s="24" t="e">
        <f t="shared" ca="1" si="53"/>
        <v>#REF!</v>
      </c>
      <c r="MQ14" s="24" t="e">
        <f t="shared" ca="1" si="53"/>
        <v>#REF!</v>
      </c>
      <c r="MR14" s="24" t="e">
        <f t="shared" ca="1" si="53"/>
        <v>#REF!</v>
      </c>
      <c r="MS14" s="24" t="e">
        <f t="shared" ca="1" si="53"/>
        <v>#REF!</v>
      </c>
      <c r="MT14" s="24" t="e">
        <f t="shared" ca="1" si="53"/>
        <v>#REF!</v>
      </c>
      <c r="MU14" s="24" t="e">
        <f t="shared" ca="1" si="53"/>
        <v>#REF!</v>
      </c>
      <c r="MV14" s="24" t="e">
        <f t="shared" ca="1" si="53"/>
        <v>#REF!</v>
      </c>
      <c r="MW14" s="24" t="e">
        <f t="shared" ca="1" si="53"/>
        <v>#REF!</v>
      </c>
      <c r="MX14" s="24" t="e">
        <f t="shared" ca="1" si="54"/>
        <v>#REF!</v>
      </c>
      <c r="MY14" s="24" t="e">
        <f t="shared" ca="1" si="54"/>
        <v>#REF!</v>
      </c>
      <c r="MZ14" s="24" t="e">
        <f t="shared" ca="1" si="54"/>
        <v>#REF!</v>
      </c>
      <c r="NA14" s="24" t="e">
        <f t="shared" ca="1" si="54"/>
        <v>#REF!</v>
      </c>
      <c r="NB14" s="24" t="e">
        <f t="shared" ca="1" si="54"/>
        <v>#REF!</v>
      </c>
      <c r="NC14" s="24" t="e">
        <f t="shared" ca="1" si="54"/>
        <v>#REF!</v>
      </c>
      <c r="ND14" s="24" t="e">
        <f t="shared" ca="1" si="54"/>
        <v>#REF!</v>
      </c>
      <c r="NE14" s="24" t="e">
        <f t="shared" ca="1" si="54"/>
        <v>#REF!</v>
      </c>
      <c r="NF14" s="24" t="e">
        <f t="shared" ca="1" si="54"/>
        <v>#REF!</v>
      </c>
      <c r="NG14" s="24" t="e">
        <f t="shared" ca="1" si="54"/>
        <v>#REF!</v>
      </c>
      <c r="NH14" s="24" t="e">
        <f t="shared" ca="1" si="54"/>
        <v>#REF!</v>
      </c>
      <c r="NI14" s="24" t="e">
        <f t="shared" ca="1" si="54"/>
        <v>#REF!</v>
      </c>
      <c r="NJ14" s="24" t="e">
        <f t="shared" ca="1" si="54"/>
        <v>#REF!</v>
      </c>
      <c r="NK14" s="24" t="e">
        <f t="shared" ca="1" si="54"/>
        <v>#REF!</v>
      </c>
      <c r="NL14" s="24" t="e">
        <f t="shared" ca="1" si="54"/>
        <v>#REF!</v>
      </c>
      <c r="NM14" s="24" t="e">
        <f t="shared" ca="1" si="54"/>
        <v>#REF!</v>
      </c>
      <c r="NN14" s="24" t="e">
        <f t="shared" ca="1" si="55"/>
        <v>#REF!</v>
      </c>
      <c r="NO14" s="24" t="e">
        <f t="shared" ca="1" si="55"/>
        <v>#REF!</v>
      </c>
      <c r="NP14" s="24" t="e">
        <f t="shared" ca="1" si="55"/>
        <v>#REF!</v>
      </c>
      <c r="NQ14" s="24" t="e">
        <f t="shared" ca="1" si="55"/>
        <v>#REF!</v>
      </c>
      <c r="NR14" s="24" t="e">
        <f t="shared" ca="1" si="55"/>
        <v>#REF!</v>
      </c>
      <c r="NS14" s="24" t="e">
        <f t="shared" ca="1" si="55"/>
        <v>#REF!</v>
      </c>
      <c r="NT14" s="24" t="e">
        <f t="shared" ca="1" si="55"/>
        <v>#REF!</v>
      </c>
      <c r="NU14" s="24" t="e">
        <f t="shared" ca="1" si="55"/>
        <v>#REF!</v>
      </c>
      <c r="NV14" s="24" t="e">
        <f t="shared" ca="1" si="55"/>
        <v>#REF!</v>
      </c>
      <c r="NW14" s="24" t="e">
        <f t="shared" ca="1" si="55"/>
        <v>#REF!</v>
      </c>
      <c r="NX14" s="24" t="e">
        <f t="shared" ca="1" si="55"/>
        <v>#REF!</v>
      </c>
      <c r="NY14" s="24" t="e">
        <f t="shared" ca="1" si="55"/>
        <v>#REF!</v>
      </c>
      <c r="NZ14" s="24" t="e">
        <f t="shared" ca="1" si="55"/>
        <v>#REF!</v>
      </c>
      <c r="OA14" s="24" t="e">
        <f t="shared" ca="1" si="55"/>
        <v>#REF!</v>
      </c>
      <c r="OB14" s="24" t="e">
        <f t="shared" ca="1" si="55"/>
        <v>#REF!</v>
      </c>
      <c r="OC14" s="24" t="e">
        <f t="shared" ca="1" si="55"/>
        <v>#REF!</v>
      </c>
      <c r="OD14" s="24" t="e">
        <f t="shared" ca="1" si="56"/>
        <v>#REF!</v>
      </c>
      <c r="OE14" s="24" t="e">
        <f t="shared" ca="1" si="56"/>
        <v>#REF!</v>
      </c>
      <c r="OF14" s="24" t="e">
        <f t="shared" ca="1" si="56"/>
        <v>#REF!</v>
      </c>
      <c r="OG14" s="24" t="e">
        <f t="shared" ca="1" si="56"/>
        <v>#REF!</v>
      </c>
      <c r="OH14" s="24" t="e">
        <f t="shared" ca="1" si="56"/>
        <v>#REF!</v>
      </c>
      <c r="OI14" s="24" t="e">
        <f t="shared" ca="1" si="56"/>
        <v>#REF!</v>
      </c>
      <c r="OJ14" s="24" t="e">
        <f t="shared" ca="1" si="56"/>
        <v>#REF!</v>
      </c>
      <c r="OK14" s="24" t="e">
        <f t="shared" ca="1" si="56"/>
        <v>#REF!</v>
      </c>
      <c r="OL14" s="24" t="e">
        <f t="shared" ca="1" si="56"/>
        <v>#REF!</v>
      </c>
      <c r="OM14" s="24" t="e">
        <f t="shared" ca="1" si="56"/>
        <v>#REF!</v>
      </c>
      <c r="ON14" s="24" t="e">
        <f t="shared" ca="1" si="56"/>
        <v>#REF!</v>
      </c>
      <c r="OO14" s="24" t="e">
        <f t="shared" ca="1" si="56"/>
        <v>#REF!</v>
      </c>
      <c r="OP14" s="24" t="e">
        <f t="shared" ca="1" si="56"/>
        <v>#REF!</v>
      </c>
      <c r="OQ14" s="24" t="e">
        <f t="shared" ca="1" si="56"/>
        <v>#REF!</v>
      </c>
      <c r="OR14" s="24" t="e">
        <f t="shared" ca="1" si="56"/>
        <v>#REF!</v>
      </c>
      <c r="OS14" s="24" t="e">
        <f t="shared" ca="1" si="56"/>
        <v>#REF!</v>
      </c>
      <c r="OT14" s="24" t="e">
        <f t="shared" ca="1" si="57"/>
        <v>#REF!</v>
      </c>
      <c r="OU14" s="24" t="e">
        <f t="shared" ca="1" si="57"/>
        <v>#REF!</v>
      </c>
      <c r="OV14" s="24" t="e">
        <f t="shared" ca="1" si="57"/>
        <v>#REF!</v>
      </c>
      <c r="OW14" s="24" t="e">
        <f t="shared" ca="1" si="57"/>
        <v>#REF!</v>
      </c>
      <c r="OX14" s="24" t="e">
        <f t="shared" ca="1" si="57"/>
        <v>#REF!</v>
      </c>
      <c r="OY14" s="24" t="e">
        <f t="shared" ca="1" si="57"/>
        <v>#REF!</v>
      </c>
      <c r="OZ14" s="24" t="e">
        <f t="shared" ca="1" si="57"/>
        <v>#REF!</v>
      </c>
      <c r="PA14" s="24" t="e">
        <f t="shared" ca="1" si="57"/>
        <v>#REF!</v>
      </c>
      <c r="PB14" s="24" t="e">
        <f t="shared" ca="1" si="57"/>
        <v>#REF!</v>
      </c>
      <c r="PC14" s="24" t="e">
        <f t="shared" ca="1" si="57"/>
        <v>#REF!</v>
      </c>
      <c r="PD14" s="24" t="e">
        <f t="shared" ca="1" si="57"/>
        <v>#REF!</v>
      </c>
      <c r="PE14" s="24" t="e">
        <f t="shared" ca="1" si="57"/>
        <v>#REF!</v>
      </c>
      <c r="PF14" s="24" t="e">
        <f t="shared" ca="1" si="57"/>
        <v>#REF!</v>
      </c>
      <c r="PG14" s="24" t="e">
        <f t="shared" ca="1" si="57"/>
        <v>#REF!</v>
      </c>
      <c r="PH14" s="24" t="e">
        <f t="shared" ca="1" si="57"/>
        <v>#REF!</v>
      </c>
      <c r="PI14" s="24" t="e">
        <f t="shared" ca="1" si="57"/>
        <v>#REF!</v>
      </c>
      <c r="PJ14" s="24" t="e">
        <f t="shared" ca="1" si="58"/>
        <v>#REF!</v>
      </c>
      <c r="PK14" s="24" t="e">
        <f t="shared" ca="1" si="58"/>
        <v>#REF!</v>
      </c>
      <c r="PL14" s="24" t="e">
        <f t="shared" ca="1" si="58"/>
        <v>#REF!</v>
      </c>
      <c r="PM14" s="24" t="e">
        <f t="shared" ca="1" si="58"/>
        <v>#REF!</v>
      </c>
      <c r="PN14" s="24" t="e">
        <f t="shared" ca="1" si="58"/>
        <v>#REF!</v>
      </c>
      <c r="PO14" s="24" t="e">
        <f t="shared" ca="1" si="58"/>
        <v>#REF!</v>
      </c>
      <c r="PP14" s="24" t="e">
        <f t="shared" ca="1" si="58"/>
        <v>#REF!</v>
      </c>
      <c r="PQ14" s="24" t="e">
        <f t="shared" ca="1" si="58"/>
        <v>#REF!</v>
      </c>
      <c r="PR14" s="24" t="e">
        <f t="shared" ca="1" si="58"/>
        <v>#REF!</v>
      </c>
      <c r="PS14" s="24" t="e">
        <f t="shared" ca="1" si="58"/>
        <v>#REF!</v>
      </c>
      <c r="PT14" s="24" t="e">
        <f t="shared" ca="1" si="58"/>
        <v>#REF!</v>
      </c>
      <c r="PU14" s="24" t="e">
        <f t="shared" ca="1" si="58"/>
        <v>#REF!</v>
      </c>
      <c r="PV14" s="24" t="e">
        <f t="shared" ca="1" si="58"/>
        <v>#REF!</v>
      </c>
      <c r="PW14" s="24" t="e">
        <f t="shared" ca="1" si="58"/>
        <v>#REF!</v>
      </c>
      <c r="PX14" s="24" t="e">
        <f t="shared" ca="1" si="58"/>
        <v>#REF!</v>
      </c>
      <c r="PY14" s="24" t="e">
        <f t="shared" ca="1" si="58"/>
        <v>#REF!</v>
      </c>
      <c r="PZ14" s="24" t="e">
        <f t="shared" ca="1" si="59"/>
        <v>#REF!</v>
      </c>
      <c r="QA14" s="24" t="e">
        <f t="shared" ca="1" si="59"/>
        <v>#REF!</v>
      </c>
      <c r="QB14" s="24" t="e">
        <f t="shared" ca="1" si="59"/>
        <v>#REF!</v>
      </c>
      <c r="QC14" s="24" t="e">
        <f t="shared" ca="1" si="59"/>
        <v>#REF!</v>
      </c>
      <c r="QD14" s="24" t="e">
        <f t="shared" ca="1" si="59"/>
        <v>#REF!</v>
      </c>
      <c r="QE14" s="24" t="e">
        <f t="shared" ca="1" si="59"/>
        <v>#REF!</v>
      </c>
      <c r="QF14" s="24" t="e">
        <f t="shared" ca="1" si="59"/>
        <v>#REF!</v>
      </c>
      <c r="QG14" s="24" t="e">
        <f t="shared" ca="1" si="59"/>
        <v>#REF!</v>
      </c>
      <c r="QH14" s="24" t="e">
        <f t="shared" ca="1" si="59"/>
        <v>#REF!</v>
      </c>
      <c r="QI14" s="24" t="e">
        <f t="shared" ca="1" si="59"/>
        <v>#REF!</v>
      </c>
      <c r="QJ14" s="24" t="e">
        <f t="shared" ca="1" si="59"/>
        <v>#REF!</v>
      </c>
      <c r="QK14" s="24" t="e">
        <f t="shared" ca="1" si="59"/>
        <v>#REF!</v>
      </c>
      <c r="QL14" s="24" t="e">
        <f t="shared" ca="1" si="59"/>
        <v>#REF!</v>
      </c>
      <c r="QM14" s="24" t="e">
        <f t="shared" ca="1" si="59"/>
        <v>#REF!</v>
      </c>
      <c r="QN14" s="24" t="e">
        <f t="shared" ca="1" si="59"/>
        <v>#REF!</v>
      </c>
      <c r="QO14" s="24" t="e">
        <f t="shared" ca="1" si="59"/>
        <v>#REF!</v>
      </c>
      <c r="QP14" s="24" t="e">
        <f t="shared" ca="1" si="60"/>
        <v>#REF!</v>
      </c>
      <c r="QQ14" s="24" t="e">
        <f t="shared" ca="1" si="60"/>
        <v>#REF!</v>
      </c>
      <c r="QR14" s="24" t="e">
        <f t="shared" ca="1" si="60"/>
        <v>#REF!</v>
      </c>
      <c r="QS14" s="24" t="e">
        <f t="shared" ca="1" si="60"/>
        <v>#REF!</v>
      </c>
      <c r="QT14" s="24" t="e">
        <f t="shared" ca="1" si="60"/>
        <v>#REF!</v>
      </c>
      <c r="QU14" s="24" t="e">
        <f t="shared" ca="1" si="60"/>
        <v>#REF!</v>
      </c>
      <c r="QV14" s="24" t="e">
        <f t="shared" ca="1" si="60"/>
        <v>#REF!</v>
      </c>
      <c r="QW14" s="24" t="e">
        <f t="shared" ca="1" si="60"/>
        <v>#REF!</v>
      </c>
      <c r="QX14" s="24" t="e">
        <f t="shared" ca="1" si="60"/>
        <v>#REF!</v>
      </c>
      <c r="QY14" s="24" t="e">
        <f t="shared" ca="1" si="60"/>
        <v>#REF!</v>
      </c>
      <c r="QZ14" s="24" t="e">
        <f t="shared" ca="1" si="60"/>
        <v>#REF!</v>
      </c>
      <c r="RA14" s="24" t="e">
        <f t="shared" ca="1" si="60"/>
        <v>#REF!</v>
      </c>
      <c r="RB14" s="24" t="e">
        <f t="shared" ca="1" si="60"/>
        <v>#REF!</v>
      </c>
      <c r="RC14" s="24" t="e">
        <f t="shared" ca="1" si="60"/>
        <v>#REF!</v>
      </c>
      <c r="RD14" s="24" t="e">
        <f t="shared" ca="1" si="60"/>
        <v>#REF!</v>
      </c>
      <c r="RE14" s="24" t="e">
        <f t="shared" ca="1" si="60"/>
        <v>#REF!</v>
      </c>
      <c r="RF14" s="24" t="e">
        <f t="shared" ca="1" si="61"/>
        <v>#REF!</v>
      </c>
      <c r="RG14" s="24" t="e">
        <f t="shared" ca="1" si="61"/>
        <v>#REF!</v>
      </c>
      <c r="RH14" s="24" t="e">
        <f t="shared" ca="1" si="61"/>
        <v>#REF!</v>
      </c>
      <c r="RI14" s="24" t="e">
        <f t="shared" ca="1" si="61"/>
        <v>#REF!</v>
      </c>
      <c r="RJ14" s="24" t="e">
        <f t="shared" ca="1" si="61"/>
        <v>#REF!</v>
      </c>
      <c r="RK14" s="24" t="e">
        <f t="shared" ca="1" si="61"/>
        <v>#REF!</v>
      </c>
      <c r="RL14" s="24" t="e">
        <f t="shared" ca="1" si="61"/>
        <v>#REF!</v>
      </c>
      <c r="RM14" s="24" t="e">
        <f t="shared" ca="1" si="61"/>
        <v>#REF!</v>
      </c>
      <c r="RN14" s="24" t="e">
        <f t="shared" ca="1" si="61"/>
        <v>#REF!</v>
      </c>
      <c r="RO14" s="24" t="e">
        <f t="shared" ca="1" si="61"/>
        <v>#REF!</v>
      </c>
      <c r="RP14" s="24" t="e">
        <f t="shared" ca="1" si="61"/>
        <v>#REF!</v>
      </c>
      <c r="RQ14" s="24" t="e">
        <f t="shared" ca="1" si="61"/>
        <v>#REF!</v>
      </c>
      <c r="RR14" s="24" t="e">
        <f t="shared" ca="1" si="61"/>
        <v>#REF!</v>
      </c>
      <c r="RS14" s="24" t="e">
        <f t="shared" ca="1" si="61"/>
        <v>#REF!</v>
      </c>
      <c r="RT14" s="24" t="e">
        <f t="shared" ca="1" si="61"/>
        <v>#REF!</v>
      </c>
      <c r="RU14" s="24" t="e">
        <f t="shared" ca="1" si="61"/>
        <v>#REF!</v>
      </c>
      <c r="RV14" s="24" t="e">
        <f t="shared" ca="1" si="62"/>
        <v>#REF!</v>
      </c>
      <c r="RW14" s="24" t="e">
        <f t="shared" ca="1" si="62"/>
        <v>#REF!</v>
      </c>
      <c r="RX14" s="24" t="e">
        <f t="shared" ca="1" si="62"/>
        <v>#REF!</v>
      </c>
      <c r="RY14" s="24" t="e">
        <f t="shared" ca="1" si="62"/>
        <v>#REF!</v>
      </c>
      <c r="RZ14" s="24" t="e">
        <f t="shared" ca="1" si="62"/>
        <v>#REF!</v>
      </c>
      <c r="SA14" s="24" t="e">
        <f t="shared" ca="1" si="62"/>
        <v>#REF!</v>
      </c>
      <c r="SB14" s="24" t="e">
        <f t="shared" ca="1" si="62"/>
        <v>#REF!</v>
      </c>
      <c r="SC14" s="24" t="e">
        <f t="shared" ca="1" si="62"/>
        <v>#REF!</v>
      </c>
      <c r="SD14" s="24" t="e">
        <f t="shared" ca="1" si="62"/>
        <v>#REF!</v>
      </c>
      <c r="SE14" s="24" t="e">
        <f t="shared" ca="1" si="62"/>
        <v>#REF!</v>
      </c>
      <c r="SF14" s="24" t="e">
        <f t="shared" ca="1" si="62"/>
        <v>#REF!</v>
      </c>
      <c r="SG14" s="24" t="e">
        <f t="shared" ca="1" si="62"/>
        <v>#REF!</v>
      </c>
      <c r="SH14" s="24" t="e">
        <f t="shared" ca="1" si="62"/>
        <v>#REF!</v>
      </c>
      <c r="SI14" s="24" t="e">
        <f t="shared" ca="1" si="62"/>
        <v>#REF!</v>
      </c>
      <c r="SJ14" s="24" t="e">
        <f t="shared" ca="1" si="62"/>
        <v>#REF!</v>
      </c>
      <c r="SK14" s="24" t="e">
        <f t="shared" ca="1" si="62"/>
        <v>#REF!</v>
      </c>
      <c r="SL14" s="24" t="e">
        <f t="shared" ca="1" si="63"/>
        <v>#REF!</v>
      </c>
      <c r="SM14" s="24" t="e">
        <f t="shared" ca="1" si="63"/>
        <v>#REF!</v>
      </c>
      <c r="SN14" s="24" t="e">
        <f t="shared" ca="1" si="63"/>
        <v>#REF!</v>
      </c>
      <c r="SO14" s="24" t="e">
        <f t="shared" ca="1" si="63"/>
        <v>#REF!</v>
      </c>
      <c r="SP14" s="24" t="e">
        <f t="shared" ca="1" si="63"/>
        <v>#REF!</v>
      </c>
      <c r="SQ14" s="24" t="e">
        <f t="shared" ca="1" si="63"/>
        <v>#REF!</v>
      </c>
      <c r="SR14" s="24" t="e">
        <f t="shared" ca="1" si="63"/>
        <v>#REF!</v>
      </c>
      <c r="SS14" s="24" t="e">
        <f t="shared" ca="1" si="63"/>
        <v>#REF!</v>
      </c>
      <c r="ST14" s="24" t="e">
        <f t="shared" ca="1" si="63"/>
        <v>#REF!</v>
      </c>
      <c r="SU14" s="24" t="e">
        <f t="shared" ca="1" si="63"/>
        <v>#REF!</v>
      </c>
      <c r="SV14" s="24" t="e">
        <f t="shared" ca="1" si="63"/>
        <v>#REF!</v>
      </c>
      <c r="SW14" s="24" t="e">
        <f t="shared" ca="1" si="63"/>
        <v>#REF!</v>
      </c>
      <c r="SX14" s="24" t="e">
        <f t="shared" ca="1" si="63"/>
        <v>#REF!</v>
      </c>
      <c r="SY14" s="24" t="e">
        <f t="shared" ca="1" si="63"/>
        <v>#REF!</v>
      </c>
      <c r="SZ14" s="24" t="e">
        <f t="shared" ca="1" si="63"/>
        <v>#REF!</v>
      </c>
      <c r="TA14" s="24" t="e">
        <f t="shared" ca="1" si="63"/>
        <v>#REF!</v>
      </c>
      <c r="TB14" s="24" t="e">
        <f t="shared" ca="1" si="64"/>
        <v>#REF!</v>
      </c>
      <c r="TC14" s="24" t="e">
        <f t="shared" ca="1" si="64"/>
        <v>#REF!</v>
      </c>
      <c r="TD14" s="24" t="e">
        <f t="shared" ca="1" si="64"/>
        <v>#REF!</v>
      </c>
      <c r="TE14" s="24" t="e">
        <f t="shared" ca="1" si="64"/>
        <v>#REF!</v>
      </c>
      <c r="TF14" s="24" t="e">
        <f t="shared" ca="1" si="64"/>
        <v>#REF!</v>
      </c>
      <c r="TG14" s="24" t="e">
        <f t="shared" ca="1" si="64"/>
        <v>#REF!</v>
      </c>
      <c r="TH14" s="24" t="e">
        <f t="shared" ca="1" si="64"/>
        <v>#REF!</v>
      </c>
      <c r="TI14" s="24" t="e">
        <f t="shared" ca="1" si="64"/>
        <v>#REF!</v>
      </c>
      <c r="TJ14" s="24" t="e">
        <f t="shared" ca="1" si="64"/>
        <v>#REF!</v>
      </c>
      <c r="TK14" s="24" t="e">
        <f t="shared" ca="1" si="64"/>
        <v>#REF!</v>
      </c>
      <c r="TL14" s="24" t="e">
        <f t="shared" ca="1" si="64"/>
        <v>#REF!</v>
      </c>
      <c r="TM14" s="24" t="e">
        <f t="shared" ca="1" si="64"/>
        <v>#REF!</v>
      </c>
      <c r="TN14" s="24" t="e">
        <f t="shared" ca="1" si="64"/>
        <v>#REF!</v>
      </c>
      <c r="TO14" s="24" t="e">
        <f t="shared" ca="1" si="64"/>
        <v>#REF!</v>
      </c>
      <c r="TP14" s="24" t="e">
        <f t="shared" ca="1" si="64"/>
        <v>#REF!</v>
      </c>
      <c r="TQ14" s="24" t="e">
        <f t="shared" ca="1" si="64"/>
        <v>#REF!</v>
      </c>
      <c r="TR14" s="24" t="e">
        <f t="shared" ca="1" si="65"/>
        <v>#REF!</v>
      </c>
      <c r="TS14" s="24" t="e">
        <f t="shared" ca="1" si="65"/>
        <v>#REF!</v>
      </c>
      <c r="TT14" s="24" t="e">
        <f t="shared" ca="1" si="65"/>
        <v>#REF!</v>
      </c>
      <c r="TU14" s="24" t="e">
        <f t="shared" ca="1" si="65"/>
        <v>#REF!</v>
      </c>
      <c r="TV14" s="24" t="e">
        <f t="shared" ca="1" si="65"/>
        <v>#REF!</v>
      </c>
      <c r="TW14" s="24" t="e">
        <f t="shared" ca="1" si="65"/>
        <v>#REF!</v>
      </c>
      <c r="TX14" s="24" t="e">
        <f t="shared" ca="1" si="65"/>
        <v>#REF!</v>
      </c>
      <c r="TY14" s="24" t="e">
        <f t="shared" ca="1" si="65"/>
        <v>#REF!</v>
      </c>
      <c r="TZ14" s="24" t="e">
        <f t="shared" ca="1" si="65"/>
        <v>#REF!</v>
      </c>
      <c r="UA14" s="24" t="e">
        <f t="shared" ca="1" si="65"/>
        <v>#REF!</v>
      </c>
      <c r="UB14" s="24" t="e">
        <f t="shared" ca="1" si="65"/>
        <v>#REF!</v>
      </c>
      <c r="UC14" s="24" t="e">
        <f t="shared" ca="1" si="65"/>
        <v>#REF!</v>
      </c>
      <c r="UD14" s="24" t="e">
        <f t="shared" ca="1" si="65"/>
        <v>#REF!</v>
      </c>
      <c r="UE14" s="24" t="e">
        <f t="shared" ca="1" si="65"/>
        <v>#REF!</v>
      </c>
      <c r="UF14" s="24" t="e">
        <f t="shared" ca="1" si="65"/>
        <v>#REF!</v>
      </c>
      <c r="UG14" s="24" t="e">
        <f t="shared" ca="1" si="65"/>
        <v>#REF!</v>
      </c>
      <c r="UH14" s="24" t="e">
        <f t="shared" ca="1" si="66"/>
        <v>#REF!</v>
      </c>
      <c r="UI14" s="24" t="e">
        <f t="shared" ca="1" si="66"/>
        <v>#REF!</v>
      </c>
      <c r="UJ14" s="24" t="e">
        <f t="shared" ca="1" si="66"/>
        <v>#REF!</v>
      </c>
      <c r="UK14" s="24" t="e">
        <f t="shared" ca="1" si="66"/>
        <v>#REF!</v>
      </c>
      <c r="UL14" s="24" t="e">
        <f t="shared" ca="1" si="66"/>
        <v>#REF!</v>
      </c>
      <c r="UM14" s="24" t="e">
        <f t="shared" ca="1" si="66"/>
        <v>#REF!</v>
      </c>
      <c r="UN14" s="24" t="e">
        <f t="shared" ca="1" si="66"/>
        <v>#REF!</v>
      </c>
      <c r="UO14" s="24" t="e">
        <f t="shared" ca="1" si="66"/>
        <v>#REF!</v>
      </c>
      <c r="UP14" s="24" t="e">
        <f t="shared" ca="1" si="66"/>
        <v>#REF!</v>
      </c>
      <c r="UQ14" s="24" t="e">
        <f t="shared" ca="1" si="66"/>
        <v>#REF!</v>
      </c>
      <c r="UR14" s="24" t="e">
        <f t="shared" ca="1" si="66"/>
        <v>#REF!</v>
      </c>
      <c r="US14" s="24" t="e">
        <f t="shared" ca="1" si="66"/>
        <v>#REF!</v>
      </c>
      <c r="UT14" s="24" t="e">
        <f t="shared" ca="1" si="66"/>
        <v>#REF!</v>
      </c>
      <c r="UU14" s="24" t="e">
        <f t="shared" ca="1" si="66"/>
        <v>#REF!</v>
      </c>
      <c r="UV14" s="24" t="e">
        <f t="shared" ca="1" si="66"/>
        <v>#REF!</v>
      </c>
      <c r="UW14" s="24" t="e">
        <f t="shared" ca="1" si="66"/>
        <v>#REF!</v>
      </c>
      <c r="UX14" s="24" t="e">
        <f t="shared" ca="1" si="67"/>
        <v>#REF!</v>
      </c>
      <c r="UY14" s="24" t="e">
        <f t="shared" ca="1" si="67"/>
        <v>#REF!</v>
      </c>
      <c r="UZ14" s="24" t="e">
        <f t="shared" ca="1" si="67"/>
        <v>#REF!</v>
      </c>
      <c r="VA14" s="24" t="e">
        <f t="shared" ca="1" si="67"/>
        <v>#REF!</v>
      </c>
      <c r="VB14" s="24" t="e">
        <f t="shared" ca="1" si="67"/>
        <v>#REF!</v>
      </c>
      <c r="VC14" s="24" t="e">
        <f t="shared" ca="1" si="67"/>
        <v>#REF!</v>
      </c>
      <c r="VD14" s="24" t="e">
        <f t="shared" ca="1" si="67"/>
        <v>#REF!</v>
      </c>
      <c r="VE14" s="24" t="e">
        <f t="shared" ca="1" si="67"/>
        <v>#REF!</v>
      </c>
      <c r="VF14" s="24" t="e">
        <f t="shared" ca="1" si="67"/>
        <v>#REF!</v>
      </c>
      <c r="VG14" s="24" t="e">
        <f t="shared" ca="1" si="67"/>
        <v>#REF!</v>
      </c>
      <c r="VH14" s="24" t="e">
        <f t="shared" ca="1" si="67"/>
        <v>#REF!</v>
      </c>
      <c r="VI14" s="24" t="e">
        <f t="shared" ca="1" si="67"/>
        <v>#REF!</v>
      </c>
      <c r="VJ14" s="24" t="e">
        <f t="shared" ca="1" si="67"/>
        <v>#REF!</v>
      </c>
      <c r="VK14" s="24" t="e">
        <f t="shared" ca="1" si="67"/>
        <v>#REF!</v>
      </c>
      <c r="VL14" s="24" t="e">
        <f t="shared" ca="1" si="67"/>
        <v>#REF!</v>
      </c>
      <c r="VM14" s="24" t="e">
        <f t="shared" ca="1" si="67"/>
        <v>#REF!</v>
      </c>
      <c r="VN14" s="24" t="e">
        <f t="shared" ca="1" si="68"/>
        <v>#REF!</v>
      </c>
      <c r="VO14" s="24" t="e">
        <f t="shared" ca="1" si="68"/>
        <v>#REF!</v>
      </c>
      <c r="VP14" s="24" t="e">
        <f t="shared" ca="1" si="68"/>
        <v>#REF!</v>
      </c>
      <c r="VQ14" s="24" t="e">
        <f t="shared" ca="1" si="68"/>
        <v>#REF!</v>
      </c>
      <c r="VR14" s="24" t="e">
        <f t="shared" ca="1" si="68"/>
        <v>#REF!</v>
      </c>
      <c r="VS14" s="24" t="e">
        <f t="shared" ca="1" si="68"/>
        <v>#REF!</v>
      </c>
    </row>
    <row r="15" spans="1:591" s="17" customFormat="1" ht="16.2" customHeight="1" x14ac:dyDescent="0.3">
      <c r="A15" s="81"/>
      <c r="B15" s="56" t="str">
        <f>'CoS Tracker'!$AI$7</f>
        <v>3. QS Cost Certification</v>
      </c>
      <c r="C15" s="19" t="s">
        <v>72</v>
      </c>
      <c r="D15" s="19"/>
      <c r="E15" s="27">
        <v>1.1000000000000001</v>
      </c>
      <c r="F15" s="26" t="e">
        <f>G14</f>
        <v>#REF!</v>
      </c>
      <c r="G15" s="26" t="e">
        <f>'CoS Tracker'!#REF!</f>
        <v>#REF!</v>
      </c>
      <c r="H15" s="25" t="e">
        <f>Milestones43524[[#This Row],[End]]-Milestones43524[[#This Row],[Start]]</f>
        <v>#REF!</v>
      </c>
      <c r="I15" s="19"/>
      <c r="J15" s="24" t="e">
        <f t="shared" ca="1" si="32"/>
        <v>#REF!</v>
      </c>
      <c r="K15" s="24" t="e">
        <f t="shared" ca="1" si="32"/>
        <v>#REF!</v>
      </c>
      <c r="L15" s="24" t="e">
        <f t="shared" ca="1" si="32"/>
        <v>#REF!</v>
      </c>
      <c r="M15" s="24" t="e">
        <f t="shared" ca="1" si="32"/>
        <v>#REF!</v>
      </c>
      <c r="N15" s="24" t="e">
        <f t="shared" ca="1" si="32"/>
        <v>#REF!</v>
      </c>
      <c r="O15" s="24" t="e">
        <f t="shared" ca="1" si="32"/>
        <v>#REF!</v>
      </c>
      <c r="P15" s="24" t="e">
        <f t="shared" ca="1" si="32"/>
        <v>#REF!</v>
      </c>
      <c r="Q15" s="24" t="e">
        <f t="shared" ca="1" si="32"/>
        <v>#REF!</v>
      </c>
      <c r="R15" s="24" t="e">
        <f t="shared" ca="1" si="32"/>
        <v>#REF!</v>
      </c>
      <c r="S15" s="24" t="e">
        <f t="shared" ca="1" si="32"/>
        <v>#REF!</v>
      </c>
      <c r="T15" s="24" t="e">
        <f t="shared" ca="1" si="32"/>
        <v>#REF!</v>
      </c>
      <c r="U15" s="24" t="e">
        <f t="shared" ca="1" si="32"/>
        <v>#REF!</v>
      </c>
      <c r="V15" s="24" t="e">
        <f t="shared" ca="1" si="32"/>
        <v>#REF!</v>
      </c>
      <c r="W15" s="24" t="e">
        <f t="shared" ca="1" si="32"/>
        <v>#REF!</v>
      </c>
      <c r="X15" s="24" t="e">
        <f t="shared" ca="1" si="32"/>
        <v>#REF!</v>
      </c>
      <c r="Y15" s="24" t="e">
        <f t="shared" ca="1" si="32"/>
        <v>#REF!</v>
      </c>
      <c r="Z15" s="24" t="e">
        <f t="shared" ca="1" si="33"/>
        <v>#REF!</v>
      </c>
      <c r="AA15" s="24" t="e">
        <f t="shared" ca="1" si="33"/>
        <v>#REF!</v>
      </c>
      <c r="AB15" s="24" t="e">
        <f t="shared" ca="1" si="33"/>
        <v>#REF!</v>
      </c>
      <c r="AC15" s="24" t="e">
        <f t="shared" ca="1" si="33"/>
        <v>#REF!</v>
      </c>
      <c r="AD15" s="24" t="e">
        <f t="shared" ca="1" si="33"/>
        <v>#REF!</v>
      </c>
      <c r="AE15" s="24" t="e">
        <f t="shared" ca="1" si="33"/>
        <v>#REF!</v>
      </c>
      <c r="AF15" s="24" t="e">
        <f t="shared" ca="1" si="33"/>
        <v>#REF!</v>
      </c>
      <c r="AG15" s="24" t="e">
        <f t="shared" ca="1" si="33"/>
        <v>#REF!</v>
      </c>
      <c r="AH15" s="24" t="e">
        <f t="shared" ca="1" si="33"/>
        <v>#REF!</v>
      </c>
      <c r="AI15" s="24" t="e">
        <f t="shared" ca="1" si="33"/>
        <v>#REF!</v>
      </c>
      <c r="AJ15" s="24" t="e">
        <f t="shared" ca="1" si="33"/>
        <v>#REF!</v>
      </c>
      <c r="AK15" s="24" t="e">
        <f t="shared" ca="1" si="33"/>
        <v>#REF!</v>
      </c>
      <c r="AL15" s="24" t="e">
        <f t="shared" ca="1" si="33"/>
        <v>#REF!</v>
      </c>
      <c r="AM15" s="24" t="e">
        <f t="shared" ca="1" si="33"/>
        <v>#REF!</v>
      </c>
      <c r="AN15" s="24" t="e">
        <f t="shared" ca="1" si="33"/>
        <v>#REF!</v>
      </c>
      <c r="AO15" s="24" t="e">
        <f t="shared" ca="1" si="33"/>
        <v>#REF!</v>
      </c>
      <c r="AP15" s="24" t="e">
        <f t="shared" ca="1" si="34"/>
        <v>#REF!</v>
      </c>
      <c r="AQ15" s="24" t="e">
        <f t="shared" ca="1" si="34"/>
        <v>#REF!</v>
      </c>
      <c r="AR15" s="24" t="e">
        <f t="shared" ca="1" si="34"/>
        <v>#REF!</v>
      </c>
      <c r="AS15" s="24" t="e">
        <f t="shared" ca="1" si="34"/>
        <v>#REF!</v>
      </c>
      <c r="AT15" s="24" t="e">
        <f t="shared" ca="1" si="34"/>
        <v>#REF!</v>
      </c>
      <c r="AU15" s="24" t="e">
        <f t="shared" ca="1" si="34"/>
        <v>#REF!</v>
      </c>
      <c r="AV15" s="24" t="e">
        <f t="shared" ca="1" si="34"/>
        <v>#REF!</v>
      </c>
      <c r="AW15" s="24" t="e">
        <f t="shared" ca="1" si="34"/>
        <v>#REF!</v>
      </c>
      <c r="AX15" s="24" t="e">
        <f t="shared" ca="1" si="34"/>
        <v>#REF!</v>
      </c>
      <c r="AY15" s="24" t="e">
        <f t="shared" ca="1" si="34"/>
        <v>#REF!</v>
      </c>
      <c r="AZ15" s="24" t="e">
        <f t="shared" ca="1" si="34"/>
        <v>#REF!</v>
      </c>
      <c r="BA15" s="24" t="e">
        <f t="shared" ca="1" si="34"/>
        <v>#REF!</v>
      </c>
      <c r="BB15" s="24" t="e">
        <f t="shared" ca="1" si="34"/>
        <v>#REF!</v>
      </c>
      <c r="BC15" s="24" t="e">
        <f t="shared" ca="1" si="34"/>
        <v>#REF!</v>
      </c>
      <c r="BD15" s="24" t="e">
        <f t="shared" ca="1" si="34"/>
        <v>#REF!</v>
      </c>
      <c r="BE15" s="24" t="e">
        <f t="shared" ca="1" si="34"/>
        <v>#REF!</v>
      </c>
      <c r="BF15" s="24" t="e">
        <f t="shared" ca="1" si="35"/>
        <v>#REF!</v>
      </c>
      <c r="BG15" s="24" t="e">
        <f t="shared" ca="1" si="35"/>
        <v>#REF!</v>
      </c>
      <c r="BH15" s="24" t="e">
        <f t="shared" ca="1" si="35"/>
        <v>#REF!</v>
      </c>
      <c r="BI15" s="24" t="e">
        <f t="shared" ca="1" si="35"/>
        <v>#REF!</v>
      </c>
      <c r="BJ15" s="24" t="e">
        <f t="shared" ca="1" si="35"/>
        <v>#REF!</v>
      </c>
      <c r="BK15" s="24" t="e">
        <f t="shared" ca="1" si="35"/>
        <v>#REF!</v>
      </c>
      <c r="BL15" s="24" t="e">
        <f t="shared" ca="1" si="35"/>
        <v>#REF!</v>
      </c>
      <c r="BM15" s="24" t="e">
        <f t="shared" ca="1" si="35"/>
        <v>#REF!</v>
      </c>
      <c r="BN15" s="24" t="e">
        <f t="shared" ca="1" si="35"/>
        <v>#REF!</v>
      </c>
      <c r="BO15" s="24" t="e">
        <f t="shared" ca="1" si="35"/>
        <v>#REF!</v>
      </c>
      <c r="BP15" s="24" t="e">
        <f t="shared" ca="1" si="35"/>
        <v>#REF!</v>
      </c>
      <c r="BQ15" s="24" t="e">
        <f t="shared" ca="1" si="35"/>
        <v>#REF!</v>
      </c>
      <c r="BR15" s="24" t="e">
        <f t="shared" ca="1" si="35"/>
        <v>#REF!</v>
      </c>
      <c r="BS15" s="24" t="e">
        <f t="shared" ca="1" si="35"/>
        <v>#REF!</v>
      </c>
      <c r="BT15" s="24" t="e">
        <f t="shared" ca="1" si="35"/>
        <v>#REF!</v>
      </c>
      <c r="BU15" s="24" t="e">
        <f t="shared" ca="1" si="35"/>
        <v>#REF!</v>
      </c>
      <c r="BV15" s="24" t="e">
        <f t="shared" ca="1" si="36"/>
        <v>#REF!</v>
      </c>
      <c r="BW15" s="24" t="e">
        <f t="shared" ca="1" si="36"/>
        <v>#REF!</v>
      </c>
      <c r="BX15" s="24" t="e">
        <f t="shared" ca="1" si="36"/>
        <v>#REF!</v>
      </c>
      <c r="BY15" s="24" t="e">
        <f t="shared" ca="1" si="36"/>
        <v>#REF!</v>
      </c>
      <c r="BZ15" s="24" t="e">
        <f t="shared" ca="1" si="36"/>
        <v>#REF!</v>
      </c>
      <c r="CA15" s="24" t="e">
        <f t="shared" ca="1" si="36"/>
        <v>#REF!</v>
      </c>
      <c r="CB15" s="24" t="e">
        <f t="shared" ca="1" si="36"/>
        <v>#REF!</v>
      </c>
      <c r="CC15" s="24" t="e">
        <f t="shared" ca="1" si="36"/>
        <v>#REF!</v>
      </c>
      <c r="CD15" s="24" t="e">
        <f t="shared" ca="1" si="36"/>
        <v>#REF!</v>
      </c>
      <c r="CE15" s="24" t="e">
        <f t="shared" ca="1" si="36"/>
        <v>#REF!</v>
      </c>
      <c r="CF15" s="24" t="e">
        <f t="shared" ca="1" si="36"/>
        <v>#REF!</v>
      </c>
      <c r="CG15" s="24" t="e">
        <f t="shared" ca="1" si="36"/>
        <v>#REF!</v>
      </c>
      <c r="CH15" s="24" t="e">
        <f t="shared" ca="1" si="36"/>
        <v>#REF!</v>
      </c>
      <c r="CI15" s="24" t="e">
        <f t="shared" ca="1" si="36"/>
        <v>#REF!</v>
      </c>
      <c r="CJ15" s="24" t="e">
        <f t="shared" ca="1" si="36"/>
        <v>#REF!</v>
      </c>
      <c r="CK15" s="24" t="e">
        <f t="shared" ca="1" si="36"/>
        <v>#REF!</v>
      </c>
      <c r="CL15" s="24" t="e">
        <f t="shared" ca="1" si="37"/>
        <v>#REF!</v>
      </c>
      <c r="CM15" s="24" t="e">
        <f t="shared" ca="1" si="37"/>
        <v>#REF!</v>
      </c>
      <c r="CN15" s="24" t="e">
        <f t="shared" ca="1" si="37"/>
        <v>#REF!</v>
      </c>
      <c r="CO15" s="24" t="e">
        <f t="shared" ca="1" si="37"/>
        <v>#REF!</v>
      </c>
      <c r="CP15" s="24" t="e">
        <f t="shared" ca="1" si="37"/>
        <v>#REF!</v>
      </c>
      <c r="CQ15" s="24" t="e">
        <f t="shared" ca="1" si="37"/>
        <v>#REF!</v>
      </c>
      <c r="CR15" s="24" t="e">
        <f t="shared" ca="1" si="37"/>
        <v>#REF!</v>
      </c>
      <c r="CS15" s="24" t="e">
        <f t="shared" ca="1" si="37"/>
        <v>#REF!</v>
      </c>
      <c r="CT15" s="24" t="e">
        <f t="shared" ca="1" si="37"/>
        <v>#REF!</v>
      </c>
      <c r="CU15" s="24" t="e">
        <f t="shared" ca="1" si="37"/>
        <v>#REF!</v>
      </c>
      <c r="CV15" s="24" t="e">
        <f t="shared" ca="1" si="37"/>
        <v>#REF!</v>
      </c>
      <c r="CW15" s="24" t="e">
        <f t="shared" ca="1" si="37"/>
        <v>#REF!</v>
      </c>
      <c r="CX15" s="24" t="e">
        <f t="shared" ca="1" si="37"/>
        <v>#REF!</v>
      </c>
      <c r="CY15" s="24" t="e">
        <f t="shared" ca="1" si="37"/>
        <v>#REF!</v>
      </c>
      <c r="CZ15" s="24" t="e">
        <f t="shared" ca="1" si="37"/>
        <v>#REF!</v>
      </c>
      <c r="DA15" s="24" t="e">
        <f t="shared" ca="1" si="37"/>
        <v>#REF!</v>
      </c>
      <c r="DB15" s="24" t="e">
        <f t="shared" ca="1" si="38"/>
        <v>#REF!</v>
      </c>
      <c r="DC15" s="24" t="e">
        <f t="shared" ca="1" si="38"/>
        <v>#REF!</v>
      </c>
      <c r="DD15" s="24" t="e">
        <f t="shared" ca="1" si="38"/>
        <v>#REF!</v>
      </c>
      <c r="DE15" s="24" t="e">
        <f t="shared" ca="1" si="38"/>
        <v>#REF!</v>
      </c>
      <c r="DF15" s="24" t="e">
        <f t="shared" ca="1" si="38"/>
        <v>#REF!</v>
      </c>
      <c r="DG15" s="24" t="e">
        <f t="shared" ca="1" si="38"/>
        <v>#REF!</v>
      </c>
      <c r="DH15" s="24" t="e">
        <f t="shared" ca="1" si="38"/>
        <v>#REF!</v>
      </c>
      <c r="DI15" s="24" t="e">
        <f t="shared" ca="1" si="38"/>
        <v>#REF!</v>
      </c>
      <c r="DJ15" s="24" t="e">
        <f t="shared" ca="1" si="38"/>
        <v>#REF!</v>
      </c>
      <c r="DK15" s="24" t="e">
        <f t="shared" ca="1" si="38"/>
        <v>#REF!</v>
      </c>
      <c r="DL15" s="24" t="e">
        <f t="shared" ca="1" si="38"/>
        <v>#REF!</v>
      </c>
      <c r="DM15" s="24" t="e">
        <f t="shared" ca="1" si="38"/>
        <v>#REF!</v>
      </c>
      <c r="DN15" s="24" t="e">
        <f t="shared" ca="1" si="38"/>
        <v>#REF!</v>
      </c>
      <c r="DO15" s="24" t="e">
        <f t="shared" ca="1" si="38"/>
        <v>#REF!</v>
      </c>
      <c r="DP15" s="24" t="e">
        <f t="shared" ca="1" si="38"/>
        <v>#REF!</v>
      </c>
      <c r="DQ15" s="24" t="e">
        <f t="shared" ca="1" si="38"/>
        <v>#REF!</v>
      </c>
      <c r="DR15" s="24" t="e">
        <f t="shared" ca="1" si="39"/>
        <v>#REF!</v>
      </c>
      <c r="DS15" s="24" t="e">
        <f t="shared" ca="1" si="39"/>
        <v>#REF!</v>
      </c>
      <c r="DT15" s="24" t="e">
        <f t="shared" ca="1" si="39"/>
        <v>#REF!</v>
      </c>
      <c r="DU15" s="24" t="e">
        <f t="shared" ca="1" si="39"/>
        <v>#REF!</v>
      </c>
      <c r="DV15" s="24" t="e">
        <f t="shared" ca="1" si="39"/>
        <v>#REF!</v>
      </c>
      <c r="DW15" s="24" t="e">
        <f t="shared" ca="1" si="39"/>
        <v>#REF!</v>
      </c>
      <c r="DX15" s="24" t="e">
        <f t="shared" ca="1" si="39"/>
        <v>#REF!</v>
      </c>
      <c r="DY15" s="24" t="e">
        <f t="shared" ca="1" si="39"/>
        <v>#REF!</v>
      </c>
      <c r="DZ15" s="24" t="e">
        <f t="shared" ca="1" si="39"/>
        <v>#REF!</v>
      </c>
      <c r="EA15" s="24" t="e">
        <f t="shared" ca="1" si="39"/>
        <v>#REF!</v>
      </c>
      <c r="EB15" s="24" t="e">
        <f t="shared" ca="1" si="39"/>
        <v>#REF!</v>
      </c>
      <c r="EC15" s="24" t="e">
        <f t="shared" ca="1" si="39"/>
        <v>#REF!</v>
      </c>
      <c r="ED15" s="24" t="e">
        <f t="shared" ca="1" si="39"/>
        <v>#REF!</v>
      </c>
      <c r="EE15" s="24" t="e">
        <f t="shared" ca="1" si="39"/>
        <v>#REF!</v>
      </c>
      <c r="EF15" s="24" t="e">
        <f t="shared" ca="1" si="39"/>
        <v>#REF!</v>
      </c>
      <c r="EG15" s="24" t="e">
        <f t="shared" ca="1" si="39"/>
        <v>#REF!</v>
      </c>
      <c r="EH15" s="24" t="e">
        <f t="shared" ca="1" si="40"/>
        <v>#REF!</v>
      </c>
      <c r="EI15" s="24" t="e">
        <f t="shared" ca="1" si="40"/>
        <v>#REF!</v>
      </c>
      <c r="EJ15" s="24" t="e">
        <f t="shared" ca="1" si="40"/>
        <v>#REF!</v>
      </c>
      <c r="EK15" s="24" t="e">
        <f t="shared" ca="1" si="40"/>
        <v>#REF!</v>
      </c>
      <c r="EL15" s="24" t="e">
        <f t="shared" ca="1" si="40"/>
        <v>#REF!</v>
      </c>
      <c r="EM15" s="24" t="e">
        <f t="shared" ca="1" si="40"/>
        <v>#REF!</v>
      </c>
      <c r="EN15" s="24" t="e">
        <f t="shared" ca="1" si="40"/>
        <v>#REF!</v>
      </c>
      <c r="EO15" s="24" t="e">
        <f t="shared" ca="1" si="40"/>
        <v>#REF!</v>
      </c>
      <c r="EP15" s="24" t="e">
        <f t="shared" ca="1" si="40"/>
        <v>#REF!</v>
      </c>
      <c r="EQ15" s="24" t="e">
        <f t="shared" ca="1" si="40"/>
        <v>#REF!</v>
      </c>
      <c r="ER15" s="24" t="e">
        <f t="shared" ca="1" si="40"/>
        <v>#REF!</v>
      </c>
      <c r="ES15" s="24" t="e">
        <f t="shared" ca="1" si="40"/>
        <v>#REF!</v>
      </c>
      <c r="ET15" s="24" t="e">
        <f t="shared" ca="1" si="40"/>
        <v>#REF!</v>
      </c>
      <c r="EU15" s="24" t="e">
        <f t="shared" ca="1" si="40"/>
        <v>#REF!</v>
      </c>
      <c r="EV15" s="24" t="e">
        <f t="shared" ca="1" si="40"/>
        <v>#REF!</v>
      </c>
      <c r="EW15" s="24" t="e">
        <f t="shared" ca="1" si="40"/>
        <v>#REF!</v>
      </c>
      <c r="EX15" s="24" t="e">
        <f t="shared" ca="1" si="41"/>
        <v>#REF!</v>
      </c>
      <c r="EY15" s="24" t="e">
        <f t="shared" ca="1" si="41"/>
        <v>#REF!</v>
      </c>
      <c r="EZ15" s="24" t="e">
        <f t="shared" ca="1" si="41"/>
        <v>#REF!</v>
      </c>
      <c r="FA15" s="24" t="e">
        <f t="shared" ca="1" si="41"/>
        <v>#REF!</v>
      </c>
      <c r="FB15" s="24" t="e">
        <f t="shared" ca="1" si="41"/>
        <v>#REF!</v>
      </c>
      <c r="FC15" s="24" t="e">
        <f t="shared" ca="1" si="41"/>
        <v>#REF!</v>
      </c>
      <c r="FD15" s="24" t="e">
        <f t="shared" ca="1" si="41"/>
        <v>#REF!</v>
      </c>
      <c r="FE15" s="24" t="e">
        <f t="shared" ca="1" si="41"/>
        <v>#REF!</v>
      </c>
      <c r="FF15" s="24" t="e">
        <f t="shared" ca="1" si="41"/>
        <v>#REF!</v>
      </c>
      <c r="FG15" s="24" t="e">
        <f t="shared" ca="1" si="41"/>
        <v>#REF!</v>
      </c>
      <c r="FH15" s="24" t="e">
        <f t="shared" ca="1" si="41"/>
        <v>#REF!</v>
      </c>
      <c r="FI15" s="24" t="e">
        <f t="shared" ca="1" si="41"/>
        <v>#REF!</v>
      </c>
      <c r="FJ15" s="24" t="e">
        <f t="shared" ca="1" si="41"/>
        <v>#REF!</v>
      </c>
      <c r="FK15" s="24" t="e">
        <f t="shared" ca="1" si="41"/>
        <v>#REF!</v>
      </c>
      <c r="FL15" s="24" t="e">
        <f t="shared" ca="1" si="41"/>
        <v>#REF!</v>
      </c>
      <c r="FM15" s="24" t="e">
        <f t="shared" ca="1" si="41"/>
        <v>#REF!</v>
      </c>
      <c r="FN15" s="24" t="e">
        <f t="shared" ca="1" si="42"/>
        <v>#REF!</v>
      </c>
      <c r="FO15" s="24" t="e">
        <f t="shared" ca="1" si="42"/>
        <v>#REF!</v>
      </c>
      <c r="FP15" s="24" t="e">
        <f t="shared" ca="1" si="42"/>
        <v>#REF!</v>
      </c>
      <c r="FQ15" s="24" t="e">
        <f t="shared" ca="1" si="42"/>
        <v>#REF!</v>
      </c>
      <c r="FR15" s="24" t="e">
        <f t="shared" ca="1" si="42"/>
        <v>#REF!</v>
      </c>
      <c r="FS15" s="24" t="e">
        <f t="shared" ca="1" si="42"/>
        <v>#REF!</v>
      </c>
      <c r="FT15" s="24" t="e">
        <f t="shared" ca="1" si="42"/>
        <v>#REF!</v>
      </c>
      <c r="FU15" s="24" t="e">
        <f t="shared" ca="1" si="42"/>
        <v>#REF!</v>
      </c>
      <c r="FV15" s="24" t="e">
        <f t="shared" ca="1" si="42"/>
        <v>#REF!</v>
      </c>
      <c r="FW15" s="24" t="e">
        <f t="shared" ca="1" si="42"/>
        <v>#REF!</v>
      </c>
      <c r="FX15" s="24" t="e">
        <f t="shared" ca="1" si="42"/>
        <v>#REF!</v>
      </c>
      <c r="FY15" s="24" t="e">
        <f t="shared" ca="1" si="42"/>
        <v>#REF!</v>
      </c>
      <c r="FZ15" s="24" t="e">
        <f t="shared" ca="1" si="42"/>
        <v>#REF!</v>
      </c>
      <c r="GA15" s="24" t="e">
        <f t="shared" ca="1" si="42"/>
        <v>#REF!</v>
      </c>
      <c r="GB15" s="24" t="e">
        <f t="shared" ca="1" si="42"/>
        <v>#REF!</v>
      </c>
      <c r="GC15" s="24" t="e">
        <f t="shared" ca="1" si="42"/>
        <v>#REF!</v>
      </c>
      <c r="GD15" s="24" t="e">
        <f t="shared" ca="1" si="43"/>
        <v>#REF!</v>
      </c>
      <c r="GE15" s="24" t="e">
        <f t="shared" ca="1" si="43"/>
        <v>#REF!</v>
      </c>
      <c r="GF15" s="24" t="e">
        <f t="shared" ca="1" si="43"/>
        <v>#REF!</v>
      </c>
      <c r="GG15" s="24" t="e">
        <f t="shared" ca="1" si="43"/>
        <v>#REF!</v>
      </c>
      <c r="GH15" s="24" t="e">
        <f t="shared" ca="1" si="43"/>
        <v>#REF!</v>
      </c>
      <c r="GI15" s="24" t="e">
        <f t="shared" ca="1" si="43"/>
        <v>#REF!</v>
      </c>
      <c r="GJ15" s="24" t="e">
        <f t="shared" ca="1" si="43"/>
        <v>#REF!</v>
      </c>
      <c r="GK15" s="24" t="e">
        <f t="shared" ca="1" si="43"/>
        <v>#REF!</v>
      </c>
      <c r="GL15" s="24" t="e">
        <f t="shared" ca="1" si="43"/>
        <v>#REF!</v>
      </c>
      <c r="GM15" s="24" t="e">
        <f t="shared" ca="1" si="43"/>
        <v>#REF!</v>
      </c>
      <c r="GN15" s="24" t="e">
        <f t="shared" ca="1" si="43"/>
        <v>#REF!</v>
      </c>
      <c r="GO15" s="24" t="e">
        <f t="shared" ca="1" si="43"/>
        <v>#REF!</v>
      </c>
      <c r="GP15" s="24" t="e">
        <f t="shared" ca="1" si="43"/>
        <v>#REF!</v>
      </c>
      <c r="GQ15" s="24" t="e">
        <f t="shared" ca="1" si="43"/>
        <v>#REF!</v>
      </c>
      <c r="GR15" s="24" t="e">
        <f t="shared" ca="1" si="43"/>
        <v>#REF!</v>
      </c>
      <c r="GS15" s="24" t="e">
        <f t="shared" ca="1" si="43"/>
        <v>#REF!</v>
      </c>
      <c r="GT15" s="24" t="e">
        <f t="shared" ca="1" si="44"/>
        <v>#REF!</v>
      </c>
      <c r="GU15" s="24" t="e">
        <f t="shared" ca="1" si="44"/>
        <v>#REF!</v>
      </c>
      <c r="GV15" s="24" t="e">
        <f t="shared" ca="1" si="44"/>
        <v>#REF!</v>
      </c>
      <c r="GW15" s="24" t="e">
        <f t="shared" ca="1" si="44"/>
        <v>#REF!</v>
      </c>
      <c r="GX15" s="24" t="e">
        <f t="shared" ca="1" si="44"/>
        <v>#REF!</v>
      </c>
      <c r="GY15" s="24" t="e">
        <f t="shared" ca="1" si="44"/>
        <v>#REF!</v>
      </c>
      <c r="GZ15" s="24" t="e">
        <f t="shared" ca="1" si="44"/>
        <v>#REF!</v>
      </c>
      <c r="HA15" s="24" t="e">
        <f t="shared" ca="1" si="44"/>
        <v>#REF!</v>
      </c>
      <c r="HB15" s="24" t="e">
        <f t="shared" ca="1" si="44"/>
        <v>#REF!</v>
      </c>
      <c r="HC15" s="24" t="e">
        <f t="shared" ca="1" si="44"/>
        <v>#REF!</v>
      </c>
      <c r="HD15" s="24" t="e">
        <f t="shared" ca="1" si="44"/>
        <v>#REF!</v>
      </c>
      <c r="HE15" s="24" t="e">
        <f t="shared" ca="1" si="44"/>
        <v>#REF!</v>
      </c>
      <c r="HF15" s="24" t="e">
        <f t="shared" ca="1" si="44"/>
        <v>#REF!</v>
      </c>
      <c r="HG15" s="24" t="e">
        <f t="shared" ca="1" si="44"/>
        <v>#REF!</v>
      </c>
      <c r="HH15" s="24" t="e">
        <f t="shared" ca="1" si="44"/>
        <v>#REF!</v>
      </c>
      <c r="HI15" s="24" t="e">
        <f t="shared" ca="1" si="44"/>
        <v>#REF!</v>
      </c>
      <c r="HJ15" s="24" t="e">
        <f t="shared" ca="1" si="45"/>
        <v>#REF!</v>
      </c>
      <c r="HK15" s="24" t="e">
        <f t="shared" ca="1" si="45"/>
        <v>#REF!</v>
      </c>
      <c r="HL15" s="24" t="e">
        <f t="shared" ca="1" si="45"/>
        <v>#REF!</v>
      </c>
      <c r="HM15" s="24" t="e">
        <f t="shared" ca="1" si="45"/>
        <v>#REF!</v>
      </c>
      <c r="HN15" s="24" t="e">
        <f t="shared" ca="1" si="45"/>
        <v>#REF!</v>
      </c>
      <c r="HO15" s="24" t="e">
        <f t="shared" ca="1" si="45"/>
        <v>#REF!</v>
      </c>
      <c r="HP15" s="24" t="e">
        <f t="shared" ca="1" si="45"/>
        <v>#REF!</v>
      </c>
      <c r="HQ15" s="24" t="e">
        <f t="shared" ca="1" si="45"/>
        <v>#REF!</v>
      </c>
      <c r="HR15" s="24" t="e">
        <f t="shared" ca="1" si="45"/>
        <v>#REF!</v>
      </c>
      <c r="HS15" s="24" t="e">
        <f t="shared" ca="1" si="45"/>
        <v>#REF!</v>
      </c>
      <c r="HT15" s="24" t="e">
        <f t="shared" ca="1" si="45"/>
        <v>#REF!</v>
      </c>
      <c r="HU15" s="24" t="e">
        <f t="shared" ca="1" si="45"/>
        <v>#REF!</v>
      </c>
      <c r="HV15" s="24" t="e">
        <f t="shared" ca="1" si="45"/>
        <v>#REF!</v>
      </c>
      <c r="HW15" s="24" t="e">
        <f t="shared" ca="1" si="45"/>
        <v>#REF!</v>
      </c>
      <c r="HX15" s="24" t="e">
        <f t="shared" ca="1" si="45"/>
        <v>#REF!</v>
      </c>
      <c r="HY15" s="24" t="e">
        <f t="shared" ca="1" si="45"/>
        <v>#REF!</v>
      </c>
      <c r="HZ15" s="24" t="e">
        <f t="shared" ca="1" si="46"/>
        <v>#REF!</v>
      </c>
      <c r="IA15" s="24" t="e">
        <f t="shared" ca="1" si="46"/>
        <v>#REF!</v>
      </c>
      <c r="IB15" s="24" t="e">
        <f t="shared" ca="1" si="46"/>
        <v>#REF!</v>
      </c>
      <c r="IC15" s="24" t="e">
        <f t="shared" ca="1" si="46"/>
        <v>#REF!</v>
      </c>
      <c r="ID15" s="24" t="e">
        <f t="shared" ca="1" si="46"/>
        <v>#REF!</v>
      </c>
      <c r="IE15" s="24" t="e">
        <f t="shared" ca="1" si="46"/>
        <v>#REF!</v>
      </c>
      <c r="IF15" s="24" t="e">
        <f t="shared" ca="1" si="46"/>
        <v>#REF!</v>
      </c>
      <c r="IG15" s="24" t="e">
        <f t="shared" ca="1" si="46"/>
        <v>#REF!</v>
      </c>
      <c r="IH15" s="24" t="e">
        <f t="shared" ca="1" si="46"/>
        <v>#REF!</v>
      </c>
      <c r="II15" s="24" t="e">
        <f t="shared" ca="1" si="46"/>
        <v>#REF!</v>
      </c>
      <c r="IJ15" s="24" t="e">
        <f t="shared" ca="1" si="46"/>
        <v>#REF!</v>
      </c>
      <c r="IK15" s="24" t="e">
        <f t="shared" ca="1" si="46"/>
        <v>#REF!</v>
      </c>
      <c r="IL15" s="24" t="e">
        <f t="shared" ca="1" si="46"/>
        <v>#REF!</v>
      </c>
      <c r="IM15" s="24" t="e">
        <f t="shared" ca="1" si="46"/>
        <v>#REF!</v>
      </c>
      <c r="IN15" s="24" t="e">
        <f t="shared" ca="1" si="46"/>
        <v>#REF!</v>
      </c>
      <c r="IO15" s="24" t="e">
        <f t="shared" ca="1" si="46"/>
        <v>#REF!</v>
      </c>
      <c r="IP15" s="24" t="e">
        <f t="shared" ca="1" si="47"/>
        <v>#REF!</v>
      </c>
      <c r="IQ15" s="24" t="e">
        <f t="shared" ca="1" si="47"/>
        <v>#REF!</v>
      </c>
      <c r="IR15" s="24" t="e">
        <f t="shared" ca="1" si="47"/>
        <v>#REF!</v>
      </c>
      <c r="IS15" s="24" t="e">
        <f t="shared" ca="1" si="47"/>
        <v>#REF!</v>
      </c>
      <c r="IT15" s="24" t="e">
        <f t="shared" ca="1" si="47"/>
        <v>#REF!</v>
      </c>
      <c r="IU15" s="24" t="e">
        <f t="shared" ca="1" si="47"/>
        <v>#REF!</v>
      </c>
      <c r="IV15" s="24" t="e">
        <f t="shared" ca="1" si="47"/>
        <v>#REF!</v>
      </c>
      <c r="IW15" s="24" t="e">
        <f t="shared" ca="1" si="47"/>
        <v>#REF!</v>
      </c>
      <c r="IX15" s="24" t="e">
        <f t="shared" ca="1" si="47"/>
        <v>#REF!</v>
      </c>
      <c r="IY15" s="24" t="e">
        <f t="shared" ca="1" si="47"/>
        <v>#REF!</v>
      </c>
      <c r="IZ15" s="24" t="e">
        <f t="shared" ca="1" si="47"/>
        <v>#REF!</v>
      </c>
      <c r="JA15" s="24" t="e">
        <f t="shared" ca="1" si="47"/>
        <v>#REF!</v>
      </c>
      <c r="JB15" s="24" t="e">
        <f t="shared" ca="1" si="47"/>
        <v>#REF!</v>
      </c>
      <c r="JC15" s="24" t="e">
        <f t="shared" ca="1" si="47"/>
        <v>#REF!</v>
      </c>
      <c r="JD15" s="24" t="e">
        <f t="shared" ca="1" si="47"/>
        <v>#REF!</v>
      </c>
      <c r="JE15" s="24" t="e">
        <f t="shared" ca="1" si="47"/>
        <v>#REF!</v>
      </c>
      <c r="JF15" s="24" t="e">
        <f t="shared" ca="1" si="48"/>
        <v>#REF!</v>
      </c>
      <c r="JG15" s="24" t="e">
        <f t="shared" ca="1" si="48"/>
        <v>#REF!</v>
      </c>
      <c r="JH15" s="24" t="e">
        <f t="shared" ca="1" si="48"/>
        <v>#REF!</v>
      </c>
      <c r="JI15" s="24" t="e">
        <f t="shared" ca="1" si="48"/>
        <v>#REF!</v>
      </c>
      <c r="JJ15" s="24" t="e">
        <f t="shared" ca="1" si="48"/>
        <v>#REF!</v>
      </c>
      <c r="JK15" s="24" t="e">
        <f t="shared" ca="1" si="48"/>
        <v>#REF!</v>
      </c>
      <c r="JL15" s="24" t="e">
        <f t="shared" ca="1" si="48"/>
        <v>#REF!</v>
      </c>
      <c r="JM15" s="24" t="e">
        <f t="shared" ca="1" si="48"/>
        <v>#REF!</v>
      </c>
      <c r="JN15" s="24" t="e">
        <f t="shared" ca="1" si="48"/>
        <v>#REF!</v>
      </c>
      <c r="JO15" s="24" t="e">
        <f t="shared" ca="1" si="48"/>
        <v>#REF!</v>
      </c>
      <c r="JP15" s="24" t="e">
        <f t="shared" ca="1" si="48"/>
        <v>#REF!</v>
      </c>
      <c r="JQ15" s="24" t="e">
        <f t="shared" ca="1" si="48"/>
        <v>#REF!</v>
      </c>
      <c r="JR15" s="24" t="e">
        <f t="shared" ca="1" si="48"/>
        <v>#REF!</v>
      </c>
      <c r="JS15" s="24" t="e">
        <f t="shared" ca="1" si="48"/>
        <v>#REF!</v>
      </c>
      <c r="JT15" s="24" t="e">
        <f t="shared" ca="1" si="48"/>
        <v>#REF!</v>
      </c>
      <c r="JU15" s="24" t="e">
        <f t="shared" ca="1" si="48"/>
        <v>#REF!</v>
      </c>
      <c r="JV15" s="24" t="e">
        <f t="shared" ca="1" si="49"/>
        <v>#REF!</v>
      </c>
      <c r="JW15" s="24" t="e">
        <f t="shared" ca="1" si="49"/>
        <v>#REF!</v>
      </c>
      <c r="JX15" s="24" t="e">
        <f t="shared" ca="1" si="49"/>
        <v>#REF!</v>
      </c>
      <c r="JY15" s="24" t="e">
        <f t="shared" ca="1" si="49"/>
        <v>#REF!</v>
      </c>
      <c r="JZ15" s="24" t="e">
        <f t="shared" ca="1" si="49"/>
        <v>#REF!</v>
      </c>
      <c r="KA15" s="24" t="e">
        <f t="shared" ca="1" si="49"/>
        <v>#REF!</v>
      </c>
      <c r="KB15" s="24" t="e">
        <f t="shared" ca="1" si="49"/>
        <v>#REF!</v>
      </c>
      <c r="KC15" s="24" t="e">
        <f t="shared" ca="1" si="49"/>
        <v>#REF!</v>
      </c>
      <c r="KD15" s="24" t="e">
        <f t="shared" ca="1" si="49"/>
        <v>#REF!</v>
      </c>
      <c r="KE15" s="24" t="e">
        <f t="shared" ca="1" si="49"/>
        <v>#REF!</v>
      </c>
      <c r="KF15" s="24" t="e">
        <f t="shared" ca="1" si="49"/>
        <v>#REF!</v>
      </c>
      <c r="KG15" s="24" t="e">
        <f t="shared" ca="1" si="49"/>
        <v>#REF!</v>
      </c>
      <c r="KH15" s="24" t="e">
        <f t="shared" ca="1" si="49"/>
        <v>#REF!</v>
      </c>
      <c r="KI15" s="24" t="e">
        <f t="shared" ca="1" si="49"/>
        <v>#REF!</v>
      </c>
      <c r="KJ15" s="24" t="e">
        <f t="shared" ca="1" si="49"/>
        <v>#REF!</v>
      </c>
      <c r="KK15" s="24" t="e">
        <f t="shared" ca="1" si="49"/>
        <v>#REF!</v>
      </c>
      <c r="KL15" s="24" t="e">
        <f t="shared" ca="1" si="50"/>
        <v>#REF!</v>
      </c>
      <c r="KM15" s="24" t="e">
        <f t="shared" ca="1" si="50"/>
        <v>#REF!</v>
      </c>
      <c r="KN15" s="24" t="e">
        <f t="shared" ca="1" si="50"/>
        <v>#REF!</v>
      </c>
      <c r="KO15" s="24" t="e">
        <f t="shared" ca="1" si="50"/>
        <v>#REF!</v>
      </c>
      <c r="KP15" s="24" t="e">
        <f t="shared" ca="1" si="50"/>
        <v>#REF!</v>
      </c>
      <c r="KQ15" s="24" t="e">
        <f t="shared" ca="1" si="50"/>
        <v>#REF!</v>
      </c>
      <c r="KR15" s="24" t="e">
        <f t="shared" ca="1" si="50"/>
        <v>#REF!</v>
      </c>
      <c r="KS15" s="24" t="e">
        <f t="shared" ca="1" si="50"/>
        <v>#REF!</v>
      </c>
      <c r="KT15" s="24" t="e">
        <f t="shared" ca="1" si="50"/>
        <v>#REF!</v>
      </c>
      <c r="KU15" s="24" t="e">
        <f t="shared" ca="1" si="50"/>
        <v>#REF!</v>
      </c>
      <c r="KV15" s="24" t="e">
        <f t="shared" ca="1" si="50"/>
        <v>#REF!</v>
      </c>
      <c r="KW15" s="24" t="e">
        <f t="shared" ca="1" si="50"/>
        <v>#REF!</v>
      </c>
      <c r="KX15" s="24" t="e">
        <f t="shared" ca="1" si="50"/>
        <v>#REF!</v>
      </c>
      <c r="KY15" s="24" t="e">
        <f t="shared" ca="1" si="50"/>
        <v>#REF!</v>
      </c>
      <c r="KZ15" s="24" t="e">
        <f t="shared" ca="1" si="50"/>
        <v>#REF!</v>
      </c>
      <c r="LA15" s="24" t="e">
        <f t="shared" ca="1" si="50"/>
        <v>#REF!</v>
      </c>
      <c r="LB15" s="24" t="e">
        <f t="shared" ca="1" si="51"/>
        <v>#REF!</v>
      </c>
      <c r="LC15" s="24" t="e">
        <f t="shared" ca="1" si="51"/>
        <v>#REF!</v>
      </c>
      <c r="LD15" s="24" t="e">
        <f t="shared" ca="1" si="51"/>
        <v>#REF!</v>
      </c>
      <c r="LE15" s="24" t="e">
        <f t="shared" ca="1" si="51"/>
        <v>#REF!</v>
      </c>
      <c r="LF15" s="24" t="e">
        <f t="shared" ca="1" si="51"/>
        <v>#REF!</v>
      </c>
      <c r="LG15" s="24" t="e">
        <f t="shared" ca="1" si="51"/>
        <v>#REF!</v>
      </c>
      <c r="LH15" s="24" t="e">
        <f t="shared" ca="1" si="51"/>
        <v>#REF!</v>
      </c>
      <c r="LI15" s="24" t="e">
        <f t="shared" ca="1" si="51"/>
        <v>#REF!</v>
      </c>
      <c r="LJ15" s="24" t="e">
        <f t="shared" ca="1" si="51"/>
        <v>#REF!</v>
      </c>
      <c r="LK15" s="24" t="e">
        <f t="shared" ca="1" si="51"/>
        <v>#REF!</v>
      </c>
      <c r="LL15" s="24" t="e">
        <f t="shared" ca="1" si="51"/>
        <v>#REF!</v>
      </c>
      <c r="LM15" s="24" t="e">
        <f t="shared" ca="1" si="51"/>
        <v>#REF!</v>
      </c>
      <c r="LN15" s="24" t="e">
        <f t="shared" ca="1" si="51"/>
        <v>#REF!</v>
      </c>
      <c r="LO15" s="24" t="e">
        <f t="shared" ca="1" si="51"/>
        <v>#REF!</v>
      </c>
      <c r="LP15" s="24" t="e">
        <f t="shared" ca="1" si="51"/>
        <v>#REF!</v>
      </c>
      <c r="LQ15" s="24" t="e">
        <f t="shared" ca="1" si="51"/>
        <v>#REF!</v>
      </c>
      <c r="LR15" s="24" t="e">
        <f t="shared" ca="1" si="52"/>
        <v>#REF!</v>
      </c>
      <c r="LS15" s="24" t="e">
        <f t="shared" ca="1" si="52"/>
        <v>#REF!</v>
      </c>
      <c r="LT15" s="24" t="e">
        <f t="shared" ca="1" si="52"/>
        <v>#REF!</v>
      </c>
      <c r="LU15" s="24" t="e">
        <f t="shared" ca="1" si="52"/>
        <v>#REF!</v>
      </c>
      <c r="LV15" s="24" t="e">
        <f t="shared" ca="1" si="52"/>
        <v>#REF!</v>
      </c>
      <c r="LW15" s="24" t="e">
        <f t="shared" ca="1" si="52"/>
        <v>#REF!</v>
      </c>
      <c r="LX15" s="24" t="e">
        <f t="shared" ca="1" si="52"/>
        <v>#REF!</v>
      </c>
      <c r="LY15" s="24" t="e">
        <f t="shared" ca="1" si="52"/>
        <v>#REF!</v>
      </c>
      <c r="LZ15" s="24" t="e">
        <f t="shared" ca="1" si="52"/>
        <v>#REF!</v>
      </c>
      <c r="MA15" s="24" t="e">
        <f t="shared" ca="1" si="52"/>
        <v>#REF!</v>
      </c>
      <c r="MB15" s="24" t="e">
        <f t="shared" ca="1" si="52"/>
        <v>#REF!</v>
      </c>
      <c r="MC15" s="24" t="e">
        <f t="shared" ca="1" si="52"/>
        <v>#REF!</v>
      </c>
      <c r="MD15" s="24" t="e">
        <f t="shared" ca="1" si="52"/>
        <v>#REF!</v>
      </c>
      <c r="ME15" s="24" t="e">
        <f t="shared" ca="1" si="52"/>
        <v>#REF!</v>
      </c>
      <c r="MF15" s="24" t="e">
        <f t="shared" ca="1" si="52"/>
        <v>#REF!</v>
      </c>
      <c r="MG15" s="24" t="e">
        <f t="shared" ca="1" si="52"/>
        <v>#REF!</v>
      </c>
      <c r="MH15" s="24" t="e">
        <f t="shared" ca="1" si="53"/>
        <v>#REF!</v>
      </c>
      <c r="MI15" s="24" t="e">
        <f t="shared" ca="1" si="53"/>
        <v>#REF!</v>
      </c>
      <c r="MJ15" s="24" t="e">
        <f t="shared" ca="1" si="53"/>
        <v>#REF!</v>
      </c>
      <c r="MK15" s="24" t="e">
        <f t="shared" ca="1" si="53"/>
        <v>#REF!</v>
      </c>
      <c r="ML15" s="24" t="e">
        <f t="shared" ca="1" si="53"/>
        <v>#REF!</v>
      </c>
      <c r="MM15" s="24" t="e">
        <f t="shared" ca="1" si="53"/>
        <v>#REF!</v>
      </c>
      <c r="MN15" s="24" t="e">
        <f t="shared" ca="1" si="53"/>
        <v>#REF!</v>
      </c>
      <c r="MO15" s="24" t="e">
        <f t="shared" ca="1" si="53"/>
        <v>#REF!</v>
      </c>
      <c r="MP15" s="24" t="e">
        <f t="shared" ca="1" si="53"/>
        <v>#REF!</v>
      </c>
      <c r="MQ15" s="24" t="e">
        <f t="shared" ca="1" si="53"/>
        <v>#REF!</v>
      </c>
      <c r="MR15" s="24" t="e">
        <f t="shared" ca="1" si="53"/>
        <v>#REF!</v>
      </c>
      <c r="MS15" s="24" t="e">
        <f t="shared" ca="1" si="53"/>
        <v>#REF!</v>
      </c>
      <c r="MT15" s="24" t="e">
        <f t="shared" ca="1" si="53"/>
        <v>#REF!</v>
      </c>
      <c r="MU15" s="24" t="e">
        <f t="shared" ca="1" si="53"/>
        <v>#REF!</v>
      </c>
      <c r="MV15" s="24" t="e">
        <f t="shared" ca="1" si="53"/>
        <v>#REF!</v>
      </c>
      <c r="MW15" s="24" t="e">
        <f t="shared" ca="1" si="53"/>
        <v>#REF!</v>
      </c>
      <c r="MX15" s="24" t="e">
        <f t="shared" ca="1" si="54"/>
        <v>#REF!</v>
      </c>
      <c r="MY15" s="24" t="e">
        <f t="shared" ca="1" si="54"/>
        <v>#REF!</v>
      </c>
      <c r="MZ15" s="24" t="e">
        <f t="shared" ca="1" si="54"/>
        <v>#REF!</v>
      </c>
      <c r="NA15" s="24" t="e">
        <f t="shared" ca="1" si="54"/>
        <v>#REF!</v>
      </c>
      <c r="NB15" s="24" t="e">
        <f t="shared" ca="1" si="54"/>
        <v>#REF!</v>
      </c>
      <c r="NC15" s="24" t="e">
        <f t="shared" ca="1" si="54"/>
        <v>#REF!</v>
      </c>
      <c r="ND15" s="24" t="e">
        <f t="shared" ca="1" si="54"/>
        <v>#REF!</v>
      </c>
      <c r="NE15" s="24" t="e">
        <f t="shared" ca="1" si="54"/>
        <v>#REF!</v>
      </c>
      <c r="NF15" s="24" t="e">
        <f t="shared" ca="1" si="54"/>
        <v>#REF!</v>
      </c>
      <c r="NG15" s="24" t="e">
        <f t="shared" ca="1" si="54"/>
        <v>#REF!</v>
      </c>
      <c r="NH15" s="24" t="e">
        <f t="shared" ca="1" si="54"/>
        <v>#REF!</v>
      </c>
      <c r="NI15" s="24" t="e">
        <f t="shared" ca="1" si="54"/>
        <v>#REF!</v>
      </c>
      <c r="NJ15" s="24" t="e">
        <f t="shared" ca="1" si="54"/>
        <v>#REF!</v>
      </c>
      <c r="NK15" s="24" t="e">
        <f t="shared" ca="1" si="54"/>
        <v>#REF!</v>
      </c>
      <c r="NL15" s="24" t="e">
        <f t="shared" ca="1" si="54"/>
        <v>#REF!</v>
      </c>
      <c r="NM15" s="24" t="e">
        <f t="shared" ca="1" si="54"/>
        <v>#REF!</v>
      </c>
      <c r="NN15" s="24" t="e">
        <f t="shared" ca="1" si="55"/>
        <v>#REF!</v>
      </c>
      <c r="NO15" s="24" t="e">
        <f t="shared" ca="1" si="55"/>
        <v>#REF!</v>
      </c>
      <c r="NP15" s="24" t="e">
        <f t="shared" ca="1" si="55"/>
        <v>#REF!</v>
      </c>
      <c r="NQ15" s="24" t="e">
        <f t="shared" ca="1" si="55"/>
        <v>#REF!</v>
      </c>
      <c r="NR15" s="24" t="e">
        <f t="shared" ca="1" si="55"/>
        <v>#REF!</v>
      </c>
      <c r="NS15" s="24" t="e">
        <f t="shared" ca="1" si="55"/>
        <v>#REF!</v>
      </c>
      <c r="NT15" s="24" t="e">
        <f t="shared" ca="1" si="55"/>
        <v>#REF!</v>
      </c>
      <c r="NU15" s="24" t="e">
        <f t="shared" ca="1" si="55"/>
        <v>#REF!</v>
      </c>
      <c r="NV15" s="24" t="e">
        <f t="shared" ca="1" si="55"/>
        <v>#REF!</v>
      </c>
      <c r="NW15" s="24" t="e">
        <f t="shared" ca="1" si="55"/>
        <v>#REF!</v>
      </c>
      <c r="NX15" s="24" t="e">
        <f t="shared" ca="1" si="55"/>
        <v>#REF!</v>
      </c>
      <c r="NY15" s="24" t="e">
        <f t="shared" ca="1" si="55"/>
        <v>#REF!</v>
      </c>
      <c r="NZ15" s="24" t="e">
        <f t="shared" ca="1" si="55"/>
        <v>#REF!</v>
      </c>
      <c r="OA15" s="24" t="e">
        <f t="shared" ca="1" si="55"/>
        <v>#REF!</v>
      </c>
      <c r="OB15" s="24" t="e">
        <f t="shared" ca="1" si="55"/>
        <v>#REF!</v>
      </c>
      <c r="OC15" s="24" t="e">
        <f t="shared" ca="1" si="55"/>
        <v>#REF!</v>
      </c>
      <c r="OD15" s="24" t="e">
        <f t="shared" ca="1" si="56"/>
        <v>#REF!</v>
      </c>
      <c r="OE15" s="24" t="e">
        <f t="shared" ca="1" si="56"/>
        <v>#REF!</v>
      </c>
      <c r="OF15" s="24" t="e">
        <f t="shared" ca="1" si="56"/>
        <v>#REF!</v>
      </c>
      <c r="OG15" s="24" t="e">
        <f t="shared" ca="1" si="56"/>
        <v>#REF!</v>
      </c>
      <c r="OH15" s="24" t="e">
        <f t="shared" ca="1" si="56"/>
        <v>#REF!</v>
      </c>
      <c r="OI15" s="24" t="e">
        <f t="shared" ca="1" si="56"/>
        <v>#REF!</v>
      </c>
      <c r="OJ15" s="24" t="e">
        <f t="shared" ca="1" si="56"/>
        <v>#REF!</v>
      </c>
      <c r="OK15" s="24" t="e">
        <f t="shared" ca="1" si="56"/>
        <v>#REF!</v>
      </c>
      <c r="OL15" s="24" t="e">
        <f t="shared" ca="1" si="56"/>
        <v>#REF!</v>
      </c>
      <c r="OM15" s="24" t="e">
        <f t="shared" ca="1" si="56"/>
        <v>#REF!</v>
      </c>
      <c r="ON15" s="24" t="e">
        <f t="shared" ca="1" si="56"/>
        <v>#REF!</v>
      </c>
      <c r="OO15" s="24" t="e">
        <f t="shared" ca="1" si="56"/>
        <v>#REF!</v>
      </c>
      <c r="OP15" s="24" t="e">
        <f t="shared" ca="1" si="56"/>
        <v>#REF!</v>
      </c>
      <c r="OQ15" s="24" t="e">
        <f t="shared" ca="1" si="56"/>
        <v>#REF!</v>
      </c>
      <c r="OR15" s="24" t="e">
        <f t="shared" ca="1" si="56"/>
        <v>#REF!</v>
      </c>
      <c r="OS15" s="24" t="e">
        <f t="shared" ca="1" si="56"/>
        <v>#REF!</v>
      </c>
      <c r="OT15" s="24" t="e">
        <f t="shared" ca="1" si="57"/>
        <v>#REF!</v>
      </c>
      <c r="OU15" s="24" t="e">
        <f t="shared" ca="1" si="57"/>
        <v>#REF!</v>
      </c>
      <c r="OV15" s="24" t="e">
        <f t="shared" ca="1" si="57"/>
        <v>#REF!</v>
      </c>
      <c r="OW15" s="24" t="e">
        <f t="shared" ca="1" si="57"/>
        <v>#REF!</v>
      </c>
      <c r="OX15" s="24" t="e">
        <f t="shared" ca="1" si="57"/>
        <v>#REF!</v>
      </c>
      <c r="OY15" s="24" t="e">
        <f t="shared" ca="1" si="57"/>
        <v>#REF!</v>
      </c>
      <c r="OZ15" s="24" t="e">
        <f t="shared" ca="1" si="57"/>
        <v>#REF!</v>
      </c>
      <c r="PA15" s="24" t="e">
        <f t="shared" ca="1" si="57"/>
        <v>#REF!</v>
      </c>
      <c r="PB15" s="24" t="e">
        <f t="shared" ca="1" si="57"/>
        <v>#REF!</v>
      </c>
      <c r="PC15" s="24" t="e">
        <f t="shared" ca="1" si="57"/>
        <v>#REF!</v>
      </c>
      <c r="PD15" s="24" t="e">
        <f t="shared" ca="1" si="57"/>
        <v>#REF!</v>
      </c>
      <c r="PE15" s="24" t="e">
        <f t="shared" ca="1" si="57"/>
        <v>#REF!</v>
      </c>
      <c r="PF15" s="24" t="e">
        <f t="shared" ca="1" si="57"/>
        <v>#REF!</v>
      </c>
      <c r="PG15" s="24" t="e">
        <f t="shared" ca="1" si="57"/>
        <v>#REF!</v>
      </c>
      <c r="PH15" s="24" t="e">
        <f t="shared" ca="1" si="57"/>
        <v>#REF!</v>
      </c>
      <c r="PI15" s="24" t="e">
        <f t="shared" ca="1" si="57"/>
        <v>#REF!</v>
      </c>
      <c r="PJ15" s="24" t="e">
        <f t="shared" ca="1" si="58"/>
        <v>#REF!</v>
      </c>
      <c r="PK15" s="24" t="e">
        <f t="shared" ca="1" si="58"/>
        <v>#REF!</v>
      </c>
      <c r="PL15" s="24" t="e">
        <f t="shared" ca="1" si="58"/>
        <v>#REF!</v>
      </c>
      <c r="PM15" s="24" t="e">
        <f t="shared" ca="1" si="58"/>
        <v>#REF!</v>
      </c>
      <c r="PN15" s="24" t="e">
        <f t="shared" ca="1" si="58"/>
        <v>#REF!</v>
      </c>
      <c r="PO15" s="24" t="e">
        <f t="shared" ca="1" si="58"/>
        <v>#REF!</v>
      </c>
      <c r="PP15" s="24" t="e">
        <f t="shared" ca="1" si="58"/>
        <v>#REF!</v>
      </c>
      <c r="PQ15" s="24" t="e">
        <f t="shared" ca="1" si="58"/>
        <v>#REF!</v>
      </c>
      <c r="PR15" s="24" t="e">
        <f t="shared" ca="1" si="58"/>
        <v>#REF!</v>
      </c>
      <c r="PS15" s="24" t="e">
        <f t="shared" ca="1" si="58"/>
        <v>#REF!</v>
      </c>
      <c r="PT15" s="24" t="e">
        <f t="shared" ca="1" si="58"/>
        <v>#REF!</v>
      </c>
      <c r="PU15" s="24" t="e">
        <f t="shared" ca="1" si="58"/>
        <v>#REF!</v>
      </c>
      <c r="PV15" s="24" t="e">
        <f t="shared" ca="1" si="58"/>
        <v>#REF!</v>
      </c>
      <c r="PW15" s="24" t="e">
        <f t="shared" ca="1" si="58"/>
        <v>#REF!</v>
      </c>
      <c r="PX15" s="24" t="e">
        <f t="shared" ca="1" si="58"/>
        <v>#REF!</v>
      </c>
      <c r="PY15" s="24" t="e">
        <f t="shared" ca="1" si="58"/>
        <v>#REF!</v>
      </c>
      <c r="PZ15" s="24" t="e">
        <f t="shared" ca="1" si="59"/>
        <v>#REF!</v>
      </c>
      <c r="QA15" s="24" t="e">
        <f t="shared" ca="1" si="59"/>
        <v>#REF!</v>
      </c>
      <c r="QB15" s="24" t="e">
        <f t="shared" ca="1" si="59"/>
        <v>#REF!</v>
      </c>
      <c r="QC15" s="24" t="e">
        <f t="shared" ca="1" si="59"/>
        <v>#REF!</v>
      </c>
      <c r="QD15" s="24" t="e">
        <f t="shared" ca="1" si="59"/>
        <v>#REF!</v>
      </c>
      <c r="QE15" s="24" t="e">
        <f t="shared" ca="1" si="59"/>
        <v>#REF!</v>
      </c>
      <c r="QF15" s="24" t="e">
        <f t="shared" ca="1" si="59"/>
        <v>#REF!</v>
      </c>
      <c r="QG15" s="24" t="e">
        <f t="shared" ca="1" si="59"/>
        <v>#REF!</v>
      </c>
      <c r="QH15" s="24" t="e">
        <f t="shared" ca="1" si="59"/>
        <v>#REF!</v>
      </c>
      <c r="QI15" s="24" t="e">
        <f t="shared" ca="1" si="59"/>
        <v>#REF!</v>
      </c>
      <c r="QJ15" s="24" t="e">
        <f t="shared" ca="1" si="59"/>
        <v>#REF!</v>
      </c>
      <c r="QK15" s="24" t="e">
        <f t="shared" ca="1" si="59"/>
        <v>#REF!</v>
      </c>
      <c r="QL15" s="24" t="e">
        <f t="shared" ca="1" si="59"/>
        <v>#REF!</v>
      </c>
      <c r="QM15" s="24" t="e">
        <f t="shared" ca="1" si="59"/>
        <v>#REF!</v>
      </c>
      <c r="QN15" s="24" t="e">
        <f t="shared" ca="1" si="59"/>
        <v>#REF!</v>
      </c>
      <c r="QO15" s="24" t="e">
        <f t="shared" ca="1" si="59"/>
        <v>#REF!</v>
      </c>
      <c r="QP15" s="24" t="e">
        <f t="shared" ca="1" si="60"/>
        <v>#REF!</v>
      </c>
      <c r="QQ15" s="24" t="e">
        <f t="shared" ca="1" si="60"/>
        <v>#REF!</v>
      </c>
      <c r="QR15" s="24" t="e">
        <f t="shared" ca="1" si="60"/>
        <v>#REF!</v>
      </c>
      <c r="QS15" s="24" t="e">
        <f t="shared" ca="1" si="60"/>
        <v>#REF!</v>
      </c>
      <c r="QT15" s="24" t="e">
        <f t="shared" ca="1" si="60"/>
        <v>#REF!</v>
      </c>
      <c r="QU15" s="24" t="e">
        <f t="shared" ca="1" si="60"/>
        <v>#REF!</v>
      </c>
      <c r="QV15" s="24" t="e">
        <f t="shared" ca="1" si="60"/>
        <v>#REF!</v>
      </c>
      <c r="QW15" s="24" t="e">
        <f t="shared" ca="1" si="60"/>
        <v>#REF!</v>
      </c>
      <c r="QX15" s="24" t="e">
        <f t="shared" ca="1" si="60"/>
        <v>#REF!</v>
      </c>
      <c r="QY15" s="24" t="e">
        <f t="shared" ca="1" si="60"/>
        <v>#REF!</v>
      </c>
      <c r="QZ15" s="24" t="e">
        <f t="shared" ca="1" si="60"/>
        <v>#REF!</v>
      </c>
      <c r="RA15" s="24" t="e">
        <f t="shared" ca="1" si="60"/>
        <v>#REF!</v>
      </c>
      <c r="RB15" s="24" t="e">
        <f t="shared" ca="1" si="60"/>
        <v>#REF!</v>
      </c>
      <c r="RC15" s="24" t="e">
        <f t="shared" ca="1" si="60"/>
        <v>#REF!</v>
      </c>
      <c r="RD15" s="24" t="e">
        <f t="shared" ca="1" si="60"/>
        <v>#REF!</v>
      </c>
      <c r="RE15" s="24" t="e">
        <f t="shared" ca="1" si="60"/>
        <v>#REF!</v>
      </c>
      <c r="RF15" s="24" t="e">
        <f t="shared" ca="1" si="61"/>
        <v>#REF!</v>
      </c>
      <c r="RG15" s="24" t="e">
        <f t="shared" ca="1" si="61"/>
        <v>#REF!</v>
      </c>
      <c r="RH15" s="24" t="e">
        <f t="shared" ca="1" si="61"/>
        <v>#REF!</v>
      </c>
      <c r="RI15" s="24" t="e">
        <f t="shared" ca="1" si="61"/>
        <v>#REF!</v>
      </c>
      <c r="RJ15" s="24" t="e">
        <f t="shared" ca="1" si="61"/>
        <v>#REF!</v>
      </c>
      <c r="RK15" s="24" t="e">
        <f t="shared" ca="1" si="61"/>
        <v>#REF!</v>
      </c>
      <c r="RL15" s="24" t="e">
        <f t="shared" ca="1" si="61"/>
        <v>#REF!</v>
      </c>
      <c r="RM15" s="24" t="e">
        <f t="shared" ca="1" si="61"/>
        <v>#REF!</v>
      </c>
      <c r="RN15" s="24" t="e">
        <f t="shared" ca="1" si="61"/>
        <v>#REF!</v>
      </c>
      <c r="RO15" s="24" t="e">
        <f t="shared" ca="1" si="61"/>
        <v>#REF!</v>
      </c>
      <c r="RP15" s="24" t="e">
        <f t="shared" ca="1" si="61"/>
        <v>#REF!</v>
      </c>
      <c r="RQ15" s="24" t="e">
        <f t="shared" ca="1" si="61"/>
        <v>#REF!</v>
      </c>
      <c r="RR15" s="24" t="e">
        <f t="shared" ca="1" si="61"/>
        <v>#REF!</v>
      </c>
      <c r="RS15" s="24" t="e">
        <f t="shared" ca="1" si="61"/>
        <v>#REF!</v>
      </c>
      <c r="RT15" s="24" t="e">
        <f t="shared" ca="1" si="61"/>
        <v>#REF!</v>
      </c>
      <c r="RU15" s="24" t="e">
        <f t="shared" ca="1" si="61"/>
        <v>#REF!</v>
      </c>
      <c r="RV15" s="24" t="e">
        <f t="shared" ca="1" si="62"/>
        <v>#REF!</v>
      </c>
      <c r="RW15" s="24" t="e">
        <f t="shared" ca="1" si="62"/>
        <v>#REF!</v>
      </c>
      <c r="RX15" s="24" t="e">
        <f t="shared" ca="1" si="62"/>
        <v>#REF!</v>
      </c>
      <c r="RY15" s="24" t="e">
        <f t="shared" ca="1" si="62"/>
        <v>#REF!</v>
      </c>
      <c r="RZ15" s="24" t="e">
        <f t="shared" ca="1" si="62"/>
        <v>#REF!</v>
      </c>
      <c r="SA15" s="24" t="e">
        <f t="shared" ca="1" si="62"/>
        <v>#REF!</v>
      </c>
      <c r="SB15" s="24" t="e">
        <f t="shared" ca="1" si="62"/>
        <v>#REF!</v>
      </c>
      <c r="SC15" s="24" t="e">
        <f t="shared" ca="1" si="62"/>
        <v>#REF!</v>
      </c>
      <c r="SD15" s="24" t="e">
        <f t="shared" ca="1" si="62"/>
        <v>#REF!</v>
      </c>
      <c r="SE15" s="24" t="e">
        <f t="shared" ca="1" si="62"/>
        <v>#REF!</v>
      </c>
      <c r="SF15" s="24" t="e">
        <f t="shared" ca="1" si="62"/>
        <v>#REF!</v>
      </c>
      <c r="SG15" s="24" t="e">
        <f t="shared" ca="1" si="62"/>
        <v>#REF!</v>
      </c>
      <c r="SH15" s="24" t="e">
        <f t="shared" ca="1" si="62"/>
        <v>#REF!</v>
      </c>
      <c r="SI15" s="24" t="e">
        <f t="shared" ca="1" si="62"/>
        <v>#REF!</v>
      </c>
      <c r="SJ15" s="24" t="e">
        <f t="shared" ca="1" si="62"/>
        <v>#REF!</v>
      </c>
      <c r="SK15" s="24" t="e">
        <f t="shared" ca="1" si="62"/>
        <v>#REF!</v>
      </c>
      <c r="SL15" s="24" t="e">
        <f t="shared" ca="1" si="63"/>
        <v>#REF!</v>
      </c>
      <c r="SM15" s="24" t="e">
        <f t="shared" ca="1" si="63"/>
        <v>#REF!</v>
      </c>
      <c r="SN15" s="24" t="e">
        <f t="shared" ca="1" si="63"/>
        <v>#REF!</v>
      </c>
      <c r="SO15" s="24" t="e">
        <f t="shared" ca="1" si="63"/>
        <v>#REF!</v>
      </c>
      <c r="SP15" s="24" t="e">
        <f t="shared" ca="1" si="63"/>
        <v>#REF!</v>
      </c>
      <c r="SQ15" s="24" t="e">
        <f t="shared" ca="1" si="63"/>
        <v>#REF!</v>
      </c>
      <c r="SR15" s="24" t="e">
        <f t="shared" ca="1" si="63"/>
        <v>#REF!</v>
      </c>
      <c r="SS15" s="24" t="e">
        <f t="shared" ca="1" si="63"/>
        <v>#REF!</v>
      </c>
      <c r="ST15" s="24" t="e">
        <f t="shared" ca="1" si="63"/>
        <v>#REF!</v>
      </c>
      <c r="SU15" s="24" t="e">
        <f t="shared" ca="1" si="63"/>
        <v>#REF!</v>
      </c>
      <c r="SV15" s="24" t="e">
        <f t="shared" ca="1" si="63"/>
        <v>#REF!</v>
      </c>
      <c r="SW15" s="24" t="e">
        <f t="shared" ca="1" si="63"/>
        <v>#REF!</v>
      </c>
      <c r="SX15" s="24" t="e">
        <f t="shared" ca="1" si="63"/>
        <v>#REF!</v>
      </c>
      <c r="SY15" s="24" t="e">
        <f t="shared" ca="1" si="63"/>
        <v>#REF!</v>
      </c>
      <c r="SZ15" s="24" t="e">
        <f t="shared" ca="1" si="63"/>
        <v>#REF!</v>
      </c>
      <c r="TA15" s="24" t="e">
        <f t="shared" ca="1" si="63"/>
        <v>#REF!</v>
      </c>
      <c r="TB15" s="24" t="e">
        <f t="shared" ca="1" si="64"/>
        <v>#REF!</v>
      </c>
      <c r="TC15" s="24" t="e">
        <f t="shared" ca="1" si="64"/>
        <v>#REF!</v>
      </c>
      <c r="TD15" s="24" t="e">
        <f t="shared" ca="1" si="64"/>
        <v>#REF!</v>
      </c>
      <c r="TE15" s="24" t="e">
        <f t="shared" ca="1" si="64"/>
        <v>#REF!</v>
      </c>
      <c r="TF15" s="24" t="e">
        <f t="shared" ca="1" si="64"/>
        <v>#REF!</v>
      </c>
      <c r="TG15" s="24" t="e">
        <f t="shared" ca="1" si="64"/>
        <v>#REF!</v>
      </c>
      <c r="TH15" s="24" t="e">
        <f t="shared" ca="1" si="64"/>
        <v>#REF!</v>
      </c>
      <c r="TI15" s="24" t="e">
        <f t="shared" ca="1" si="64"/>
        <v>#REF!</v>
      </c>
      <c r="TJ15" s="24" t="e">
        <f t="shared" ca="1" si="64"/>
        <v>#REF!</v>
      </c>
      <c r="TK15" s="24" t="e">
        <f t="shared" ca="1" si="64"/>
        <v>#REF!</v>
      </c>
      <c r="TL15" s="24" t="e">
        <f t="shared" ca="1" si="64"/>
        <v>#REF!</v>
      </c>
      <c r="TM15" s="24" t="e">
        <f t="shared" ca="1" si="64"/>
        <v>#REF!</v>
      </c>
      <c r="TN15" s="24" t="e">
        <f t="shared" ca="1" si="64"/>
        <v>#REF!</v>
      </c>
      <c r="TO15" s="24" t="e">
        <f t="shared" ca="1" si="64"/>
        <v>#REF!</v>
      </c>
      <c r="TP15" s="24" t="e">
        <f t="shared" ca="1" si="64"/>
        <v>#REF!</v>
      </c>
      <c r="TQ15" s="24" t="e">
        <f t="shared" ca="1" si="64"/>
        <v>#REF!</v>
      </c>
      <c r="TR15" s="24" t="e">
        <f t="shared" ca="1" si="65"/>
        <v>#REF!</v>
      </c>
      <c r="TS15" s="24" t="e">
        <f t="shared" ca="1" si="65"/>
        <v>#REF!</v>
      </c>
      <c r="TT15" s="24" t="e">
        <f t="shared" ca="1" si="65"/>
        <v>#REF!</v>
      </c>
      <c r="TU15" s="24" t="e">
        <f t="shared" ca="1" si="65"/>
        <v>#REF!</v>
      </c>
      <c r="TV15" s="24" t="e">
        <f t="shared" ca="1" si="65"/>
        <v>#REF!</v>
      </c>
      <c r="TW15" s="24" t="e">
        <f t="shared" ca="1" si="65"/>
        <v>#REF!</v>
      </c>
      <c r="TX15" s="24" t="e">
        <f t="shared" ca="1" si="65"/>
        <v>#REF!</v>
      </c>
      <c r="TY15" s="24" t="e">
        <f t="shared" ca="1" si="65"/>
        <v>#REF!</v>
      </c>
      <c r="TZ15" s="24" t="e">
        <f t="shared" ca="1" si="65"/>
        <v>#REF!</v>
      </c>
      <c r="UA15" s="24" t="e">
        <f t="shared" ca="1" si="65"/>
        <v>#REF!</v>
      </c>
      <c r="UB15" s="24" t="e">
        <f t="shared" ca="1" si="65"/>
        <v>#REF!</v>
      </c>
      <c r="UC15" s="24" t="e">
        <f t="shared" ca="1" si="65"/>
        <v>#REF!</v>
      </c>
      <c r="UD15" s="24" t="e">
        <f t="shared" ca="1" si="65"/>
        <v>#REF!</v>
      </c>
      <c r="UE15" s="24" t="e">
        <f t="shared" ca="1" si="65"/>
        <v>#REF!</v>
      </c>
      <c r="UF15" s="24" t="e">
        <f t="shared" ca="1" si="65"/>
        <v>#REF!</v>
      </c>
      <c r="UG15" s="24" t="e">
        <f t="shared" ca="1" si="65"/>
        <v>#REF!</v>
      </c>
      <c r="UH15" s="24" t="e">
        <f t="shared" ca="1" si="66"/>
        <v>#REF!</v>
      </c>
      <c r="UI15" s="24" t="e">
        <f t="shared" ca="1" si="66"/>
        <v>#REF!</v>
      </c>
      <c r="UJ15" s="24" t="e">
        <f t="shared" ca="1" si="66"/>
        <v>#REF!</v>
      </c>
      <c r="UK15" s="24" t="e">
        <f t="shared" ca="1" si="66"/>
        <v>#REF!</v>
      </c>
      <c r="UL15" s="24" t="e">
        <f t="shared" ca="1" si="66"/>
        <v>#REF!</v>
      </c>
      <c r="UM15" s="24" t="e">
        <f t="shared" ca="1" si="66"/>
        <v>#REF!</v>
      </c>
      <c r="UN15" s="24" t="e">
        <f t="shared" ca="1" si="66"/>
        <v>#REF!</v>
      </c>
      <c r="UO15" s="24" t="e">
        <f t="shared" ca="1" si="66"/>
        <v>#REF!</v>
      </c>
      <c r="UP15" s="24" t="e">
        <f t="shared" ca="1" si="66"/>
        <v>#REF!</v>
      </c>
      <c r="UQ15" s="24" t="e">
        <f t="shared" ca="1" si="66"/>
        <v>#REF!</v>
      </c>
      <c r="UR15" s="24" t="e">
        <f t="shared" ca="1" si="66"/>
        <v>#REF!</v>
      </c>
      <c r="US15" s="24" t="e">
        <f t="shared" ca="1" si="66"/>
        <v>#REF!</v>
      </c>
      <c r="UT15" s="24" t="e">
        <f t="shared" ca="1" si="66"/>
        <v>#REF!</v>
      </c>
      <c r="UU15" s="24" t="e">
        <f t="shared" ca="1" si="66"/>
        <v>#REF!</v>
      </c>
      <c r="UV15" s="24" t="e">
        <f t="shared" ca="1" si="66"/>
        <v>#REF!</v>
      </c>
      <c r="UW15" s="24" t="e">
        <f t="shared" ca="1" si="66"/>
        <v>#REF!</v>
      </c>
      <c r="UX15" s="24" t="e">
        <f t="shared" ca="1" si="67"/>
        <v>#REF!</v>
      </c>
      <c r="UY15" s="24" t="e">
        <f t="shared" ca="1" si="67"/>
        <v>#REF!</v>
      </c>
      <c r="UZ15" s="24" t="e">
        <f t="shared" ca="1" si="67"/>
        <v>#REF!</v>
      </c>
      <c r="VA15" s="24" t="e">
        <f t="shared" ca="1" si="67"/>
        <v>#REF!</v>
      </c>
      <c r="VB15" s="24" t="e">
        <f t="shared" ca="1" si="67"/>
        <v>#REF!</v>
      </c>
      <c r="VC15" s="24" t="e">
        <f t="shared" ca="1" si="67"/>
        <v>#REF!</v>
      </c>
      <c r="VD15" s="24" t="e">
        <f t="shared" ca="1" si="67"/>
        <v>#REF!</v>
      </c>
      <c r="VE15" s="24" t="e">
        <f t="shared" ca="1" si="67"/>
        <v>#REF!</v>
      </c>
      <c r="VF15" s="24" t="e">
        <f t="shared" ca="1" si="67"/>
        <v>#REF!</v>
      </c>
      <c r="VG15" s="24" t="e">
        <f t="shared" ca="1" si="67"/>
        <v>#REF!</v>
      </c>
      <c r="VH15" s="24" t="e">
        <f t="shared" ca="1" si="67"/>
        <v>#REF!</v>
      </c>
      <c r="VI15" s="24" t="e">
        <f t="shared" ca="1" si="67"/>
        <v>#REF!</v>
      </c>
      <c r="VJ15" s="24" t="e">
        <f t="shared" ca="1" si="67"/>
        <v>#REF!</v>
      </c>
      <c r="VK15" s="24" t="e">
        <f t="shared" ca="1" si="67"/>
        <v>#REF!</v>
      </c>
      <c r="VL15" s="24" t="e">
        <f t="shared" ca="1" si="67"/>
        <v>#REF!</v>
      </c>
      <c r="VM15" s="24" t="e">
        <f t="shared" ca="1" si="67"/>
        <v>#REF!</v>
      </c>
      <c r="VN15" s="24" t="e">
        <f t="shared" ca="1" si="68"/>
        <v>#REF!</v>
      </c>
      <c r="VO15" s="24" t="e">
        <f t="shared" ca="1" si="68"/>
        <v>#REF!</v>
      </c>
      <c r="VP15" s="24" t="e">
        <f t="shared" ca="1" si="68"/>
        <v>#REF!</v>
      </c>
      <c r="VQ15" s="24" t="e">
        <f t="shared" ca="1" si="68"/>
        <v>#REF!</v>
      </c>
      <c r="VR15" s="24" t="e">
        <f t="shared" ca="1" si="68"/>
        <v>#REF!</v>
      </c>
      <c r="VS15" s="24" t="e">
        <f t="shared" ca="1" si="68"/>
        <v>#REF!</v>
      </c>
    </row>
    <row r="16" spans="1:591" s="17" customFormat="1" ht="16.2" customHeight="1" x14ac:dyDescent="0.3">
      <c r="A16" s="81"/>
      <c r="B16" s="56" t="str">
        <f>'CoS Tracker'!$AK$7</f>
        <v>4. DoV Issue Date (Vendor)</v>
      </c>
      <c r="C16" s="19" t="s">
        <v>75</v>
      </c>
      <c r="D16" s="19"/>
      <c r="E16" s="27">
        <v>0.1</v>
      </c>
      <c r="F16" s="26" t="e">
        <f>'CoS Tracker'!#REF!</f>
        <v>#REF!</v>
      </c>
      <c r="G16" s="26" t="e">
        <f>'CoS Tracker'!#REF!</f>
        <v>#REF!</v>
      </c>
      <c r="H16" s="25" t="e">
        <f>Milestones43524[[#This Row],[End]]-Milestones43524[[#This Row],[Start]]</f>
        <v>#REF!</v>
      </c>
      <c r="I16" s="19"/>
      <c r="J16" s="74" t="e">
        <f t="shared" ca="1" si="32"/>
        <v>#REF!</v>
      </c>
      <c r="K16" s="74" t="e">
        <f t="shared" ca="1" si="32"/>
        <v>#REF!</v>
      </c>
      <c r="L16" s="74" t="e">
        <f t="shared" ca="1" si="32"/>
        <v>#REF!</v>
      </c>
      <c r="M16" s="74" t="e">
        <f t="shared" ca="1" si="32"/>
        <v>#REF!</v>
      </c>
      <c r="N16" s="74" t="e">
        <f t="shared" ca="1" si="32"/>
        <v>#REF!</v>
      </c>
      <c r="O16" s="74" t="e">
        <f t="shared" ca="1" si="32"/>
        <v>#REF!</v>
      </c>
      <c r="P16" s="74" t="e">
        <f t="shared" ca="1" si="32"/>
        <v>#REF!</v>
      </c>
      <c r="Q16" s="74" t="e">
        <f t="shared" ca="1" si="32"/>
        <v>#REF!</v>
      </c>
      <c r="R16" s="74" t="e">
        <f t="shared" ca="1" si="32"/>
        <v>#REF!</v>
      </c>
      <c r="S16" s="74" t="e">
        <f t="shared" ca="1" si="32"/>
        <v>#REF!</v>
      </c>
      <c r="T16" s="74" t="e">
        <f t="shared" ca="1" si="32"/>
        <v>#REF!</v>
      </c>
      <c r="U16" s="74" t="e">
        <f t="shared" ca="1" si="32"/>
        <v>#REF!</v>
      </c>
      <c r="V16" s="74" t="e">
        <f t="shared" ca="1" si="32"/>
        <v>#REF!</v>
      </c>
      <c r="W16" s="74" t="e">
        <f t="shared" ca="1" si="32"/>
        <v>#REF!</v>
      </c>
      <c r="X16" s="74" t="e">
        <f t="shared" ca="1" si="32"/>
        <v>#REF!</v>
      </c>
      <c r="Y16" s="74" t="e">
        <f t="shared" ca="1" si="32"/>
        <v>#REF!</v>
      </c>
      <c r="Z16" s="74" t="e">
        <f t="shared" ca="1" si="33"/>
        <v>#REF!</v>
      </c>
      <c r="AA16" s="74" t="e">
        <f t="shared" ca="1" si="33"/>
        <v>#REF!</v>
      </c>
      <c r="AB16" s="74" t="e">
        <f t="shared" ca="1" si="33"/>
        <v>#REF!</v>
      </c>
      <c r="AC16" s="74" t="e">
        <f t="shared" ca="1" si="33"/>
        <v>#REF!</v>
      </c>
      <c r="AD16" s="74" t="e">
        <f t="shared" ca="1" si="33"/>
        <v>#REF!</v>
      </c>
      <c r="AE16" s="74" t="e">
        <f t="shared" ca="1" si="33"/>
        <v>#REF!</v>
      </c>
      <c r="AF16" s="74" t="e">
        <f t="shared" ca="1" si="33"/>
        <v>#REF!</v>
      </c>
      <c r="AG16" s="74" t="e">
        <f t="shared" ca="1" si="33"/>
        <v>#REF!</v>
      </c>
      <c r="AH16" s="74" t="e">
        <f t="shared" ca="1" si="33"/>
        <v>#REF!</v>
      </c>
      <c r="AI16" s="74" t="e">
        <f t="shared" ca="1" si="33"/>
        <v>#REF!</v>
      </c>
      <c r="AJ16" s="74" t="e">
        <f t="shared" ca="1" si="33"/>
        <v>#REF!</v>
      </c>
      <c r="AK16" s="74" t="e">
        <f t="shared" ca="1" si="33"/>
        <v>#REF!</v>
      </c>
      <c r="AL16" s="74" t="e">
        <f t="shared" ca="1" si="33"/>
        <v>#REF!</v>
      </c>
      <c r="AM16" s="74" t="e">
        <f t="shared" ca="1" si="33"/>
        <v>#REF!</v>
      </c>
      <c r="AN16" s="74" t="e">
        <f t="shared" ca="1" si="33"/>
        <v>#REF!</v>
      </c>
      <c r="AO16" s="74" t="e">
        <f t="shared" ca="1" si="33"/>
        <v>#REF!</v>
      </c>
      <c r="AP16" s="74" t="e">
        <f t="shared" ca="1" si="34"/>
        <v>#REF!</v>
      </c>
      <c r="AQ16" s="74" t="e">
        <f t="shared" ca="1" si="34"/>
        <v>#REF!</v>
      </c>
      <c r="AR16" s="74" t="e">
        <f t="shared" ca="1" si="34"/>
        <v>#REF!</v>
      </c>
      <c r="AS16" s="74" t="e">
        <f t="shared" ca="1" si="34"/>
        <v>#REF!</v>
      </c>
      <c r="AT16" s="74" t="e">
        <f t="shared" ca="1" si="34"/>
        <v>#REF!</v>
      </c>
      <c r="AU16" s="74" t="e">
        <f t="shared" ca="1" si="34"/>
        <v>#REF!</v>
      </c>
      <c r="AV16" s="74" t="e">
        <f t="shared" ca="1" si="34"/>
        <v>#REF!</v>
      </c>
      <c r="AW16" s="74" t="e">
        <f t="shared" ca="1" si="34"/>
        <v>#REF!</v>
      </c>
      <c r="AX16" s="74" t="e">
        <f t="shared" ca="1" si="34"/>
        <v>#REF!</v>
      </c>
      <c r="AY16" s="74" t="e">
        <f t="shared" ca="1" si="34"/>
        <v>#REF!</v>
      </c>
      <c r="AZ16" s="74" t="e">
        <f t="shared" ca="1" si="34"/>
        <v>#REF!</v>
      </c>
      <c r="BA16" s="74" t="e">
        <f t="shared" ca="1" si="34"/>
        <v>#REF!</v>
      </c>
      <c r="BB16" s="74" t="e">
        <f t="shared" ca="1" si="34"/>
        <v>#REF!</v>
      </c>
      <c r="BC16" s="74" t="e">
        <f t="shared" ca="1" si="34"/>
        <v>#REF!</v>
      </c>
      <c r="BD16" s="74" t="e">
        <f t="shared" ca="1" si="34"/>
        <v>#REF!</v>
      </c>
      <c r="BE16" s="74" t="e">
        <f t="shared" ca="1" si="34"/>
        <v>#REF!</v>
      </c>
      <c r="BF16" s="74" t="e">
        <f t="shared" ca="1" si="35"/>
        <v>#REF!</v>
      </c>
      <c r="BG16" s="74" t="e">
        <f t="shared" ca="1" si="35"/>
        <v>#REF!</v>
      </c>
      <c r="BH16" s="74" t="e">
        <f t="shared" ca="1" si="35"/>
        <v>#REF!</v>
      </c>
      <c r="BI16" s="74" t="e">
        <f t="shared" ca="1" si="35"/>
        <v>#REF!</v>
      </c>
      <c r="BJ16" s="74" t="e">
        <f t="shared" ca="1" si="35"/>
        <v>#REF!</v>
      </c>
      <c r="BK16" s="74" t="e">
        <f t="shared" ca="1" si="35"/>
        <v>#REF!</v>
      </c>
      <c r="BL16" s="74" t="e">
        <f t="shared" ca="1" si="35"/>
        <v>#REF!</v>
      </c>
      <c r="BM16" s="74" t="e">
        <f t="shared" ca="1" si="35"/>
        <v>#REF!</v>
      </c>
      <c r="BN16" s="74" t="e">
        <f t="shared" ca="1" si="35"/>
        <v>#REF!</v>
      </c>
      <c r="BO16" s="74" t="e">
        <f t="shared" ca="1" si="35"/>
        <v>#REF!</v>
      </c>
      <c r="BP16" s="74" t="e">
        <f t="shared" ca="1" si="35"/>
        <v>#REF!</v>
      </c>
      <c r="BQ16" s="74" t="e">
        <f t="shared" ca="1" si="35"/>
        <v>#REF!</v>
      </c>
      <c r="BR16" s="74" t="e">
        <f t="shared" ca="1" si="35"/>
        <v>#REF!</v>
      </c>
      <c r="BS16" s="74" t="e">
        <f t="shared" ca="1" si="35"/>
        <v>#REF!</v>
      </c>
      <c r="BT16" s="74" t="e">
        <f t="shared" ca="1" si="35"/>
        <v>#REF!</v>
      </c>
      <c r="BU16" s="74" t="e">
        <f t="shared" ca="1" si="35"/>
        <v>#REF!</v>
      </c>
      <c r="BV16" s="74" t="e">
        <f t="shared" ca="1" si="36"/>
        <v>#REF!</v>
      </c>
      <c r="BW16" s="74" t="e">
        <f t="shared" ca="1" si="36"/>
        <v>#REF!</v>
      </c>
      <c r="BX16" s="74" t="e">
        <f t="shared" ca="1" si="36"/>
        <v>#REF!</v>
      </c>
      <c r="BY16" s="74" t="e">
        <f t="shared" ca="1" si="36"/>
        <v>#REF!</v>
      </c>
      <c r="BZ16" s="74" t="e">
        <f t="shared" ca="1" si="36"/>
        <v>#REF!</v>
      </c>
      <c r="CA16" s="74" t="e">
        <f t="shared" ca="1" si="36"/>
        <v>#REF!</v>
      </c>
      <c r="CB16" s="74" t="e">
        <f t="shared" ca="1" si="36"/>
        <v>#REF!</v>
      </c>
      <c r="CC16" s="74" t="e">
        <f t="shared" ca="1" si="36"/>
        <v>#REF!</v>
      </c>
      <c r="CD16" s="74" t="e">
        <f t="shared" ca="1" si="36"/>
        <v>#REF!</v>
      </c>
      <c r="CE16" s="74" t="e">
        <f t="shared" ca="1" si="36"/>
        <v>#REF!</v>
      </c>
      <c r="CF16" s="74" t="e">
        <f t="shared" ca="1" si="36"/>
        <v>#REF!</v>
      </c>
      <c r="CG16" s="74" t="e">
        <f t="shared" ca="1" si="36"/>
        <v>#REF!</v>
      </c>
      <c r="CH16" s="74" t="e">
        <f t="shared" ca="1" si="36"/>
        <v>#REF!</v>
      </c>
      <c r="CI16" s="74" t="e">
        <f t="shared" ca="1" si="36"/>
        <v>#REF!</v>
      </c>
      <c r="CJ16" s="74" t="e">
        <f t="shared" ca="1" si="36"/>
        <v>#REF!</v>
      </c>
      <c r="CK16" s="74" t="e">
        <f t="shared" ca="1" si="36"/>
        <v>#REF!</v>
      </c>
      <c r="CL16" s="74" t="e">
        <f t="shared" ca="1" si="37"/>
        <v>#REF!</v>
      </c>
      <c r="CM16" s="74" t="e">
        <f t="shared" ca="1" si="37"/>
        <v>#REF!</v>
      </c>
      <c r="CN16" s="74" t="e">
        <f t="shared" ca="1" si="37"/>
        <v>#REF!</v>
      </c>
      <c r="CO16" s="74" t="e">
        <f t="shared" ca="1" si="37"/>
        <v>#REF!</v>
      </c>
      <c r="CP16" s="74" t="e">
        <f t="shared" ca="1" si="37"/>
        <v>#REF!</v>
      </c>
      <c r="CQ16" s="74" t="e">
        <f t="shared" ca="1" si="37"/>
        <v>#REF!</v>
      </c>
      <c r="CR16" s="74" t="e">
        <f t="shared" ca="1" si="37"/>
        <v>#REF!</v>
      </c>
      <c r="CS16" s="74" t="e">
        <f t="shared" ca="1" si="37"/>
        <v>#REF!</v>
      </c>
      <c r="CT16" s="74" t="e">
        <f t="shared" ca="1" si="37"/>
        <v>#REF!</v>
      </c>
      <c r="CU16" s="74" t="e">
        <f t="shared" ca="1" si="37"/>
        <v>#REF!</v>
      </c>
      <c r="CV16" s="74" t="e">
        <f t="shared" ca="1" si="37"/>
        <v>#REF!</v>
      </c>
      <c r="CW16" s="74" t="e">
        <f t="shared" ca="1" si="37"/>
        <v>#REF!</v>
      </c>
      <c r="CX16" s="74" t="e">
        <f t="shared" ca="1" si="37"/>
        <v>#REF!</v>
      </c>
      <c r="CY16" s="74" t="e">
        <f t="shared" ca="1" si="37"/>
        <v>#REF!</v>
      </c>
      <c r="CZ16" s="74" t="e">
        <f t="shared" ca="1" si="37"/>
        <v>#REF!</v>
      </c>
      <c r="DA16" s="74" t="e">
        <f t="shared" ca="1" si="37"/>
        <v>#REF!</v>
      </c>
      <c r="DB16" s="74" t="e">
        <f t="shared" ca="1" si="38"/>
        <v>#REF!</v>
      </c>
      <c r="DC16" s="74" t="e">
        <f t="shared" ca="1" si="38"/>
        <v>#REF!</v>
      </c>
      <c r="DD16" s="74" t="e">
        <f t="shared" ca="1" si="38"/>
        <v>#REF!</v>
      </c>
      <c r="DE16" s="74" t="e">
        <f t="shared" ca="1" si="38"/>
        <v>#REF!</v>
      </c>
      <c r="DF16" s="74" t="e">
        <f t="shared" ca="1" si="38"/>
        <v>#REF!</v>
      </c>
      <c r="DG16" s="74" t="e">
        <f t="shared" ca="1" si="38"/>
        <v>#REF!</v>
      </c>
      <c r="DH16" s="74" t="e">
        <f t="shared" ca="1" si="38"/>
        <v>#REF!</v>
      </c>
      <c r="DI16" s="74" t="e">
        <f t="shared" ca="1" si="38"/>
        <v>#REF!</v>
      </c>
      <c r="DJ16" s="74" t="e">
        <f t="shared" ca="1" si="38"/>
        <v>#REF!</v>
      </c>
      <c r="DK16" s="74" t="e">
        <f t="shared" ca="1" si="38"/>
        <v>#REF!</v>
      </c>
      <c r="DL16" s="74" t="e">
        <f t="shared" ca="1" si="38"/>
        <v>#REF!</v>
      </c>
      <c r="DM16" s="74" t="e">
        <f t="shared" ca="1" si="38"/>
        <v>#REF!</v>
      </c>
      <c r="DN16" s="74" t="e">
        <f t="shared" ca="1" si="38"/>
        <v>#REF!</v>
      </c>
      <c r="DO16" s="74" t="e">
        <f t="shared" ca="1" si="38"/>
        <v>#REF!</v>
      </c>
      <c r="DP16" s="74" t="e">
        <f t="shared" ca="1" si="38"/>
        <v>#REF!</v>
      </c>
      <c r="DQ16" s="74" t="e">
        <f t="shared" ca="1" si="38"/>
        <v>#REF!</v>
      </c>
      <c r="DR16" s="74" t="e">
        <f t="shared" ca="1" si="39"/>
        <v>#REF!</v>
      </c>
      <c r="DS16" s="74" t="e">
        <f t="shared" ca="1" si="39"/>
        <v>#REF!</v>
      </c>
      <c r="DT16" s="74" t="e">
        <f t="shared" ca="1" si="39"/>
        <v>#REF!</v>
      </c>
      <c r="DU16" s="74" t="e">
        <f t="shared" ca="1" si="39"/>
        <v>#REF!</v>
      </c>
      <c r="DV16" s="74" t="e">
        <f t="shared" ca="1" si="39"/>
        <v>#REF!</v>
      </c>
      <c r="DW16" s="74" t="e">
        <f t="shared" ca="1" si="39"/>
        <v>#REF!</v>
      </c>
      <c r="DX16" s="74" t="e">
        <f t="shared" ca="1" si="39"/>
        <v>#REF!</v>
      </c>
      <c r="DY16" s="74" t="e">
        <f t="shared" ca="1" si="39"/>
        <v>#REF!</v>
      </c>
      <c r="DZ16" s="74" t="e">
        <f t="shared" ca="1" si="39"/>
        <v>#REF!</v>
      </c>
      <c r="EA16" s="74" t="e">
        <f t="shared" ca="1" si="39"/>
        <v>#REF!</v>
      </c>
      <c r="EB16" s="74" t="e">
        <f t="shared" ca="1" si="39"/>
        <v>#REF!</v>
      </c>
      <c r="EC16" s="74" t="e">
        <f t="shared" ca="1" si="39"/>
        <v>#REF!</v>
      </c>
      <c r="ED16" s="74" t="e">
        <f t="shared" ca="1" si="39"/>
        <v>#REF!</v>
      </c>
      <c r="EE16" s="74" t="e">
        <f t="shared" ca="1" si="39"/>
        <v>#REF!</v>
      </c>
      <c r="EF16" s="74" t="e">
        <f t="shared" ca="1" si="39"/>
        <v>#REF!</v>
      </c>
      <c r="EG16" s="74" t="e">
        <f t="shared" ca="1" si="39"/>
        <v>#REF!</v>
      </c>
      <c r="EH16" s="74" t="e">
        <f t="shared" ca="1" si="40"/>
        <v>#REF!</v>
      </c>
      <c r="EI16" s="74" t="e">
        <f t="shared" ca="1" si="40"/>
        <v>#REF!</v>
      </c>
      <c r="EJ16" s="74" t="e">
        <f t="shared" ca="1" si="40"/>
        <v>#REF!</v>
      </c>
      <c r="EK16" s="74" t="e">
        <f t="shared" ca="1" si="40"/>
        <v>#REF!</v>
      </c>
      <c r="EL16" s="74" t="e">
        <f t="shared" ca="1" si="40"/>
        <v>#REF!</v>
      </c>
      <c r="EM16" s="74" t="e">
        <f t="shared" ca="1" si="40"/>
        <v>#REF!</v>
      </c>
      <c r="EN16" s="74" t="e">
        <f t="shared" ca="1" si="40"/>
        <v>#REF!</v>
      </c>
      <c r="EO16" s="74" t="e">
        <f t="shared" ca="1" si="40"/>
        <v>#REF!</v>
      </c>
      <c r="EP16" s="74" t="e">
        <f t="shared" ca="1" si="40"/>
        <v>#REF!</v>
      </c>
      <c r="EQ16" s="74" t="e">
        <f t="shared" ca="1" si="40"/>
        <v>#REF!</v>
      </c>
      <c r="ER16" s="74" t="e">
        <f t="shared" ca="1" si="40"/>
        <v>#REF!</v>
      </c>
      <c r="ES16" s="74" t="e">
        <f t="shared" ca="1" si="40"/>
        <v>#REF!</v>
      </c>
      <c r="ET16" s="74" t="e">
        <f t="shared" ca="1" si="40"/>
        <v>#REF!</v>
      </c>
      <c r="EU16" s="74" t="e">
        <f t="shared" ca="1" si="40"/>
        <v>#REF!</v>
      </c>
      <c r="EV16" s="74" t="e">
        <f t="shared" ca="1" si="40"/>
        <v>#REF!</v>
      </c>
      <c r="EW16" s="74" t="e">
        <f t="shared" ca="1" si="40"/>
        <v>#REF!</v>
      </c>
      <c r="EX16" s="74" t="e">
        <f t="shared" ca="1" si="41"/>
        <v>#REF!</v>
      </c>
      <c r="EY16" s="74" t="e">
        <f t="shared" ca="1" si="41"/>
        <v>#REF!</v>
      </c>
      <c r="EZ16" s="74" t="e">
        <f t="shared" ca="1" si="41"/>
        <v>#REF!</v>
      </c>
      <c r="FA16" s="74" t="e">
        <f t="shared" ca="1" si="41"/>
        <v>#REF!</v>
      </c>
      <c r="FB16" s="74" t="e">
        <f t="shared" ca="1" si="41"/>
        <v>#REF!</v>
      </c>
      <c r="FC16" s="74" t="e">
        <f t="shared" ca="1" si="41"/>
        <v>#REF!</v>
      </c>
      <c r="FD16" s="74" t="e">
        <f t="shared" ca="1" si="41"/>
        <v>#REF!</v>
      </c>
      <c r="FE16" s="74" t="e">
        <f t="shared" ca="1" si="41"/>
        <v>#REF!</v>
      </c>
      <c r="FF16" s="74" t="e">
        <f t="shared" ca="1" si="41"/>
        <v>#REF!</v>
      </c>
      <c r="FG16" s="74" t="e">
        <f t="shared" ca="1" si="41"/>
        <v>#REF!</v>
      </c>
      <c r="FH16" s="74" t="e">
        <f t="shared" ca="1" si="41"/>
        <v>#REF!</v>
      </c>
      <c r="FI16" s="74" t="e">
        <f t="shared" ca="1" si="41"/>
        <v>#REF!</v>
      </c>
      <c r="FJ16" s="74" t="e">
        <f t="shared" ca="1" si="41"/>
        <v>#REF!</v>
      </c>
      <c r="FK16" s="74" t="e">
        <f t="shared" ca="1" si="41"/>
        <v>#REF!</v>
      </c>
      <c r="FL16" s="74" t="e">
        <f t="shared" ca="1" si="41"/>
        <v>#REF!</v>
      </c>
      <c r="FM16" s="74" t="e">
        <f t="shared" ca="1" si="41"/>
        <v>#REF!</v>
      </c>
      <c r="FN16" s="74" t="e">
        <f t="shared" ca="1" si="42"/>
        <v>#REF!</v>
      </c>
      <c r="FO16" s="74" t="e">
        <f t="shared" ca="1" si="42"/>
        <v>#REF!</v>
      </c>
      <c r="FP16" s="74" t="e">
        <f t="shared" ca="1" si="42"/>
        <v>#REF!</v>
      </c>
      <c r="FQ16" s="74" t="e">
        <f t="shared" ca="1" si="42"/>
        <v>#REF!</v>
      </c>
      <c r="FR16" s="74" t="e">
        <f t="shared" ca="1" si="42"/>
        <v>#REF!</v>
      </c>
      <c r="FS16" s="74" t="e">
        <f t="shared" ca="1" si="42"/>
        <v>#REF!</v>
      </c>
      <c r="FT16" s="74" t="e">
        <f t="shared" ca="1" si="42"/>
        <v>#REF!</v>
      </c>
      <c r="FU16" s="74" t="e">
        <f t="shared" ca="1" si="42"/>
        <v>#REF!</v>
      </c>
      <c r="FV16" s="74" t="e">
        <f t="shared" ca="1" si="42"/>
        <v>#REF!</v>
      </c>
      <c r="FW16" s="74" t="e">
        <f t="shared" ca="1" si="42"/>
        <v>#REF!</v>
      </c>
      <c r="FX16" s="74" t="e">
        <f t="shared" ca="1" si="42"/>
        <v>#REF!</v>
      </c>
      <c r="FY16" s="74" t="e">
        <f t="shared" ca="1" si="42"/>
        <v>#REF!</v>
      </c>
      <c r="FZ16" s="74" t="e">
        <f t="shared" ca="1" si="42"/>
        <v>#REF!</v>
      </c>
      <c r="GA16" s="74" t="e">
        <f t="shared" ca="1" si="42"/>
        <v>#REF!</v>
      </c>
      <c r="GB16" s="74" t="e">
        <f t="shared" ca="1" si="42"/>
        <v>#REF!</v>
      </c>
      <c r="GC16" s="74" t="e">
        <f t="shared" ca="1" si="42"/>
        <v>#REF!</v>
      </c>
      <c r="GD16" s="74" t="e">
        <f t="shared" ca="1" si="43"/>
        <v>#REF!</v>
      </c>
      <c r="GE16" s="74" t="e">
        <f t="shared" ca="1" si="43"/>
        <v>#REF!</v>
      </c>
      <c r="GF16" s="74" t="e">
        <f t="shared" ca="1" si="43"/>
        <v>#REF!</v>
      </c>
      <c r="GG16" s="74" t="e">
        <f t="shared" ca="1" si="43"/>
        <v>#REF!</v>
      </c>
      <c r="GH16" s="74" t="e">
        <f t="shared" ca="1" si="43"/>
        <v>#REF!</v>
      </c>
      <c r="GI16" s="74" t="e">
        <f t="shared" ca="1" si="43"/>
        <v>#REF!</v>
      </c>
      <c r="GJ16" s="74" t="e">
        <f t="shared" ca="1" si="43"/>
        <v>#REF!</v>
      </c>
      <c r="GK16" s="74" t="e">
        <f t="shared" ca="1" si="43"/>
        <v>#REF!</v>
      </c>
      <c r="GL16" s="74" t="e">
        <f t="shared" ca="1" si="43"/>
        <v>#REF!</v>
      </c>
      <c r="GM16" s="74" t="e">
        <f t="shared" ca="1" si="43"/>
        <v>#REF!</v>
      </c>
      <c r="GN16" s="74" t="e">
        <f t="shared" ca="1" si="43"/>
        <v>#REF!</v>
      </c>
      <c r="GO16" s="74" t="e">
        <f t="shared" ca="1" si="43"/>
        <v>#REF!</v>
      </c>
      <c r="GP16" s="74" t="e">
        <f t="shared" ca="1" si="43"/>
        <v>#REF!</v>
      </c>
      <c r="GQ16" s="74" t="e">
        <f t="shared" ca="1" si="43"/>
        <v>#REF!</v>
      </c>
      <c r="GR16" s="74" t="e">
        <f t="shared" ca="1" si="43"/>
        <v>#REF!</v>
      </c>
      <c r="GS16" s="74" t="e">
        <f t="shared" ca="1" si="43"/>
        <v>#REF!</v>
      </c>
      <c r="GT16" s="74" t="e">
        <f t="shared" ca="1" si="44"/>
        <v>#REF!</v>
      </c>
      <c r="GU16" s="74" t="e">
        <f t="shared" ca="1" si="44"/>
        <v>#REF!</v>
      </c>
      <c r="GV16" s="74" t="e">
        <f t="shared" ca="1" si="44"/>
        <v>#REF!</v>
      </c>
      <c r="GW16" s="74" t="e">
        <f t="shared" ca="1" si="44"/>
        <v>#REF!</v>
      </c>
      <c r="GX16" s="74" t="e">
        <f t="shared" ca="1" si="44"/>
        <v>#REF!</v>
      </c>
      <c r="GY16" s="74" t="e">
        <f t="shared" ca="1" si="44"/>
        <v>#REF!</v>
      </c>
      <c r="GZ16" s="74" t="e">
        <f t="shared" ca="1" si="44"/>
        <v>#REF!</v>
      </c>
      <c r="HA16" s="74" t="e">
        <f t="shared" ca="1" si="44"/>
        <v>#REF!</v>
      </c>
      <c r="HB16" s="74" t="e">
        <f t="shared" ca="1" si="44"/>
        <v>#REF!</v>
      </c>
      <c r="HC16" s="74" t="e">
        <f t="shared" ca="1" si="44"/>
        <v>#REF!</v>
      </c>
      <c r="HD16" s="74" t="e">
        <f t="shared" ca="1" si="44"/>
        <v>#REF!</v>
      </c>
      <c r="HE16" s="74" t="e">
        <f t="shared" ca="1" si="44"/>
        <v>#REF!</v>
      </c>
      <c r="HF16" s="74" t="e">
        <f t="shared" ca="1" si="44"/>
        <v>#REF!</v>
      </c>
      <c r="HG16" s="74" t="e">
        <f t="shared" ca="1" si="44"/>
        <v>#REF!</v>
      </c>
      <c r="HH16" s="74" t="e">
        <f t="shared" ca="1" si="44"/>
        <v>#REF!</v>
      </c>
      <c r="HI16" s="74" t="e">
        <f t="shared" ca="1" si="44"/>
        <v>#REF!</v>
      </c>
      <c r="HJ16" s="74" t="e">
        <f t="shared" ca="1" si="45"/>
        <v>#REF!</v>
      </c>
      <c r="HK16" s="74" t="e">
        <f t="shared" ca="1" si="45"/>
        <v>#REF!</v>
      </c>
      <c r="HL16" s="74" t="e">
        <f t="shared" ca="1" si="45"/>
        <v>#REF!</v>
      </c>
      <c r="HM16" s="74" t="e">
        <f t="shared" ca="1" si="45"/>
        <v>#REF!</v>
      </c>
      <c r="HN16" s="74" t="e">
        <f t="shared" ca="1" si="45"/>
        <v>#REF!</v>
      </c>
      <c r="HO16" s="74" t="e">
        <f t="shared" ca="1" si="45"/>
        <v>#REF!</v>
      </c>
      <c r="HP16" s="74" t="e">
        <f t="shared" ca="1" si="45"/>
        <v>#REF!</v>
      </c>
      <c r="HQ16" s="74" t="e">
        <f t="shared" ca="1" si="45"/>
        <v>#REF!</v>
      </c>
      <c r="HR16" s="74" t="e">
        <f t="shared" ca="1" si="45"/>
        <v>#REF!</v>
      </c>
      <c r="HS16" s="74" t="e">
        <f t="shared" ca="1" si="45"/>
        <v>#REF!</v>
      </c>
      <c r="HT16" s="74" t="e">
        <f t="shared" ca="1" si="45"/>
        <v>#REF!</v>
      </c>
      <c r="HU16" s="74" t="e">
        <f t="shared" ca="1" si="45"/>
        <v>#REF!</v>
      </c>
      <c r="HV16" s="74" t="e">
        <f t="shared" ca="1" si="45"/>
        <v>#REF!</v>
      </c>
      <c r="HW16" s="74" t="e">
        <f t="shared" ca="1" si="45"/>
        <v>#REF!</v>
      </c>
      <c r="HX16" s="74" t="e">
        <f t="shared" ca="1" si="45"/>
        <v>#REF!</v>
      </c>
      <c r="HY16" s="74" t="e">
        <f t="shared" ca="1" si="45"/>
        <v>#REF!</v>
      </c>
      <c r="HZ16" s="74" t="e">
        <f t="shared" ca="1" si="46"/>
        <v>#REF!</v>
      </c>
      <c r="IA16" s="74" t="e">
        <f t="shared" ca="1" si="46"/>
        <v>#REF!</v>
      </c>
      <c r="IB16" s="74" t="e">
        <f t="shared" ca="1" si="46"/>
        <v>#REF!</v>
      </c>
      <c r="IC16" s="74" t="e">
        <f t="shared" ca="1" si="46"/>
        <v>#REF!</v>
      </c>
      <c r="ID16" s="74" t="e">
        <f t="shared" ca="1" si="46"/>
        <v>#REF!</v>
      </c>
      <c r="IE16" s="74" t="e">
        <f t="shared" ca="1" si="46"/>
        <v>#REF!</v>
      </c>
      <c r="IF16" s="74" t="e">
        <f t="shared" ca="1" si="46"/>
        <v>#REF!</v>
      </c>
      <c r="IG16" s="74" t="e">
        <f t="shared" ca="1" si="46"/>
        <v>#REF!</v>
      </c>
      <c r="IH16" s="74" t="e">
        <f t="shared" ca="1" si="46"/>
        <v>#REF!</v>
      </c>
      <c r="II16" s="74" t="e">
        <f t="shared" ca="1" si="46"/>
        <v>#REF!</v>
      </c>
      <c r="IJ16" s="74" t="e">
        <f t="shared" ca="1" si="46"/>
        <v>#REF!</v>
      </c>
      <c r="IK16" s="74" t="e">
        <f t="shared" ca="1" si="46"/>
        <v>#REF!</v>
      </c>
      <c r="IL16" s="74" t="e">
        <f t="shared" ca="1" si="46"/>
        <v>#REF!</v>
      </c>
      <c r="IM16" s="74" t="e">
        <f t="shared" ca="1" si="46"/>
        <v>#REF!</v>
      </c>
      <c r="IN16" s="74" t="e">
        <f t="shared" ca="1" si="46"/>
        <v>#REF!</v>
      </c>
      <c r="IO16" s="74" t="e">
        <f t="shared" ca="1" si="46"/>
        <v>#REF!</v>
      </c>
      <c r="IP16" s="74" t="e">
        <f t="shared" ca="1" si="47"/>
        <v>#REF!</v>
      </c>
      <c r="IQ16" s="74" t="e">
        <f t="shared" ca="1" si="47"/>
        <v>#REF!</v>
      </c>
      <c r="IR16" s="74" t="e">
        <f t="shared" ca="1" si="47"/>
        <v>#REF!</v>
      </c>
      <c r="IS16" s="74" t="e">
        <f t="shared" ca="1" si="47"/>
        <v>#REF!</v>
      </c>
      <c r="IT16" s="74" t="e">
        <f t="shared" ca="1" si="47"/>
        <v>#REF!</v>
      </c>
      <c r="IU16" s="74" t="e">
        <f t="shared" ca="1" si="47"/>
        <v>#REF!</v>
      </c>
      <c r="IV16" s="74" t="e">
        <f t="shared" ca="1" si="47"/>
        <v>#REF!</v>
      </c>
      <c r="IW16" s="74" t="e">
        <f t="shared" ca="1" si="47"/>
        <v>#REF!</v>
      </c>
      <c r="IX16" s="74" t="e">
        <f t="shared" ca="1" si="47"/>
        <v>#REF!</v>
      </c>
      <c r="IY16" s="74" t="e">
        <f t="shared" ca="1" si="47"/>
        <v>#REF!</v>
      </c>
      <c r="IZ16" s="74" t="e">
        <f t="shared" ca="1" si="47"/>
        <v>#REF!</v>
      </c>
      <c r="JA16" s="74" t="e">
        <f t="shared" ca="1" si="47"/>
        <v>#REF!</v>
      </c>
      <c r="JB16" s="74" t="e">
        <f t="shared" ca="1" si="47"/>
        <v>#REF!</v>
      </c>
      <c r="JC16" s="74" t="e">
        <f t="shared" ca="1" si="47"/>
        <v>#REF!</v>
      </c>
      <c r="JD16" s="74" t="e">
        <f t="shared" ca="1" si="47"/>
        <v>#REF!</v>
      </c>
      <c r="JE16" s="74" t="e">
        <f t="shared" ca="1" si="47"/>
        <v>#REF!</v>
      </c>
      <c r="JF16" s="74" t="e">
        <f t="shared" ca="1" si="48"/>
        <v>#REF!</v>
      </c>
      <c r="JG16" s="74" t="e">
        <f t="shared" ca="1" si="48"/>
        <v>#REF!</v>
      </c>
      <c r="JH16" s="74" t="e">
        <f t="shared" ca="1" si="48"/>
        <v>#REF!</v>
      </c>
      <c r="JI16" s="74" t="e">
        <f t="shared" ca="1" si="48"/>
        <v>#REF!</v>
      </c>
      <c r="JJ16" s="74" t="e">
        <f t="shared" ca="1" si="48"/>
        <v>#REF!</v>
      </c>
      <c r="JK16" s="74" t="e">
        <f t="shared" ca="1" si="48"/>
        <v>#REF!</v>
      </c>
      <c r="JL16" s="74" t="e">
        <f t="shared" ca="1" si="48"/>
        <v>#REF!</v>
      </c>
      <c r="JM16" s="74" t="e">
        <f t="shared" ca="1" si="48"/>
        <v>#REF!</v>
      </c>
      <c r="JN16" s="74" t="e">
        <f t="shared" ca="1" si="48"/>
        <v>#REF!</v>
      </c>
      <c r="JO16" s="74" t="e">
        <f t="shared" ca="1" si="48"/>
        <v>#REF!</v>
      </c>
      <c r="JP16" s="74" t="e">
        <f t="shared" ca="1" si="48"/>
        <v>#REF!</v>
      </c>
      <c r="JQ16" s="74" t="e">
        <f t="shared" ca="1" si="48"/>
        <v>#REF!</v>
      </c>
      <c r="JR16" s="74" t="e">
        <f t="shared" ca="1" si="48"/>
        <v>#REF!</v>
      </c>
      <c r="JS16" s="74" t="e">
        <f t="shared" ca="1" si="48"/>
        <v>#REF!</v>
      </c>
      <c r="JT16" s="74" t="e">
        <f t="shared" ca="1" si="48"/>
        <v>#REF!</v>
      </c>
      <c r="JU16" s="74" t="e">
        <f t="shared" ca="1" si="48"/>
        <v>#REF!</v>
      </c>
      <c r="JV16" s="74" t="e">
        <f t="shared" ca="1" si="49"/>
        <v>#REF!</v>
      </c>
      <c r="JW16" s="74" t="e">
        <f t="shared" ca="1" si="49"/>
        <v>#REF!</v>
      </c>
      <c r="JX16" s="74" t="e">
        <f t="shared" ca="1" si="49"/>
        <v>#REF!</v>
      </c>
      <c r="JY16" s="74" t="e">
        <f t="shared" ca="1" si="49"/>
        <v>#REF!</v>
      </c>
      <c r="JZ16" s="74" t="e">
        <f t="shared" ca="1" si="49"/>
        <v>#REF!</v>
      </c>
      <c r="KA16" s="74" t="e">
        <f t="shared" ca="1" si="49"/>
        <v>#REF!</v>
      </c>
      <c r="KB16" s="74" t="e">
        <f t="shared" ca="1" si="49"/>
        <v>#REF!</v>
      </c>
      <c r="KC16" s="74" t="e">
        <f t="shared" ca="1" si="49"/>
        <v>#REF!</v>
      </c>
      <c r="KD16" s="74" t="e">
        <f t="shared" ca="1" si="49"/>
        <v>#REF!</v>
      </c>
      <c r="KE16" s="74" t="e">
        <f t="shared" ca="1" si="49"/>
        <v>#REF!</v>
      </c>
      <c r="KF16" s="74" t="e">
        <f t="shared" ca="1" si="49"/>
        <v>#REF!</v>
      </c>
      <c r="KG16" s="74" t="e">
        <f t="shared" ca="1" si="49"/>
        <v>#REF!</v>
      </c>
      <c r="KH16" s="74" t="e">
        <f t="shared" ca="1" si="49"/>
        <v>#REF!</v>
      </c>
      <c r="KI16" s="74" t="e">
        <f t="shared" ca="1" si="49"/>
        <v>#REF!</v>
      </c>
      <c r="KJ16" s="74" t="e">
        <f t="shared" ca="1" si="49"/>
        <v>#REF!</v>
      </c>
      <c r="KK16" s="74" t="e">
        <f t="shared" ca="1" si="49"/>
        <v>#REF!</v>
      </c>
      <c r="KL16" s="74" t="e">
        <f t="shared" ca="1" si="50"/>
        <v>#REF!</v>
      </c>
      <c r="KM16" s="74" t="e">
        <f t="shared" ca="1" si="50"/>
        <v>#REF!</v>
      </c>
      <c r="KN16" s="74" t="e">
        <f t="shared" ca="1" si="50"/>
        <v>#REF!</v>
      </c>
      <c r="KO16" s="74" t="e">
        <f t="shared" ca="1" si="50"/>
        <v>#REF!</v>
      </c>
      <c r="KP16" s="74" t="e">
        <f t="shared" ca="1" si="50"/>
        <v>#REF!</v>
      </c>
      <c r="KQ16" s="74" t="e">
        <f t="shared" ca="1" si="50"/>
        <v>#REF!</v>
      </c>
      <c r="KR16" s="74" t="e">
        <f t="shared" ca="1" si="50"/>
        <v>#REF!</v>
      </c>
      <c r="KS16" s="74" t="e">
        <f t="shared" ca="1" si="50"/>
        <v>#REF!</v>
      </c>
      <c r="KT16" s="74" t="e">
        <f t="shared" ca="1" si="50"/>
        <v>#REF!</v>
      </c>
      <c r="KU16" s="74" t="e">
        <f t="shared" ca="1" si="50"/>
        <v>#REF!</v>
      </c>
      <c r="KV16" s="74" t="e">
        <f t="shared" ca="1" si="50"/>
        <v>#REF!</v>
      </c>
      <c r="KW16" s="74" t="e">
        <f t="shared" ca="1" si="50"/>
        <v>#REF!</v>
      </c>
      <c r="KX16" s="74" t="e">
        <f t="shared" ca="1" si="50"/>
        <v>#REF!</v>
      </c>
      <c r="KY16" s="74" t="e">
        <f t="shared" ca="1" si="50"/>
        <v>#REF!</v>
      </c>
      <c r="KZ16" s="74" t="e">
        <f t="shared" ca="1" si="50"/>
        <v>#REF!</v>
      </c>
      <c r="LA16" s="74" t="e">
        <f t="shared" ca="1" si="50"/>
        <v>#REF!</v>
      </c>
      <c r="LB16" s="74" t="e">
        <f t="shared" ca="1" si="51"/>
        <v>#REF!</v>
      </c>
      <c r="LC16" s="74" t="e">
        <f t="shared" ca="1" si="51"/>
        <v>#REF!</v>
      </c>
      <c r="LD16" s="74" t="e">
        <f t="shared" ca="1" si="51"/>
        <v>#REF!</v>
      </c>
      <c r="LE16" s="74" t="e">
        <f t="shared" ca="1" si="51"/>
        <v>#REF!</v>
      </c>
      <c r="LF16" s="74" t="e">
        <f t="shared" ca="1" si="51"/>
        <v>#REF!</v>
      </c>
      <c r="LG16" s="74" t="e">
        <f t="shared" ca="1" si="51"/>
        <v>#REF!</v>
      </c>
      <c r="LH16" s="74" t="e">
        <f t="shared" ca="1" si="51"/>
        <v>#REF!</v>
      </c>
      <c r="LI16" s="74" t="e">
        <f t="shared" ca="1" si="51"/>
        <v>#REF!</v>
      </c>
      <c r="LJ16" s="74" t="e">
        <f t="shared" ca="1" si="51"/>
        <v>#REF!</v>
      </c>
      <c r="LK16" s="74" t="e">
        <f t="shared" ca="1" si="51"/>
        <v>#REF!</v>
      </c>
      <c r="LL16" s="74" t="e">
        <f t="shared" ca="1" si="51"/>
        <v>#REF!</v>
      </c>
      <c r="LM16" s="74" t="e">
        <f t="shared" ca="1" si="51"/>
        <v>#REF!</v>
      </c>
      <c r="LN16" s="74" t="e">
        <f t="shared" ca="1" si="51"/>
        <v>#REF!</v>
      </c>
      <c r="LO16" s="74" t="e">
        <f t="shared" ca="1" si="51"/>
        <v>#REF!</v>
      </c>
      <c r="LP16" s="74" t="e">
        <f t="shared" ca="1" si="51"/>
        <v>#REF!</v>
      </c>
      <c r="LQ16" s="74" t="e">
        <f t="shared" ca="1" si="51"/>
        <v>#REF!</v>
      </c>
      <c r="LR16" s="74" t="e">
        <f t="shared" ca="1" si="52"/>
        <v>#REF!</v>
      </c>
      <c r="LS16" s="74" t="e">
        <f t="shared" ca="1" si="52"/>
        <v>#REF!</v>
      </c>
      <c r="LT16" s="74" t="e">
        <f t="shared" ca="1" si="52"/>
        <v>#REF!</v>
      </c>
      <c r="LU16" s="74" t="e">
        <f t="shared" ca="1" si="52"/>
        <v>#REF!</v>
      </c>
      <c r="LV16" s="74" t="e">
        <f t="shared" ca="1" si="52"/>
        <v>#REF!</v>
      </c>
      <c r="LW16" s="74" t="e">
        <f t="shared" ca="1" si="52"/>
        <v>#REF!</v>
      </c>
      <c r="LX16" s="74" t="e">
        <f t="shared" ca="1" si="52"/>
        <v>#REF!</v>
      </c>
      <c r="LY16" s="74" t="e">
        <f t="shared" ca="1" si="52"/>
        <v>#REF!</v>
      </c>
      <c r="LZ16" s="74" t="e">
        <f t="shared" ca="1" si="52"/>
        <v>#REF!</v>
      </c>
      <c r="MA16" s="74" t="e">
        <f t="shared" ca="1" si="52"/>
        <v>#REF!</v>
      </c>
      <c r="MB16" s="74" t="e">
        <f t="shared" ca="1" si="52"/>
        <v>#REF!</v>
      </c>
      <c r="MC16" s="74" t="e">
        <f t="shared" ca="1" si="52"/>
        <v>#REF!</v>
      </c>
      <c r="MD16" s="74" t="e">
        <f t="shared" ca="1" si="52"/>
        <v>#REF!</v>
      </c>
      <c r="ME16" s="74" t="e">
        <f t="shared" ca="1" si="52"/>
        <v>#REF!</v>
      </c>
      <c r="MF16" s="74" t="e">
        <f t="shared" ca="1" si="52"/>
        <v>#REF!</v>
      </c>
      <c r="MG16" s="74" t="e">
        <f t="shared" ca="1" si="52"/>
        <v>#REF!</v>
      </c>
      <c r="MH16" s="74" t="e">
        <f t="shared" ca="1" si="53"/>
        <v>#REF!</v>
      </c>
      <c r="MI16" s="74" t="e">
        <f t="shared" ca="1" si="53"/>
        <v>#REF!</v>
      </c>
      <c r="MJ16" s="74" t="e">
        <f t="shared" ca="1" si="53"/>
        <v>#REF!</v>
      </c>
      <c r="MK16" s="74" t="e">
        <f t="shared" ca="1" si="53"/>
        <v>#REF!</v>
      </c>
      <c r="ML16" s="74" t="e">
        <f t="shared" ca="1" si="53"/>
        <v>#REF!</v>
      </c>
      <c r="MM16" s="74" t="e">
        <f t="shared" ca="1" si="53"/>
        <v>#REF!</v>
      </c>
      <c r="MN16" s="74" t="e">
        <f t="shared" ca="1" si="53"/>
        <v>#REF!</v>
      </c>
      <c r="MO16" s="74" t="e">
        <f t="shared" ca="1" si="53"/>
        <v>#REF!</v>
      </c>
      <c r="MP16" s="74" t="e">
        <f t="shared" ca="1" si="53"/>
        <v>#REF!</v>
      </c>
      <c r="MQ16" s="74" t="e">
        <f t="shared" ca="1" si="53"/>
        <v>#REF!</v>
      </c>
      <c r="MR16" s="74" t="e">
        <f t="shared" ca="1" si="53"/>
        <v>#REF!</v>
      </c>
      <c r="MS16" s="74" t="e">
        <f t="shared" ca="1" si="53"/>
        <v>#REF!</v>
      </c>
      <c r="MT16" s="74" t="e">
        <f t="shared" ca="1" si="53"/>
        <v>#REF!</v>
      </c>
      <c r="MU16" s="74" t="e">
        <f t="shared" ca="1" si="53"/>
        <v>#REF!</v>
      </c>
      <c r="MV16" s="74" t="e">
        <f t="shared" ca="1" si="53"/>
        <v>#REF!</v>
      </c>
      <c r="MW16" s="74" t="e">
        <f t="shared" ca="1" si="53"/>
        <v>#REF!</v>
      </c>
      <c r="MX16" s="74" t="e">
        <f t="shared" ca="1" si="54"/>
        <v>#REF!</v>
      </c>
      <c r="MY16" s="74" t="e">
        <f t="shared" ca="1" si="54"/>
        <v>#REF!</v>
      </c>
      <c r="MZ16" s="74" t="e">
        <f t="shared" ca="1" si="54"/>
        <v>#REF!</v>
      </c>
      <c r="NA16" s="74" t="e">
        <f t="shared" ca="1" si="54"/>
        <v>#REF!</v>
      </c>
      <c r="NB16" s="74" t="e">
        <f t="shared" ca="1" si="54"/>
        <v>#REF!</v>
      </c>
      <c r="NC16" s="74" t="e">
        <f t="shared" ca="1" si="54"/>
        <v>#REF!</v>
      </c>
      <c r="ND16" s="74" t="e">
        <f t="shared" ca="1" si="54"/>
        <v>#REF!</v>
      </c>
      <c r="NE16" s="74" t="e">
        <f t="shared" ca="1" si="54"/>
        <v>#REF!</v>
      </c>
      <c r="NF16" s="74" t="e">
        <f t="shared" ca="1" si="54"/>
        <v>#REF!</v>
      </c>
      <c r="NG16" s="74" t="e">
        <f t="shared" ca="1" si="54"/>
        <v>#REF!</v>
      </c>
      <c r="NH16" s="74" t="e">
        <f t="shared" ca="1" si="54"/>
        <v>#REF!</v>
      </c>
      <c r="NI16" s="74" t="e">
        <f t="shared" ca="1" si="54"/>
        <v>#REF!</v>
      </c>
      <c r="NJ16" s="74" t="e">
        <f t="shared" ca="1" si="54"/>
        <v>#REF!</v>
      </c>
      <c r="NK16" s="74" t="e">
        <f t="shared" ca="1" si="54"/>
        <v>#REF!</v>
      </c>
      <c r="NL16" s="74" t="e">
        <f t="shared" ca="1" si="54"/>
        <v>#REF!</v>
      </c>
      <c r="NM16" s="74" t="e">
        <f t="shared" ca="1" si="54"/>
        <v>#REF!</v>
      </c>
      <c r="NN16" s="74" t="e">
        <f t="shared" ca="1" si="55"/>
        <v>#REF!</v>
      </c>
      <c r="NO16" s="74" t="e">
        <f t="shared" ca="1" si="55"/>
        <v>#REF!</v>
      </c>
      <c r="NP16" s="74" t="e">
        <f t="shared" ca="1" si="55"/>
        <v>#REF!</v>
      </c>
      <c r="NQ16" s="74" t="e">
        <f t="shared" ca="1" si="55"/>
        <v>#REF!</v>
      </c>
      <c r="NR16" s="74" t="e">
        <f t="shared" ca="1" si="55"/>
        <v>#REF!</v>
      </c>
      <c r="NS16" s="74" t="e">
        <f t="shared" ca="1" si="55"/>
        <v>#REF!</v>
      </c>
      <c r="NT16" s="74" t="e">
        <f t="shared" ca="1" si="55"/>
        <v>#REF!</v>
      </c>
      <c r="NU16" s="74" t="e">
        <f t="shared" ca="1" si="55"/>
        <v>#REF!</v>
      </c>
      <c r="NV16" s="74" t="e">
        <f t="shared" ca="1" si="55"/>
        <v>#REF!</v>
      </c>
      <c r="NW16" s="74" t="e">
        <f t="shared" ca="1" si="55"/>
        <v>#REF!</v>
      </c>
      <c r="NX16" s="74" t="e">
        <f t="shared" ca="1" si="55"/>
        <v>#REF!</v>
      </c>
      <c r="NY16" s="74" t="e">
        <f t="shared" ca="1" si="55"/>
        <v>#REF!</v>
      </c>
      <c r="NZ16" s="74" t="e">
        <f t="shared" ca="1" si="55"/>
        <v>#REF!</v>
      </c>
      <c r="OA16" s="74" t="e">
        <f t="shared" ca="1" si="55"/>
        <v>#REF!</v>
      </c>
      <c r="OB16" s="74" t="e">
        <f t="shared" ca="1" si="55"/>
        <v>#REF!</v>
      </c>
      <c r="OC16" s="74" t="e">
        <f t="shared" ca="1" si="55"/>
        <v>#REF!</v>
      </c>
      <c r="OD16" s="74" t="e">
        <f t="shared" ca="1" si="56"/>
        <v>#REF!</v>
      </c>
      <c r="OE16" s="74" t="e">
        <f t="shared" ca="1" si="56"/>
        <v>#REF!</v>
      </c>
      <c r="OF16" s="74" t="e">
        <f t="shared" ca="1" si="56"/>
        <v>#REF!</v>
      </c>
      <c r="OG16" s="74" t="e">
        <f t="shared" ca="1" si="56"/>
        <v>#REF!</v>
      </c>
      <c r="OH16" s="74" t="e">
        <f t="shared" ca="1" si="56"/>
        <v>#REF!</v>
      </c>
      <c r="OI16" s="74" t="e">
        <f t="shared" ca="1" si="56"/>
        <v>#REF!</v>
      </c>
      <c r="OJ16" s="74" t="e">
        <f t="shared" ca="1" si="56"/>
        <v>#REF!</v>
      </c>
      <c r="OK16" s="74" t="e">
        <f t="shared" ca="1" si="56"/>
        <v>#REF!</v>
      </c>
      <c r="OL16" s="74" t="e">
        <f t="shared" ca="1" si="56"/>
        <v>#REF!</v>
      </c>
      <c r="OM16" s="74" t="e">
        <f t="shared" ca="1" si="56"/>
        <v>#REF!</v>
      </c>
      <c r="ON16" s="74" t="e">
        <f t="shared" ca="1" si="56"/>
        <v>#REF!</v>
      </c>
      <c r="OO16" s="74" t="e">
        <f t="shared" ca="1" si="56"/>
        <v>#REF!</v>
      </c>
      <c r="OP16" s="74" t="e">
        <f t="shared" ca="1" si="56"/>
        <v>#REF!</v>
      </c>
      <c r="OQ16" s="74" t="e">
        <f t="shared" ca="1" si="56"/>
        <v>#REF!</v>
      </c>
      <c r="OR16" s="74" t="e">
        <f t="shared" ca="1" si="56"/>
        <v>#REF!</v>
      </c>
      <c r="OS16" s="74" t="e">
        <f t="shared" ca="1" si="56"/>
        <v>#REF!</v>
      </c>
      <c r="OT16" s="74" t="e">
        <f t="shared" ca="1" si="57"/>
        <v>#REF!</v>
      </c>
      <c r="OU16" s="74" t="e">
        <f t="shared" ca="1" si="57"/>
        <v>#REF!</v>
      </c>
      <c r="OV16" s="74" t="e">
        <f t="shared" ca="1" si="57"/>
        <v>#REF!</v>
      </c>
      <c r="OW16" s="74" t="e">
        <f t="shared" ca="1" si="57"/>
        <v>#REF!</v>
      </c>
      <c r="OX16" s="74" t="e">
        <f t="shared" ca="1" si="57"/>
        <v>#REF!</v>
      </c>
      <c r="OY16" s="74" t="e">
        <f t="shared" ca="1" si="57"/>
        <v>#REF!</v>
      </c>
      <c r="OZ16" s="74" t="e">
        <f t="shared" ca="1" si="57"/>
        <v>#REF!</v>
      </c>
      <c r="PA16" s="74" t="e">
        <f t="shared" ca="1" si="57"/>
        <v>#REF!</v>
      </c>
      <c r="PB16" s="74" t="e">
        <f t="shared" ca="1" si="57"/>
        <v>#REF!</v>
      </c>
      <c r="PC16" s="74" t="e">
        <f t="shared" ca="1" si="57"/>
        <v>#REF!</v>
      </c>
      <c r="PD16" s="74" t="e">
        <f t="shared" ca="1" si="57"/>
        <v>#REF!</v>
      </c>
      <c r="PE16" s="74" t="e">
        <f t="shared" ca="1" si="57"/>
        <v>#REF!</v>
      </c>
      <c r="PF16" s="74" t="e">
        <f t="shared" ca="1" si="57"/>
        <v>#REF!</v>
      </c>
      <c r="PG16" s="74" t="e">
        <f t="shared" ca="1" si="57"/>
        <v>#REF!</v>
      </c>
      <c r="PH16" s="74" t="e">
        <f t="shared" ca="1" si="57"/>
        <v>#REF!</v>
      </c>
      <c r="PI16" s="74" t="e">
        <f t="shared" ca="1" si="57"/>
        <v>#REF!</v>
      </c>
      <c r="PJ16" s="74" t="e">
        <f t="shared" ca="1" si="58"/>
        <v>#REF!</v>
      </c>
      <c r="PK16" s="74" t="e">
        <f t="shared" ca="1" si="58"/>
        <v>#REF!</v>
      </c>
      <c r="PL16" s="74" t="e">
        <f t="shared" ca="1" si="58"/>
        <v>#REF!</v>
      </c>
      <c r="PM16" s="74" t="e">
        <f t="shared" ca="1" si="58"/>
        <v>#REF!</v>
      </c>
      <c r="PN16" s="74" t="e">
        <f t="shared" ca="1" si="58"/>
        <v>#REF!</v>
      </c>
      <c r="PO16" s="74" t="e">
        <f t="shared" ca="1" si="58"/>
        <v>#REF!</v>
      </c>
      <c r="PP16" s="74" t="e">
        <f t="shared" ca="1" si="58"/>
        <v>#REF!</v>
      </c>
      <c r="PQ16" s="74" t="e">
        <f t="shared" ca="1" si="58"/>
        <v>#REF!</v>
      </c>
      <c r="PR16" s="74" t="e">
        <f t="shared" ca="1" si="58"/>
        <v>#REF!</v>
      </c>
      <c r="PS16" s="74" t="e">
        <f t="shared" ca="1" si="58"/>
        <v>#REF!</v>
      </c>
      <c r="PT16" s="74" t="e">
        <f t="shared" ca="1" si="58"/>
        <v>#REF!</v>
      </c>
      <c r="PU16" s="74" t="e">
        <f t="shared" ca="1" si="58"/>
        <v>#REF!</v>
      </c>
      <c r="PV16" s="74" t="e">
        <f t="shared" ca="1" si="58"/>
        <v>#REF!</v>
      </c>
      <c r="PW16" s="74" t="e">
        <f t="shared" ca="1" si="58"/>
        <v>#REF!</v>
      </c>
      <c r="PX16" s="74" t="e">
        <f t="shared" ca="1" si="58"/>
        <v>#REF!</v>
      </c>
      <c r="PY16" s="74" t="e">
        <f t="shared" ca="1" si="58"/>
        <v>#REF!</v>
      </c>
      <c r="PZ16" s="74" t="e">
        <f t="shared" ca="1" si="59"/>
        <v>#REF!</v>
      </c>
      <c r="QA16" s="74" t="e">
        <f t="shared" ca="1" si="59"/>
        <v>#REF!</v>
      </c>
      <c r="QB16" s="74" t="e">
        <f t="shared" ca="1" si="59"/>
        <v>#REF!</v>
      </c>
      <c r="QC16" s="74" t="e">
        <f t="shared" ca="1" si="59"/>
        <v>#REF!</v>
      </c>
      <c r="QD16" s="74" t="e">
        <f t="shared" ca="1" si="59"/>
        <v>#REF!</v>
      </c>
      <c r="QE16" s="74" t="e">
        <f t="shared" ca="1" si="59"/>
        <v>#REF!</v>
      </c>
      <c r="QF16" s="74" t="e">
        <f t="shared" ca="1" si="59"/>
        <v>#REF!</v>
      </c>
      <c r="QG16" s="74" t="e">
        <f t="shared" ca="1" si="59"/>
        <v>#REF!</v>
      </c>
      <c r="QH16" s="74" t="e">
        <f t="shared" ca="1" si="59"/>
        <v>#REF!</v>
      </c>
      <c r="QI16" s="74" t="e">
        <f t="shared" ca="1" si="59"/>
        <v>#REF!</v>
      </c>
      <c r="QJ16" s="74" t="e">
        <f t="shared" ca="1" si="59"/>
        <v>#REF!</v>
      </c>
      <c r="QK16" s="74" t="e">
        <f t="shared" ca="1" si="59"/>
        <v>#REF!</v>
      </c>
      <c r="QL16" s="74" t="e">
        <f t="shared" ca="1" si="59"/>
        <v>#REF!</v>
      </c>
      <c r="QM16" s="74" t="e">
        <f t="shared" ca="1" si="59"/>
        <v>#REF!</v>
      </c>
      <c r="QN16" s="74" t="e">
        <f t="shared" ca="1" si="59"/>
        <v>#REF!</v>
      </c>
      <c r="QO16" s="74" t="e">
        <f t="shared" ca="1" si="59"/>
        <v>#REF!</v>
      </c>
      <c r="QP16" s="74" t="e">
        <f t="shared" ca="1" si="60"/>
        <v>#REF!</v>
      </c>
      <c r="QQ16" s="74" t="e">
        <f t="shared" ca="1" si="60"/>
        <v>#REF!</v>
      </c>
      <c r="QR16" s="74" t="e">
        <f t="shared" ca="1" si="60"/>
        <v>#REF!</v>
      </c>
      <c r="QS16" s="74" t="e">
        <f t="shared" ca="1" si="60"/>
        <v>#REF!</v>
      </c>
      <c r="QT16" s="74" t="e">
        <f t="shared" ca="1" si="60"/>
        <v>#REF!</v>
      </c>
      <c r="QU16" s="74" t="e">
        <f t="shared" ca="1" si="60"/>
        <v>#REF!</v>
      </c>
      <c r="QV16" s="74" t="e">
        <f t="shared" ca="1" si="60"/>
        <v>#REF!</v>
      </c>
      <c r="QW16" s="74" t="e">
        <f t="shared" ca="1" si="60"/>
        <v>#REF!</v>
      </c>
      <c r="QX16" s="74" t="e">
        <f t="shared" ca="1" si="60"/>
        <v>#REF!</v>
      </c>
      <c r="QY16" s="74" t="e">
        <f t="shared" ca="1" si="60"/>
        <v>#REF!</v>
      </c>
      <c r="QZ16" s="74" t="e">
        <f t="shared" ca="1" si="60"/>
        <v>#REF!</v>
      </c>
      <c r="RA16" s="74" t="e">
        <f t="shared" ca="1" si="60"/>
        <v>#REF!</v>
      </c>
      <c r="RB16" s="74" t="e">
        <f t="shared" ca="1" si="60"/>
        <v>#REF!</v>
      </c>
      <c r="RC16" s="74" t="e">
        <f t="shared" ca="1" si="60"/>
        <v>#REF!</v>
      </c>
      <c r="RD16" s="74" t="e">
        <f t="shared" ca="1" si="60"/>
        <v>#REF!</v>
      </c>
      <c r="RE16" s="74" t="e">
        <f t="shared" ca="1" si="60"/>
        <v>#REF!</v>
      </c>
      <c r="RF16" s="74" t="e">
        <f t="shared" ca="1" si="61"/>
        <v>#REF!</v>
      </c>
      <c r="RG16" s="74" t="e">
        <f t="shared" ca="1" si="61"/>
        <v>#REF!</v>
      </c>
      <c r="RH16" s="74" t="e">
        <f t="shared" ca="1" si="61"/>
        <v>#REF!</v>
      </c>
      <c r="RI16" s="74" t="e">
        <f t="shared" ca="1" si="61"/>
        <v>#REF!</v>
      </c>
      <c r="RJ16" s="74" t="e">
        <f t="shared" ca="1" si="61"/>
        <v>#REF!</v>
      </c>
      <c r="RK16" s="74" t="e">
        <f t="shared" ca="1" si="61"/>
        <v>#REF!</v>
      </c>
      <c r="RL16" s="74" t="e">
        <f t="shared" ca="1" si="61"/>
        <v>#REF!</v>
      </c>
      <c r="RM16" s="74" t="e">
        <f t="shared" ca="1" si="61"/>
        <v>#REF!</v>
      </c>
      <c r="RN16" s="74" t="e">
        <f t="shared" ca="1" si="61"/>
        <v>#REF!</v>
      </c>
      <c r="RO16" s="74" t="e">
        <f t="shared" ca="1" si="61"/>
        <v>#REF!</v>
      </c>
      <c r="RP16" s="74" t="e">
        <f t="shared" ca="1" si="61"/>
        <v>#REF!</v>
      </c>
      <c r="RQ16" s="74" t="e">
        <f t="shared" ca="1" si="61"/>
        <v>#REF!</v>
      </c>
      <c r="RR16" s="74" t="e">
        <f t="shared" ca="1" si="61"/>
        <v>#REF!</v>
      </c>
      <c r="RS16" s="74" t="e">
        <f t="shared" ca="1" si="61"/>
        <v>#REF!</v>
      </c>
      <c r="RT16" s="74" t="e">
        <f t="shared" ca="1" si="61"/>
        <v>#REF!</v>
      </c>
      <c r="RU16" s="74" t="e">
        <f t="shared" ca="1" si="61"/>
        <v>#REF!</v>
      </c>
      <c r="RV16" s="74" t="e">
        <f t="shared" ca="1" si="62"/>
        <v>#REF!</v>
      </c>
      <c r="RW16" s="74" t="e">
        <f t="shared" ca="1" si="62"/>
        <v>#REF!</v>
      </c>
      <c r="RX16" s="74" t="e">
        <f t="shared" ca="1" si="62"/>
        <v>#REF!</v>
      </c>
      <c r="RY16" s="74" t="e">
        <f t="shared" ca="1" si="62"/>
        <v>#REF!</v>
      </c>
      <c r="RZ16" s="74" t="e">
        <f t="shared" ca="1" si="62"/>
        <v>#REF!</v>
      </c>
      <c r="SA16" s="74" t="e">
        <f t="shared" ca="1" si="62"/>
        <v>#REF!</v>
      </c>
      <c r="SB16" s="74" t="e">
        <f t="shared" ca="1" si="62"/>
        <v>#REF!</v>
      </c>
      <c r="SC16" s="74" t="e">
        <f t="shared" ca="1" si="62"/>
        <v>#REF!</v>
      </c>
      <c r="SD16" s="74" t="e">
        <f t="shared" ca="1" si="62"/>
        <v>#REF!</v>
      </c>
      <c r="SE16" s="74" t="e">
        <f t="shared" ca="1" si="62"/>
        <v>#REF!</v>
      </c>
      <c r="SF16" s="74" t="e">
        <f t="shared" ca="1" si="62"/>
        <v>#REF!</v>
      </c>
      <c r="SG16" s="74" t="e">
        <f t="shared" ca="1" si="62"/>
        <v>#REF!</v>
      </c>
      <c r="SH16" s="74" t="e">
        <f t="shared" ca="1" si="62"/>
        <v>#REF!</v>
      </c>
      <c r="SI16" s="74" t="e">
        <f t="shared" ca="1" si="62"/>
        <v>#REF!</v>
      </c>
      <c r="SJ16" s="74" t="e">
        <f t="shared" ca="1" si="62"/>
        <v>#REF!</v>
      </c>
      <c r="SK16" s="74" t="e">
        <f t="shared" ca="1" si="62"/>
        <v>#REF!</v>
      </c>
      <c r="SL16" s="74" t="e">
        <f t="shared" ca="1" si="63"/>
        <v>#REF!</v>
      </c>
      <c r="SM16" s="74" t="e">
        <f t="shared" ca="1" si="63"/>
        <v>#REF!</v>
      </c>
      <c r="SN16" s="74" t="e">
        <f t="shared" ca="1" si="63"/>
        <v>#REF!</v>
      </c>
      <c r="SO16" s="74" t="e">
        <f t="shared" ca="1" si="63"/>
        <v>#REF!</v>
      </c>
      <c r="SP16" s="74" t="e">
        <f t="shared" ca="1" si="63"/>
        <v>#REF!</v>
      </c>
      <c r="SQ16" s="74" t="e">
        <f t="shared" ca="1" si="63"/>
        <v>#REF!</v>
      </c>
      <c r="SR16" s="74" t="e">
        <f t="shared" ca="1" si="63"/>
        <v>#REF!</v>
      </c>
      <c r="SS16" s="74" t="e">
        <f t="shared" ca="1" si="63"/>
        <v>#REF!</v>
      </c>
      <c r="ST16" s="74" t="e">
        <f t="shared" ca="1" si="63"/>
        <v>#REF!</v>
      </c>
      <c r="SU16" s="74" t="e">
        <f t="shared" ca="1" si="63"/>
        <v>#REF!</v>
      </c>
      <c r="SV16" s="74" t="e">
        <f t="shared" ca="1" si="63"/>
        <v>#REF!</v>
      </c>
      <c r="SW16" s="74" t="e">
        <f t="shared" ca="1" si="63"/>
        <v>#REF!</v>
      </c>
      <c r="SX16" s="74" t="e">
        <f t="shared" ca="1" si="63"/>
        <v>#REF!</v>
      </c>
      <c r="SY16" s="74" t="e">
        <f t="shared" ca="1" si="63"/>
        <v>#REF!</v>
      </c>
      <c r="SZ16" s="74" t="e">
        <f t="shared" ca="1" si="63"/>
        <v>#REF!</v>
      </c>
      <c r="TA16" s="74" t="e">
        <f t="shared" ca="1" si="63"/>
        <v>#REF!</v>
      </c>
      <c r="TB16" s="74" t="e">
        <f t="shared" ca="1" si="64"/>
        <v>#REF!</v>
      </c>
      <c r="TC16" s="74" t="e">
        <f t="shared" ca="1" si="64"/>
        <v>#REF!</v>
      </c>
      <c r="TD16" s="74" t="e">
        <f t="shared" ca="1" si="64"/>
        <v>#REF!</v>
      </c>
      <c r="TE16" s="74" t="e">
        <f t="shared" ca="1" si="64"/>
        <v>#REF!</v>
      </c>
      <c r="TF16" s="74" t="e">
        <f t="shared" ca="1" si="64"/>
        <v>#REF!</v>
      </c>
      <c r="TG16" s="74" t="e">
        <f t="shared" ca="1" si="64"/>
        <v>#REF!</v>
      </c>
      <c r="TH16" s="74" t="e">
        <f t="shared" ca="1" si="64"/>
        <v>#REF!</v>
      </c>
      <c r="TI16" s="74" t="e">
        <f t="shared" ca="1" si="64"/>
        <v>#REF!</v>
      </c>
      <c r="TJ16" s="74" t="e">
        <f t="shared" ca="1" si="64"/>
        <v>#REF!</v>
      </c>
      <c r="TK16" s="74" t="e">
        <f t="shared" ca="1" si="64"/>
        <v>#REF!</v>
      </c>
      <c r="TL16" s="74" t="e">
        <f t="shared" ca="1" si="64"/>
        <v>#REF!</v>
      </c>
      <c r="TM16" s="74" t="e">
        <f t="shared" ca="1" si="64"/>
        <v>#REF!</v>
      </c>
      <c r="TN16" s="74" t="e">
        <f t="shared" ca="1" si="64"/>
        <v>#REF!</v>
      </c>
      <c r="TO16" s="74" t="e">
        <f t="shared" ca="1" si="64"/>
        <v>#REF!</v>
      </c>
      <c r="TP16" s="74" t="e">
        <f t="shared" ca="1" si="64"/>
        <v>#REF!</v>
      </c>
      <c r="TQ16" s="74" t="e">
        <f t="shared" ca="1" si="64"/>
        <v>#REF!</v>
      </c>
      <c r="TR16" s="74" t="e">
        <f t="shared" ca="1" si="65"/>
        <v>#REF!</v>
      </c>
      <c r="TS16" s="74" t="e">
        <f t="shared" ca="1" si="65"/>
        <v>#REF!</v>
      </c>
      <c r="TT16" s="74" t="e">
        <f t="shared" ca="1" si="65"/>
        <v>#REF!</v>
      </c>
      <c r="TU16" s="74" t="e">
        <f t="shared" ca="1" si="65"/>
        <v>#REF!</v>
      </c>
      <c r="TV16" s="74" t="e">
        <f t="shared" ca="1" si="65"/>
        <v>#REF!</v>
      </c>
      <c r="TW16" s="74" t="e">
        <f t="shared" ca="1" si="65"/>
        <v>#REF!</v>
      </c>
      <c r="TX16" s="74" t="e">
        <f t="shared" ca="1" si="65"/>
        <v>#REF!</v>
      </c>
      <c r="TY16" s="74" t="e">
        <f t="shared" ca="1" si="65"/>
        <v>#REF!</v>
      </c>
      <c r="TZ16" s="74" t="e">
        <f t="shared" ca="1" si="65"/>
        <v>#REF!</v>
      </c>
      <c r="UA16" s="74" t="e">
        <f t="shared" ca="1" si="65"/>
        <v>#REF!</v>
      </c>
      <c r="UB16" s="74" t="e">
        <f t="shared" ca="1" si="65"/>
        <v>#REF!</v>
      </c>
      <c r="UC16" s="74" t="e">
        <f t="shared" ca="1" si="65"/>
        <v>#REF!</v>
      </c>
      <c r="UD16" s="74" t="e">
        <f t="shared" ca="1" si="65"/>
        <v>#REF!</v>
      </c>
      <c r="UE16" s="74" t="e">
        <f t="shared" ca="1" si="65"/>
        <v>#REF!</v>
      </c>
      <c r="UF16" s="74" t="e">
        <f t="shared" ca="1" si="65"/>
        <v>#REF!</v>
      </c>
      <c r="UG16" s="74" t="e">
        <f t="shared" ca="1" si="65"/>
        <v>#REF!</v>
      </c>
      <c r="UH16" s="74" t="e">
        <f t="shared" ca="1" si="66"/>
        <v>#REF!</v>
      </c>
      <c r="UI16" s="74" t="e">
        <f t="shared" ca="1" si="66"/>
        <v>#REF!</v>
      </c>
      <c r="UJ16" s="74" t="e">
        <f t="shared" ca="1" si="66"/>
        <v>#REF!</v>
      </c>
      <c r="UK16" s="74" t="e">
        <f t="shared" ca="1" si="66"/>
        <v>#REF!</v>
      </c>
      <c r="UL16" s="74" t="e">
        <f t="shared" ca="1" si="66"/>
        <v>#REF!</v>
      </c>
      <c r="UM16" s="74" t="e">
        <f t="shared" ca="1" si="66"/>
        <v>#REF!</v>
      </c>
      <c r="UN16" s="74" t="e">
        <f t="shared" ca="1" si="66"/>
        <v>#REF!</v>
      </c>
      <c r="UO16" s="74" t="e">
        <f t="shared" ca="1" si="66"/>
        <v>#REF!</v>
      </c>
      <c r="UP16" s="74" t="e">
        <f t="shared" ca="1" si="66"/>
        <v>#REF!</v>
      </c>
      <c r="UQ16" s="74" t="e">
        <f t="shared" ca="1" si="66"/>
        <v>#REF!</v>
      </c>
      <c r="UR16" s="74" t="e">
        <f t="shared" ca="1" si="66"/>
        <v>#REF!</v>
      </c>
      <c r="US16" s="74" t="e">
        <f t="shared" ca="1" si="66"/>
        <v>#REF!</v>
      </c>
      <c r="UT16" s="74" t="e">
        <f t="shared" ca="1" si="66"/>
        <v>#REF!</v>
      </c>
      <c r="UU16" s="74" t="e">
        <f t="shared" ca="1" si="66"/>
        <v>#REF!</v>
      </c>
      <c r="UV16" s="74" t="e">
        <f t="shared" ca="1" si="66"/>
        <v>#REF!</v>
      </c>
      <c r="UW16" s="74" t="e">
        <f t="shared" ca="1" si="66"/>
        <v>#REF!</v>
      </c>
      <c r="UX16" s="74" t="e">
        <f t="shared" ca="1" si="67"/>
        <v>#REF!</v>
      </c>
      <c r="UY16" s="74" t="e">
        <f t="shared" ca="1" si="67"/>
        <v>#REF!</v>
      </c>
      <c r="UZ16" s="74" t="e">
        <f t="shared" ca="1" si="67"/>
        <v>#REF!</v>
      </c>
      <c r="VA16" s="74" t="e">
        <f t="shared" ca="1" si="67"/>
        <v>#REF!</v>
      </c>
      <c r="VB16" s="74" t="e">
        <f t="shared" ca="1" si="67"/>
        <v>#REF!</v>
      </c>
      <c r="VC16" s="74" t="e">
        <f t="shared" ca="1" si="67"/>
        <v>#REF!</v>
      </c>
      <c r="VD16" s="74" t="e">
        <f t="shared" ca="1" si="67"/>
        <v>#REF!</v>
      </c>
      <c r="VE16" s="74" t="e">
        <f t="shared" ca="1" si="67"/>
        <v>#REF!</v>
      </c>
      <c r="VF16" s="74" t="e">
        <f t="shared" ca="1" si="67"/>
        <v>#REF!</v>
      </c>
      <c r="VG16" s="74" t="e">
        <f t="shared" ca="1" si="67"/>
        <v>#REF!</v>
      </c>
      <c r="VH16" s="74" t="e">
        <f t="shared" ca="1" si="67"/>
        <v>#REF!</v>
      </c>
      <c r="VI16" s="74" t="e">
        <f t="shared" ca="1" si="67"/>
        <v>#REF!</v>
      </c>
      <c r="VJ16" s="74" t="e">
        <f t="shared" ca="1" si="67"/>
        <v>#REF!</v>
      </c>
      <c r="VK16" s="74" t="e">
        <f t="shared" ca="1" si="67"/>
        <v>#REF!</v>
      </c>
      <c r="VL16" s="74" t="e">
        <f t="shared" ca="1" si="67"/>
        <v>#REF!</v>
      </c>
      <c r="VM16" s="74" t="e">
        <f t="shared" ca="1" si="67"/>
        <v>#REF!</v>
      </c>
      <c r="VN16" s="74" t="e">
        <f t="shared" ca="1" si="68"/>
        <v>#REF!</v>
      </c>
      <c r="VO16" s="74" t="e">
        <f t="shared" ca="1" si="68"/>
        <v>#REF!</v>
      </c>
      <c r="VP16" s="74" t="e">
        <f t="shared" ca="1" si="68"/>
        <v>#REF!</v>
      </c>
      <c r="VQ16" s="74" t="e">
        <f t="shared" ca="1" si="68"/>
        <v>#REF!</v>
      </c>
      <c r="VR16" s="74" t="e">
        <f t="shared" ca="1" si="68"/>
        <v>#REF!</v>
      </c>
      <c r="VS16" s="74" t="e">
        <f t="shared" ca="1" si="68"/>
        <v>#REF!</v>
      </c>
    </row>
    <row r="17" spans="1:591" s="17" customFormat="1" ht="16.2" customHeight="1" x14ac:dyDescent="0.3">
      <c r="A17" s="81"/>
      <c r="B17" s="56" t="str">
        <f>'CoS Tracker'!$AL$7</f>
        <v>5. Purchaser DoV Execution Deadline</v>
      </c>
      <c r="C17" s="19" t="s">
        <v>75</v>
      </c>
      <c r="D17" s="19"/>
      <c r="E17" s="27">
        <v>0.1</v>
      </c>
      <c r="F17" s="26" t="e">
        <f>G16</f>
        <v>#REF!</v>
      </c>
      <c r="G17" s="26" t="e">
        <f>'CoS Tracker'!#REF!</f>
        <v>#REF!</v>
      </c>
      <c r="H17" s="25" t="e">
        <f>Milestones43524[[#This Row],[End]]-Milestones43524[[#This Row],[Start]]</f>
        <v>#REF!</v>
      </c>
      <c r="I17" s="19"/>
      <c r="J17" s="74" t="e">
        <f t="shared" ca="1" si="32"/>
        <v>#REF!</v>
      </c>
      <c r="K17" s="74" t="e">
        <f t="shared" ca="1" si="32"/>
        <v>#REF!</v>
      </c>
      <c r="L17" s="74" t="e">
        <f t="shared" ca="1" si="32"/>
        <v>#REF!</v>
      </c>
      <c r="M17" s="74" t="e">
        <f t="shared" ca="1" si="32"/>
        <v>#REF!</v>
      </c>
      <c r="N17" s="74" t="e">
        <f t="shared" ca="1" si="32"/>
        <v>#REF!</v>
      </c>
      <c r="O17" s="74" t="e">
        <f t="shared" ca="1" si="32"/>
        <v>#REF!</v>
      </c>
      <c r="P17" s="74" t="e">
        <f t="shared" ca="1" si="32"/>
        <v>#REF!</v>
      </c>
      <c r="Q17" s="74" t="e">
        <f t="shared" ca="1" si="32"/>
        <v>#REF!</v>
      </c>
      <c r="R17" s="74" t="e">
        <f t="shared" ca="1" si="32"/>
        <v>#REF!</v>
      </c>
      <c r="S17" s="74" t="e">
        <f t="shared" ca="1" si="32"/>
        <v>#REF!</v>
      </c>
      <c r="T17" s="74" t="e">
        <f t="shared" ca="1" si="32"/>
        <v>#REF!</v>
      </c>
      <c r="U17" s="74" t="e">
        <f t="shared" ca="1" si="32"/>
        <v>#REF!</v>
      </c>
      <c r="V17" s="74" t="e">
        <f t="shared" ca="1" si="32"/>
        <v>#REF!</v>
      </c>
      <c r="W17" s="74" t="e">
        <f t="shared" ca="1" si="32"/>
        <v>#REF!</v>
      </c>
      <c r="X17" s="74" t="e">
        <f t="shared" ca="1" si="32"/>
        <v>#REF!</v>
      </c>
      <c r="Y17" s="74" t="e">
        <f t="shared" ca="1" si="32"/>
        <v>#REF!</v>
      </c>
      <c r="Z17" s="74" t="e">
        <f t="shared" ca="1" si="33"/>
        <v>#REF!</v>
      </c>
      <c r="AA17" s="74" t="e">
        <f t="shared" ca="1" si="33"/>
        <v>#REF!</v>
      </c>
      <c r="AB17" s="74" t="e">
        <f t="shared" ca="1" si="33"/>
        <v>#REF!</v>
      </c>
      <c r="AC17" s="74" t="e">
        <f t="shared" ca="1" si="33"/>
        <v>#REF!</v>
      </c>
      <c r="AD17" s="74" t="e">
        <f t="shared" ca="1" si="33"/>
        <v>#REF!</v>
      </c>
      <c r="AE17" s="74" t="e">
        <f t="shared" ca="1" si="33"/>
        <v>#REF!</v>
      </c>
      <c r="AF17" s="74" t="e">
        <f t="shared" ca="1" si="33"/>
        <v>#REF!</v>
      </c>
      <c r="AG17" s="74" t="e">
        <f t="shared" ca="1" si="33"/>
        <v>#REF!</v>
      </c>
      <c r="AH17" s="74" t="e">
        <f t="shared" ca="1" si="33"/>
        <v>#REF!</v>
      </c>
      <c r="AI17" s="74" t="e">
        <f t="shared" ca="1" si="33"/>
        <v>#REF!</v>
      </c>
      <c r="AJ17" s="74" t="e">
        <f t="shared" ca="1" si="33"/>
        <v>#REF!</v>
      </c>
      <c r="AK17" s="74" t="e">
        <f t="shared" ca="1" si="33"/>
        <v>#REF!</v>
      </c>
      <c r="AL17" s="74" t="e">
        <f t="shared" ca="1" si="33"/>
        <v>#REF!</v>
      </c>
      <c r="AM17" s="74" t="e">
        <f t="shared" ca="1" si="33"/>
        <v>#REF!</v>
      </c>
      <c r="AN17" s="74" t="e">
        <f t="shared" ca="1" si="33"/>
        <v>#REF!</v>
      </c>
      <c r="AO17" s="74" t="e">
        <f t="shared" ca="1" si="33"/>
        <v>#REF!</v>
      </c>
      <c r="AP17" s="74" t="e">
        <f t="shared" ca="1" si="34"/>
        <v>#REF!</v>
      </c>
      <c r="AQ17" s="74" t="e">
        <f t="shared" ca="1" si="34"/>
        <v>#REF!</v>
      </c>
      <c r="AR17" s="74" t="e">
        <f t="shared" ca="1" si="34"/>
        <v>#REF!</v>
      </c>
      <c r="AS17" s="74" t="e">
        <f t="shared" ca="1" si="34"/>
        <v>#REF!</v>
      </c>
      <c r="AT17" s="74" t="e">
        <f t="shared" ca="1" si="34"/>
        <v>#REF!</v>
      </c>
      <c r="AU17" s="74" t="e">
        <f t="shared" ca="1" si="34"/>
        <v>#REF!</v>
      </c>
      <c r="AV17" s="74" t="e">
        <f t="shared" ca="1" si="34"/>
        <v>#REF!</v>
      </c>
      <c r="AW17" s="74" t="e">
        <f t="shared" ca="1" si="34"/>
        <v>#REF!</v>
      </c>
      <c r="AX17" s="74" t="e">
        <f t="shared" ca="1" si="34"/>
        <v>#REF!</v>
      </c>
      <c r="AY17" s="74" t="e">
        <f t="shared" ca="1" si="34"/>
        <v>#REF!</v>
      </c>
      <c r="AZ17" s="74" t="e">
        <f t="shared" ca="1" si="34"/>
        <v>#REF!</v>
      </c>
      <c r="BA17" s="74" t="e">
        <f t="shared" ca="1" si="34"/>
        <v>#REF!</v>
      </c>
      <c r="BB17" s="74" t="e">
        <f t="shared" ca="1" si="34"/>
        <v>#REF!</v>
      </c>
      <c r="BC17" s="74" t="e">
        <f t="shared" ca="1" si="34"/>
        <v>#REF!</v>
      </c>
      <c r="BD17" s="74" t="e">
        <f t="shared" ca="1" si="34"/>
        <v>#REF!</v>
      </c>
      <c r="BE17" s="74" t="e">
        <f t="shared" ca="1" si="34"/>
        <v>#REF!</v>
      </c>
      <c r="BF17" s="74" t="e">
        <f t="shared" ca="1" si="35"/>
        <v>#REF!</v>
      </c>
      <c r="BG17" s="74" t="e">
        <f t="shared" ca="1" si="35"/>
        <v>#REF!</v>
      </c>
      <c r="BH17" s="74" t="e">
        <f t="shared" ca="1" si="35"/>
        <v>#REF!</v>
      </c>
      <c r="BI17" s="74" t="e">
        <f t="shared" ca="1" si="35"/>
        <v>#REF!</v>
      </c>
      <c r="BJ17" s="74" t="e">
        <f t="shared" ca="1" si="35"/>
        <v>#REF!</v>
      </c>
      <c r="BK17" s="74" t="e">
        <f t="shared" ca="1" si="35"/>
        <v>#REF!</v>
      </c>
      <c r="BL17" s="74" t="e">
        <f t="shared" ca="1" si="35"/>
        <v>#REF!</v>
      </c>
      <c r="BM17" s="74" t="e">
        <f t="shared" ca="1" si="35"/>
        <v>#REF!</v>
      </c>
      <c r="BN17" s="74" t="e">
        <f t="shared" ca="1" si="35"/>
        <v>#REF!</v>
      </c>
      <c r="BO17" s="74" t="e">
        <f t="shared" ca="1" si="35"/>
        <v>#REF!</v>
      </c>
      <c r="BP17" s="74" t="e">
        <f t="shared" ca="1" si="35"/>
        <v>#REF!</v>
      </c>
      <c r="BQ17" s="74" t="e">
        <f t="shared" ca="1" si="35"/>
        <v>#REF!</v>
      </c>
      <c r="BR17" s="74" t="e">
        <f t="shared" ca="1" si="35"/>
        <v>#REF!</v>
      </c>
      <c r="BS17" s="74" t="e">
        <f t="shared" ca="1" si="35"/>
        <v>#REF!</v>
      </c>
      <c r="BT17" s="74" t="e">
        <f t="shared" ca="1" si="35"/>
        <v>#REF!</v>
      </c>
      <c r="BU17" s="74" t="e">
        <f t="shared" ca="1" si="35"/>
        <v>#REF!</v>
      </c>
      <c r="BV17" s="74" t="e">
        <f t="shared" ca="1" si="36"/>
        <v>#REF!</v>
      </c>
      <c r="BW17" s="74" t="e">
        <f t="shared" ca="1" si="36"/>
        <v>#REF!</v>
      </c>
      <c r="BX17" s="74" t="e">
        <f t="shared" ca="1" si="36"/>
        <v>#REF!</v>
      </c>
      <c r="BY17" s="74" t="e">
        <f t="shared" ca="1" si="36"/>
        <v>#REF!</v>
      </c>
      <c r="BZ17" s="74" t="e">
        <f t="shared" ca="1" si="36"/>
        <v>#REF!</v>
      </c>
      <c r="CA17" s="74" t="e">
        <f t="shared" ca="1" si="36"/>
        <v>#REF!</v>
      </c>
      <c r="CB17" s="74" t="e">
        <f t="shared" ca="1" si="36"/>
        <v>#REF!</v>
      </c>
      <c r="CC17" s="74" t="e">
        <f t="shared" ca="1" si="36"/>
        <v>#REF!</v>
      </c>
      <c r="CD17" s="74" t="e">
        <f t="shared" ca="1" si="36"/>
        <v>#REF!</v>
      </c>
      <c r="CE17" s="74" t="e">
        <f t="shared" ca="1" si="36"/>
        <v>#REF!</v>
      </c>
      <c r="CF17" s="74" t="e">
        <f t="shared" ca="1" si="36"/>
        <v>#REF!</v>
      </c>
      <c r="CG17" s="74" t="e">
        <f t="shared" ca="1" si="36"/>
        <v>#REF!</v>
      </c>
      <c r="CH17" s="74" t="e">
        <f t="shared" ca="1" si="36"/>
        <v>#REF!</v>
      </c>
      <c r="CI17" s="74" t="e">
        <f t="shared" ca="1" si="36"/>
        <v>#REF!</v>
      </c>
      <c r="CJ17" s="74" t="e">
        <f t="shared" ca="1" si="36"/>
        <v>#REF!</v>
      </c>
      <c r="CK17" s="74" t="e">
        <f t="shared" ca="1" si="36"/>
        <v>#REF!</v>
      </c>
      <c r="CL17" s="74" t="e">
        <f t="shared" ca="1" si="37"/>
        <v>#REF!</v>
      </c>
      <c r="CM17" s="74" t="e">
        <f t="shared" ca="1" si="37"/>
        <v>#REF!</v>
      </c>
      <c r="CN17" s="74" t="e">
        <f t="shared" ca="1" si="37"/>
        <v>#REF!</v>
      </c>
      <c r="CO17" s="74" t="e">
        <f t="shared" ca="1" si="37"/>
        <v>#REF!</v>
      </c>
      <c r="CP17" s="74" t="e">
        <f t="shared" ca="1" si="37"/>
        <v>#REF!</v>
      </c>
      <c r="CQ17" s="74" t="e">
        <f t="shared" ca="1" si="37"/>
        <v>#REF!</v>
      </c>
      <c r="CR17" s="74" t="e">
        <f t="shared" ca="1" si="37"/>
        <v>#REF!</v>
      </c>
      <c r="CS17" s="74" t="e">
        <f t="shared" ca="1" si="37"/>
        <v>#REF!</v>
      </c>
      <c r="CT17" s="74" t="e">
        <f t="shared" ca="1" si="37"/>
        <v>#REF!</v>
      </c>
      <c r="CU17" s="74" t="e">
        <f t="shared" ca="1" si="37"/>
        <v>#REF!</v>
      </c>
      <c r="CV17" s="74" t="e">
        <f t="shared" ca="1" si="37"/>
        <v>#REF!</v>
      </c>
      <c r="CW17" s="74" t="e">
        <f t="shared" ca="1" si="37"/>
        <v>#REF!</v>
      </c>
      <c r="CX17" s="74" t="e">
        <f t="shared" ca="1" si="37"/>
        <v>#REF!</v>
      </c>
      <c r="CY17" s="74" t="e">
        <f t="shared" ca="1" si="37"/>
        <v>#REF!</v>
      </c>
      <c r="CZ17" s="74" t="e">
        <f t="shared" ca="1" si="37"/>
        <v>#REF!</v>
      </c>
      <c r="DA17" s="74" t="e">
        <f t="shared" ca="1" si="37"/>
        <v>#REF!</v>
      </c>
      <c r="DB17" s="74" t="e">
        <f t="shared" ca="1" si="38"/>
        <v>#REF!</v>
      </c>
      <c r="DC17" s="74" t="e">
        <f t="shared" ca="1" si="38"/>
        <v>#REF!</v>
      </c>
      <c r="DD17" s="74" t="e">
        <f t="shared" ca="1" si="38"/>
        <v>#REF!</v>
      </c>
      <c r="DE17" s="74" t="e">
        <f t="shared" ca="1" si="38"/>
        <v>#REF!</v>
      </c>
      <c r="DF17" s="74" t="e">
        <f t="shared" ca="1" si="38"/>
        <v>#REF!</v>
      </c>
      <c r="DG17" s="74" t="e">
        <f t="shared" ca="1" si="38"/>
        <v>#REF!</v>
      </c>
      <c r="DH17" s="74" t="e">
        <f t="shared" ca="1" si="38"/>
        <v>#REF!</v>
      </c>
      <c r="DI17" s="74" t="e">
        <f t="shared" ca="1" si="38"/>
        <v>#REF!</v>
      </c>
      <c r="DJ17" s="74" t="e">
        <f t="shared" ca="1" si="38"/>
        <v>#REF!</v>
      </c>
      <c r="DK17" s="74" t="e">
        <f t="shared" ca="1" si="38"/>
        <v>#REF!</v>
      </c>
      <c r="DL17" s="74" t="e">
        <f t="shared" ca="1" si="38"/>
        <v>#REF!</v>
      </c>
      <c r="DM17" s="74" t="e">
        <f t="shared" ca="1" si="38"/>
        <v>#REF!</v>
      </c>
      <c r="DN17" s="74" t="e">
        <f t="shared" ca="1" si="38"/>
        <v>#REF!</v>
      </c>
      <c r="DO17" s="74" t="e">
        <f t="shared" ca="1" si="38"/>
        <v>#REF!</v>
      </c>
      <c r="DP17" s="74" t="e">
        <f t="shared" ca="1" si="38"/>
        <v>#REF!</v>
      </c>
      <c r="DQ17" s="74" t="e">
        <f t="shared" ca="1" si="38"/>
        <v>#REF!</v>
      </c>
      <c r="DR17" s="74" t="e">
        <f t="shared" ca="1" si="39"/>
        <v>#REF!</v>
      </c>
      <c r="DS17" s="74" t="e">
        <f t="shared" ca="1" si="39"/>
        <v>#REF!</v>
      </c>
      <c r="DT17" s="74" t="e">
        <f t="shared" ca="1" si="39"/>
        <v>#REF!</v>
      </c>
      <c r="DU17" s="74" t="e">
        <f t="shared" ca="1" si="39"/>
        <v>#REF!</v>
      </c>
      <c r="DV17" s="74" t="e">
        <f t="shared" ca="1" si="39"/>
        <v>#REF!</v>
      </c>
      <c r="DW17" s="74" t="e">
        <f t="shared" ca="1" si="39"/>
        <v>#REF!</v>
      </c>
      <c r="DX17" s="74" t="e">
        <f t="shared" ca="1" si="39"/>
        <v>#REF!</v>
      </c>
      <c r="DY17" s="74" t="e">
        <f t="shared" ca="1" si="39"/>
        <v>#REF!</v>
      </c>
      <c r="DZ17" s="74" t="e">
        <f t="shared" ca="1" si="39"/>
        <v>#REF!</v>
      </c>
      <c r="EA17" s="74" t="e">
        <f t="shared" ca="1" si="39"/>
        <v>#REF!</v>
      </c>
      <c r="EB17" s="74" t="e">
        <f t="shared" ca="1" si="39"/>
        <v>#REF!</v>
      </c>
      <c r="EC17" s="74" t="e">
        <f t="shared" ca="1" si="39"/>
        <v>#REF!</v>
      </c>
      <c r="ED17" s="74" t="e">
        <f t="shared" ca="1" si="39"/>
        <v>#REF!</v>
      </c>
      <c r="EE17" s="74" t="e">
        <f t="shared" ca="1" si="39"/>
        <v>#REF!</v>
      </c>
      <c r="EF17" s="74" t="e">
        <f t="shared" ca="1" si="39"/>
        <v>#REF!</v>
      </c>
      <c r="EG17" s="74" t="e">
        <f t="shared" ca="1" si="39"/>
        <v>#REF!</v>
      </c>
      <c r="EH17" s="74" t="e">
        <f t="shared" ca="1" si="40"/>
        <v>#REF!</v>
      </c>
      <c r="EI17" s="74" t="e">
        <f t="shared" ca="1" si="40"/>
        <v>#REF!</v>
      </c>
      <c r="EJ17" s="74" t="e">
        <f t="shared" ca="1" si="40"/>
        <v>#REF!</v>
      </c>
      <c r="EK17" s="74" t="e">
        <f t="shared" ca="1" si="40"/>
        <v>#REF!</v>
      </c>
      <c r="EL17" s="74" t="e">
        <f t="shared" ca="1" si="40"/>
        <v>#REF!</v>
      </c>
      <c r="EM17" s="74" t="e">
        <f t="shared" ca="1" si="40"/>
        <v>#REF!</v>
      </c>
      <c r="EN17" s="74" t="e">
        <f t="shared" ca="1" si="40"/>
        <v>#REF!</v>
      </c>
      <c r="EO17" s="74" t="e">
        <f t="shared" ca="1" si="40"/>
        <v>#REF!</v>
      </c>
      <c r="EP17" s="74" t="e">
        <f t="shared" ca="1" si="40"/>
        <v>#REF!</v>
      </c>
      <c r="EQ17" s="74" t="e">
        <f t="shared" ca="1" si="40"/>
        <v>#REF!</v>
      </c>
      <c r="ER17" s="74" t="e">
        <f t="shared" ca="1" si="40"/>
        <v>#REF!</v>
      </c>
      <c r="ES17" s="74" t="e">
        <f t="shared" ca="1" si="40"/>
        <v>#REF!</v>
      </c>
      <c r="ET17" s="74" t="e">
        <f t="shared" ca="1" si="40"/>
        <v>#REF!</v>
      </c>
      <c r="EU17" s="74" t="e">
        <f t="shared" ca="1" si="40"/>
        <v>#REF!</v>
      </c>
      <c r="EV17" s="74" t="e">
        <f t="shared" ca="1" si="40"/>
        <v>#REF!</v>
      </c>
      <c r="EW17" s="74" t="e">
        <f t="shared" ca="1" si="40"/>
        <v>#REF!</v>
      </c>
      <c r="EX17" s="74" t="e">
        <f t="shared" ca="1" si="41"/>
        <v>#REF!</v>
      </c>
      <c r="EY17" s="74" t="e">
        <f t="shared" ca="1" si="41"/>
        <v>#REF!</v>
      </c>
      <c r="EZ17" s="74" t="e">
        <f t="shared" ca="1" si="41"/>
        <v>#REF!</v>
      </c>
      <c r="FA17" s="74" t="e">
        <f t="shared" ca="1" si="41"/>
        <v>#REF!</v>
      </c>
      <c r="FB17" s="74" t="e">
        <f t="shared" ca="1" si="41"/>
        <v>#REF!</v>
      </c>
      <c r="FC17" s="74" t="e">
        <f t="shared" ca="1" si="41"/>
        <v>#REF!</v>
      </c>
      <c r="FD17" s="74" t="e">
        <f t="shared" ca="1" si="41"/>
        <v>#REF!</v>
      </c>
      <c r="FE17" s="74" t="e">
        <f t="shared" ca="1" si="41"/>
        <v>#REF!</v>
      </c>
      <c r="FF17" s="74" t="e">
        <f t="shared" ca="1" si="41"/>
        <v>#REF!</v>
      </c>
      <c r="FG17" s="74" t="e">
        <f t="shared" ca="1" si="41"/>
        <v>#REF!</v>
      </c>
      <c r="FH17" s="74" t="e">
        <f t="shared" ca="1" si="41"/>
        <v>#REF!</v>
      </c>
      <c r="FI17" s="74" t="e">
        <f t="shared" ca="1" si="41"/>
        <v>#REF!</v>
      </c>
      <c r="FJ17" s="74" t="e">
        <f t="shared" ca="1" si="41"/>
        <v>#REF!</v>
      </c>
      <c r="FK17" s="74" t="e">
        <f t="shared" ca="1" si="41"/>
        <v>#REF!</v>
      </c>
      <c r="FL17" s="74" t="e">
        <f t="shared" ca="1" si="41"/>
        <v>#REF!</v>
      </c>
      <c r="FM17" s="74" t="e">
        <f t="shared" ca="1" si="41"/>
        <v>#REF!</v>
      </c>
      <c r="FN17" s="74" t="e">
        <f t="shared" ca="1" si="42"/>
        <v>#REF!</v>
      </c>
      <c r="FO17" s="74" t="e">
        <f t="shared" ca="1" si="42"/>
        <v>#REF!</v>
      </c>
      <c r="FP17" s="74" t="e">
        <f t="shared" ca="1" si="42"/>
        <v>#REF!</v>
      </c>
      <c r="FQ17" s="74" t="e">
        <f t="shared" ca="1" si="42"/>
        <v>#REF!</v>
      </c>
      <c r="FR17" s="74" t="e">
        <f t="shared" ca="1" si="42"/>
        <v>#REF!</v>
      </c>
      <c r="FS17" s="74" t="e">
        <f t="shared" ca="1" si="42"/>
        <v>#REF!</v>
      </c>
      <c r="FT17" s="74" t="e">
        <f t="shared" ca="1" si="42"/>
        <v>#REF!</v>
      </c>
      <c r="FU17" s="74" t="e">
        <f t="shared" ca="1" si="42"/>
        <v>#REF!</v>
      </c>
      <c r="FV17" s="74" t="e">
        <f t="shared" ca="1" si="42"/>
        <v>#REF!</v>
      </c>
      <c r="FW17" s="74" t="e">
        <f t="shared" ca="1" si="42"/>
        <v>#REF!</v>
      </c>
      <c r="FX17" s="74" t="e">
        <f t="shared" ca="1" si="42"/>
        <v>#REF!</v>
      </c>
      <c r="FY17" s="74" t="e">
        <f t="shared" ca="1" si="42"/>
        <v>#REF!</v>
      </c>
      <c r="FZ17" s="74" t="e">
        <f t="shared" ca="1" si="42"/>
        <v>#REF!</v>
      </c>
      <c r="GA17" s="74" t="e">
        <f t="shared" ca="1" si="42"/>
        <v>#REF!</v>
      </c>
      <c r="GB17" s="74" t="e">
        <f t="shared" ca="1" si="42"/>
        <v>#REF!</v>
      </c>
      <c r="GC17" s="74" t="e">
        <f t="shared" ca="1" si="42"/>
        <v>#REF!</v>
      </c>
      <c r="GD17" s="74" t="e">
        <f t="shared" ca="1" si="43"/>
        <v>#REF!</v>
      </c>
      <c r="GE17" s="74" t="e">
        <f t="shared" ca="1" si="43"/>
        <v>#REF!</v>
      </c>
      <c r="GF17" s="74" t="e">
        <f t="shared" ca="1" si="43"/>
        <v>#REF!</v>
      </c>
      <c r="GG17" s="74" t="e">
        <f t="shared" ca="1" si="43"/>
        <v>#REF!</v>
      </c>
      <c r="GH17" s="74" t="e">
        <f t="shared" ca="1" si="43"/>
        <v>#REF!</v>
      </c>
      <c r="GI17" s="74" t="e">
        <f t="shared" ca="1" si="43"/>
        <v>#REF!</v>
      </c>
      <c r="GJ17" s="74" t="e">
        <f t="shared" ca="1" si="43"/>
        <v>#REF!</v>
      </c>
      <c r="GK17" s="74" t="e">
        <f t="shared" ca="1" si="43"/>
        <v>#REF!</v>
      </c>
      <c r="GL17" s="74" t="e">
        <f t="shared" ca="1" si="43"/>
        <v>#REF!</v>
      </c>
      <c r="GM17" s="74" t="e">
        <f t="shared" ca="1" si="43"/>
        <v>#REF!</v>
      </c>
      <c r="GN17" s="74" t="e">
        <f t="shared" ca="1" si="43"/>
        <v>#REF!</v>
      </c>
      <c r="GO17" s="74" t="e">
        <f t="shared" ca="1" si="43"/>
        <v>#REF!</v>
      </c>
      <c r="GP17" s="74" t="e">
        <f t="shared" ca="1" si="43"/>
        <v>#REF!</v>
      </c>
      <c r="GQ17" s="74" t="e">
        <f t="shared" ca="1" si="43"/>
        <v>#REF!</v>
      </c>
      <c r="GR17" s="74" t="e">
        <f t="shared" ca="1" si="43"/>
        <v>#REF!</v>
      </c>
      <c r="GS17" s="74" t="e">
        <f t="shared" ca="1" si="43"/>
        <v>#REF!</v>
      </c>
      <c r="GT17" s="74" t="e">
        <f t="shared" ca="1" si="44"/>
        <v>#REF!</v>
      </c>
      <c r="GU17" s="74" t="e">
        <f t="shared" ca="1" si="44"/>
        <v>#REF!</v>
      </c>
      <c r="GV17" s="74" t="e">
        <f t="shared" ca="1" si="44"/>
        <v>#REF!</v>
      </c>
      <c r="GW17" s="74" t="e">
        <f t="shared" ca="1" si="44"/>
        <v>#REF!</v>
      </c>
      <c r="GX17" s="74" t="e">
        <f t="shared" ca="1" si="44"/>
        <v>#REF!</v>
      </c>
      <c r="GY17" s="74" t="e">
        <f t="shared" ca="1" si="44"/>
        <v>#REF!</v>
      </c>
      <c r="GZ17" s="74" t="e">
        <f t="shared" ca="1" si="44"/>
        <v>#REF!</v>
      </c>
      <c r="HA17" s="74" t="e">
        <f t="shared" ca="1" si="44"/>
        <v>#REF!</v>
      </c>
      <c r="HB17" s="74" t="e">
        <f t="shared" ca="1" si="44"/>
        <v>#REF!</v>
      </c>
      <c r="HC17" s="74" t="e">
        <f t="shared" ca="1" si="44"/>
        <v>#REF!</v>
      </c>
      <c r="HD17" s="74" t="e">
        <f t="shared" ca="1" si="44"/>
        <v>#REF!</v>
      </c>
      <c r="HE17" s="74" t="e">
        <f t="shared" ca="1" si="44"/>
        <v>#REF!</v>
      </c>
      <c r="HF17" s="74" t="e">
        <f t="shared" ca="1" si="44"/>
        <v>#REF!</v>
      </c>
      <c r="HG17" s="74" t="e">
        <f t="shared" ca="1" si="44"/>
        <v>#REF!</v>
      </c>
      <c r="HH17" s="74" t="e">
        <f t="shared" ca="1" si="44"/>
        <v>#REF!</v>
      </c>
      <c r="HI17" s="74" t="e">
        <f t="shared" ca="1" si="44"/>
        <v>#REF!</v>
      </c>
      <c r="HJ17" s="74" t="e">
        <f t="shared" ca="1" si="45"/>
        <v>#REF!</v>
      </c>
      <c r="HK17" s="74" t="e">
        <f t="shared" ca="1" si="45"/>
        <v>#REF!</v>
      </c>
      <c r="HL17" s="74" t="e">
        <f t="shared" ca="1" si="45"/>
        <v>#REF!</v>
      </c>
      <c r="HM17" s="74" t="e">
        <f t="shared" ca="1" si="45"/>
        <v>#REF!</v>
      </c>
      <c r="HN17" s="74" t="e">
        <f t="shared" ca="1" si="45"/>
        <v>#REF!</v>
      </c>
      <c r="HO17" s="74" t="e">
        <f t="shared" ca="1" si="45"/>
        <v>#REF!</v>
      </c>
      <c r="HP17" s="74" t="e">
        <f t="shared" ca="1" si="45"/>
        <v>#REF!</v>
      </c>
      <c r="HQ17" s="74" t="e">
        <f t="shared" ca="1" si="45"/>
        <v>#REF!</v>
      </c>
      <c r="HR17" s="74" t="e">
        <f t="shared" ca="1" si="45"/>
        <v>#REF!</v>
      </c>
      <c r="HS17" s="74" t="e">
        <f t="shared" ca="1" si="45"/>
        <v>#REF!</v>
      </c>
      <c r="HT17" s="74" t="e">
        <f t="shared" ca="1" si="45"/>
        <v>#REF!</v>
      </c>
      <c r="HU17" s="74" t="e">
        <f t="shared" ca="1" si="45"/>
        <v>#REF!</v>
      </c>
      <c r="HV17" s="74" t="e">
        <f t="shared" ca="1" si="45"/>
        <v>#REF!</v>
      </c>
      <c r="HW17" s="74" t="e">
        <f t="shared" ca="1" si="45"/>
        <v>#REF!</v>
      </c>
      <c r="HX17" s="74" t="e">
        <f t="shared" ca="1" si="45"/>
        <v>#REF!</v>
      </c>
      <c r="HY17" s="74" t="e">
        <f t="shared" ca="1" si="45"/>
        <v>#REF!</v>
      </c>
      <c r="HZ17" s="74" t="e">
        <f t="shared" ca="1" si="46"/>
        <v>#REF!</v>
      </c>
      <c r="IA17" s="74" t="e">
        <f t="shared" ca="1" si="46"/>
        <v>#REF!</v>
      </c>
      <c r="IB17" s="74" t="e">
        <f t="shared" ca="1" si="46"/>
        <v>#REF!</v>
      </c>
      <c r="IC17" s="74" t="e">
        <f t="shared" ca="1" si="46"/>
        <v>#REF!</v>
      </c>
      <c r="ID17" s="74" t="e">
        <f t="shared" ca="1" si="46"/>
        <v>#REF!</v>
      </c>
      <c r="IE17" s="74" t="e">
        <f t="shared" ca="1" si="46"/>
        <v>#REF!</v>
      </c>
      <c r="IF17" s="74" t="e">
        <f t="shared" ca="1" si="46"/>
        <v>#REF!</v>
      </c>
      <c r="IG17" s="74" t="e">
        <f t="shared" ca="1" si="46"/>
        <v>#REF!</v>
      </c>
      <c r="IH17" s="74" t="e">
        <f t="shared" ca="1" si="46"/>
        <v>#REF!</v>
      </c>
      <c r="II17" s="74" t="e">
        <f t="shared" ca="1" si="46"/>
        <v>#REF!</v>
      </c>
      <c r="IJ17" s="74" t="e">
        <f t="shared" ca="1" si="46"/>
        <v>#REF!</v>
      </c>
      <c r="IK17" s="74" t="e">
        <f t="shared" ca="1" si="46"/>
        <v>#REF!</v>
      </c>
      <c r="IL17" s="74" t="e">
        <f t="shared" ca="1" si="46"/>
        <v>#REF!</v>
      </c>
      <c r="IM17" s="74" t="e">
        <f t="shared" ca="1" si="46"/>
        <v>#REF!</v>
      </c>
      <c r="IN17" s="74" t="e">
        <f t="shared" ca="1" si="46"/>
        <v>#REF!</v>
      </c>
      <c r="IO17" s="74" t="e">
        <f t="shared" ca="1" si="46"/>
        <v>#REF!</v>
      </c>
      <c r="IP17" s="74" t="e">
        <f t="shared" ca="1" si="47"/>
        <v>#REF!</v>
      </c>
      <c r="IQ17" s="74" t="e">
        <f t="shared" ca="1" si="47"/>
        <v>#REF!</v>
      </c>
      <c r="IR17" s="74" t="e">
        <f t="shared" ca="1" si="47"/>
        <v>#REF!</v>
      </c>
      <c r="IS17" s="74" t="e">
        <f t="shared" ca="1" si="47"/>
        <v>#REF!</v>
      </c>
      <c r="IT17" s="74" t="e">
        <f t="shared" ca="1" si="47"/>
        <v>#REF!</v>
      </c>
      <c r="IU17" s="74" t="e">
        <f t="shared" ca="1" si="47"/>
        <v>#REF!</v>
      </c>
      <c r="IV17" s="74" t="e">
        <f t="shared" ca="1" si="47"/>
        <v>#REF!</v>
      </c>
      <c r="IW17" s="74" t="e">
        <f t="shared" ca="1" si="47"/>
        <v>#REF!</v>
      </c>
      <c r="IX17" s="74" t="e">
        <f t="shared" ca="1" si="47"/>
        <v>#REF!</v>
      </c>
      <c r="IY17" s="74" t="e">
        <f t="shared" ca="1" si="47"/>
        <v>#REF!</v>
      </c>
      <c r="IZ17" s="74" t="e">
        <f t="shared" ca="1" si="47"/>
        <v>#REF!</v>
      </c>
      <c r="JA17" s="74" t="e">
        <f t="shared" ca="1" si="47"/>
        <v>#REF!</v>
      </c>
      <c r="JB17" s="74" t="e">
        <f t="shared" ca="1" si="47"/>
        <v>#REF!</v>
      </c>
      <c r="JC17" s="74" t="e">
        <f t="shared" ca="1" si="47"/>
        <v>#REF!</v>
      </c>
      <c r="JD17" s="74" t="e">
        <f t="shared" ca="1" si="47"/>
        <v>#REF!</v>
      </c>
      <c r="JE17" s="74" t="e">
        <f t="shared" ca="1" si="47"/>
        <v>#REF!</v>
      </c>
      <c r="JF17" s="74" t="e">
        <f t="shared" ca="1" si="48"/>
        <v>#REF!</v>
      </c>
      <c r="JG17" s="74" t="e">
        <f t="shared" ca="1" si="48"/>
        <v>#REF!</v>
      </c>
      <c r="JH17" s="74" t="e">
        <f t="shared" ca="1" si="48"/>
        <v>#REF!</v>
      </c>
      <c r="JI17" s="74" t="e">
        <f t="shared" ca="1" si="48"/>
        <v>#REF!</v>
      </c>
      <c r="JJ17" s="74" t="e">
        <f t="shared" ca="1" si="48"/>
        <v>#REF!</v>
      </c>
      <c r="JK17" s="74" t="e">
        <f t="shared" ca="1" si="48"/>
        <v>#REF!</v>
      </c>
      <c r="JL17" s="74" t="e">
        <f t="shared" ca="1" si="48"/>
        <v>#REF!</v>
      </c>
      <c r="JM17" s="74" t="e">
        <f t="shared" ca="1" si="48"/>
        <v>#REF!</v>
      </c>
      <c r="JN17" s="74" t="e">
        <f t="shared" ca="1" si="48"/>
        <v>#REF!</v>
      </c>
      <c r="JO17" s="74" t="e">
        <f t="shared" ca="1" si="48"/>
        <v>#REF!</v>
      </c>
      <c r="JP17" s="74" t="e">
        <f t="shared" ca="1" si="48"/>
        <v>#REF!</v>
      </c>
      <c r="JQ17" s="74" t="e">
        <f t="shared" ca="1" si="48"/>
        <v>#REF!</v>
      </c>
      <c r="JR17" s="74" t="e">
        <f t="shared" ca="1" si="48"/>
        <v>#REF!</v>
      </c>
      <c r="JS17" s="74" t="e">
        <f t="shared" ca="1" si="48"/>
        <v>#REF!</v>
      </c>
      <c r="JT17" s="74" t="e">
        <f t="shared" ca="1" si="48"/>
        <v>#REF!</v>
      </c>
      <c r="JU17" s="74" t="e">
        <f t="shared" ca="1" si="48"/>
        <v>#REF!</v>
      </c>
      <c r="JV17" s="74" t="e">
        <f t="shared" ca="1" si="49"/>
        <v>#REF!</v>
      </c>
      <c r="JW17" s="74" t="e">
        <f t="shared" ca="1" si="49"/>
        <v>#REF!</v>
      </c>
      <c r="JX17" s="74" t="e">
        <f t="shared" ca="1" si="49"/>
        <v>#REF!</v>
      </c>
      <c r="JY17" s="74" t="e">
        <f t="shared" ca="1" si="49"/>
        <v>#REF!</v>
      </c>
      <c r="JZ17" s="74" t="e">
        <f t="shared" ca="1" si="49"/>
        <v>#REF!</v>
      </c>
      <c r="KA17" s="74" t="e">
        <f t="shared" ca="1" si="49"/>
        <v>#REF!</v>
      </c>
      <c r="KB17" s="74" t="e">
        <f t="shared" ca="1" si="49"/>
        <v>#REF!</v>
      </c>
      <c r="KC17" s="74" t="e">
        <f t="shared" ca="1" si="49"/>
        <v>#REF!</v>
      </c>
      <c r="KD17" s="74" t="e">
        <f t="shared" ca="1" si="49"/>
        <v>#REF!</v>
      </c>
      <c r="KE17" s="74" t="e">
        <f t="shared" ca="1" si="49"/>
        <v>#REF!</v>
      </c>
      <c r="KF17" s="74" t="e">
        <f t="shared" ca="1" si="49"/>
        <v>#REF!</v>
      </c>
      <c r="KG17" s="74" t="e">
        <f t="shared" ca="1" si="49"/>
        <v>#REF!</v>
      </c>
      <c r="KH17" s="74" t="e">
        <f t="shared" ca="1" si="49"/>
        <v>#REF!</v>
      </c>
      <c r="KI17" s="74" t="e">
        <f t="shared" ca="1" si="49"/>
        <v>#REF!</v>
      </c>
      <c r="KJ17" s="74" t="e">
        <f t="shared" ca="1" si="49"/>
        <v>#REF!</v>
      </c>
      <c r="KK17" s="74" t="e">
        <f t="shared" ca="1" si="49"/>
        <v>#REF!</v>
      </c>
      <c r="KL17" s="74" t="e">
        <f t="shared" ca="1" si="50"/>
        <v>#REF!</v>
      </c>
      <c r="KM17" s="74" t="e">
        <f t="shared" ca="1" si="50"/>
        <v>#REF!</v>
      </c>
      <c r="KN17" s="74" t="e">
        <f t="shared" ca="1" si="50"/>
        <v>#REF!</v>
      </c>
      <c r="KO17" s="74" t="e">
        <f t="shared" ca="1" si="50"/>
        <v>#REF!</v>
      </c>
      <c r="KP17" s="74" t="e">
        <f t="shared" ca="1" si="50"/>
        <v>#REF!</v>
      </c>
      <c r="KQ17" s="74" t="e">
        <f t="shared" ca="1" si="50"/>
        <v>#REF!</v>
      </c>
      <c r="KR17" s="74" t="e">
        <f t="shared" ca="1" si="50"/>
        <v>#REF!</v>
      </c>
      <c r="KS17" s="74" t="e">
        <f t="shared" ca="1" si="50"/>
        <v>#REF!</v>
      </c>
      <c r="KT17" s="74" t="e">
        <f t="shared" ca="1" si="50"/>
        <v>#REF!</v>
      </c>
      <c r="KU17" s="74" t="e">
        <f t="shared" ca="1" si="50"/>
        <v>#REF!</v>
      </c>
      <c r="KV17" s="74" t="e">
        <f t="shared" ca="1" si="50"/>
        <v>#REF!</v>
      </c>
      <c r="KW17" s="74" t="e">
        <f t="shared" ca="1" si="50"/>
        <v>#REF!</v>
      </c>
      <c r="KX17" s="74" t="e">
        <f t="shared" ca="1" si="50"/>
        <v>#REF!</v>
      </c>
      <c r="KY17" s="74" t="e">
        <f t="shared" ca="1" si="50"/>
        <v>#REF!</v>
      </c>
      <c r="KZ17" s="74" t="e">
        <f t="shared" ca="1" si="50"/>
        <v>#REF!</v>
      </c>
      <c r="LA17" s="74" t="e">
        <f t="shared" ca="1" si="50"/>
        <v>#REF!</v>
      </c>
      <c r="LB17" s="74" t="e">
        <f t="shared" ca="1" si="51"/>
        <v>#REF!</v>
      </c>
      <c r="LC17" s="74" t="e">
        <f t="shared" ca="1" si="51"/>
        <v>#REF!</v>
      </c>
      <c r="LD17" s="74" t="e">
        <f t="shared" ca="1" si="51"/>
        <v>#REF!</v>
      </c>
      <c r="LE17" s="74" t="e">
        <f t="shared" ca="1" si="51"/>
        <v>#REF!</v>
      </c>
      <c r="LF17" s="74" t="e">
        <f t="shared" ca="1" si="51"/>
        <v>#REF!</v>
      </c>
      <c r="LG17" s="74" t="e">
        <f t="shared" ca="1" si="51"/>
        <v>#REF!</v>
      </c>
      <c r="LH17" s="74" t="e">
        <f t="shared" ca="1" si="51"/>
        <v>#REF!</v>
      </c>
      <c r="LI17" s="74" t="e">
        <f t="shared" ca="1" si="51"/>
        <v>#REF!</v>
      </c>
      <c r="LJ17" s="74" t="e">
        <f t="shared" ca="1" si="51"/>
        <v>#REF!</v>
      </c>
      <c r="LK17" s="74" t="e">
        <f t="shared" ca="1" si="51"/>
        <v>#REF!</v>
      </c>
      <c r="LL17" s="74" t="e">
        <f t="shared" ca="1" si="51"/>
        <v>#REF!</v>
      </c>
      <c r="LM17" s="74" t="e">
        <f t="shared" ca="1" si="51"/>
        <v>#REF!</v>
      </c>
      <c r="LN17" s="74" t="e">
        <f t="shared" ca="1" si="51"/>
        <v>#REF!</v>
      </c>
      <c r="LO17" s="74" t="e">
        <f t="shared" ca="1" si="51"/>
        <v>#REF!</v>
      </c>
      <c r="LP17" s="74" t="e">
        <f t="shared" ca="1" si="51"/>
        <v>#REF!</v>
      </c>
      <c r="LQ17" s="74" t="e">
        <f t="shared" ca="1" si="51"/>
        <v>#REF!</v>
      </c>
      <c r="LR17" s="74" t="e">
        <f t="shared" ca="1" si="52"/>
        <v>#REF!</v>
      </c>
      <c r="LS17" s="74" t="e">
        <f t="shared" ca="1" si="52"/>
        <v>#REF!</v>
      </c>
      <c r="LT17" s="74" t="e">
        <f t="shared" ca="1" si="52"/>
        <v>#REF!</v>
      </c>
      <c r="LU17" s="74" t="e">
        <f t="shared" ca="1" si="52"/>
        <v>#REF!</v>
      </c>
      <c r="LV17" s="74" t="e">
        <f t="shared" ca="1" si="52"/>
        <v>#REF!</v>
      </c>
      <c r="LW17" s="74" t="e">
        <f t="shared" ca="1" si="52"/>
        <v>#REF!</v>
      </c>
      <c r="LX17" s="74" t="e">
        <f t="shared" ca="1" si="52"/>
        <v>#REF!</v>
      </c>
      <c r="LY17" s="74" t="e">
        <f t="shared" ca="1" si="52"/>
        <v>#REF!</v>
      </c>
      <c r="LZ17" s="74" t="e">
        <f t="shared" ca="1" si="52"/>
        <v>#REF!</v>
      </c>
      <c r="MA17" s="74" t="e">
        <f t="shared" ca="1" si="52"/>
        <v>#REF!</v>
      </c>
      <c r="MB17" s="74" t="e">
        <f t="shared" ca="1" si="52"/>
        <v>#REF!</v>
      </c>
      <c r="MC17" s="74" t="e">
        <f t="shared" ca="1" si="52"/>
        <v>#REF!</v>
      </c>
      <c r="MD17" s="74" t="e">
        <f t="shared" ca="1" si="52"/>
        <v>#REF!</v>
      </c>
      <c r="ME17" s="74" t="e">
        <f t="shared" ca="1" si="52"/>
        <v>#REF!</v>
      </c>
      <c r="MF17" s="74" t="e">
        <f t="shared" ca="1" si="52"/>
        <v>#REF!</v>
      </c>
      <c r="MG17" s="74" t="e">
        <f t="shared" ca="1" si="52"/>
        <v>#REF!</v>
      </c>
      <c r="MH17" s="74" t="e">
        <f t="shared" ca="1" si="53"/>
        <v>#REF!</v>
      </c>
      <c r="MI17" s="74" t="e">
        <f t="shared" ca="1" si="53"/>
        <v>#REF!</v>
      </c>
      <c r="MJ17" s="74" t="e">
        <f t="shared" ca="1" si="53"/>
        <v>#REF!</v>
      </c>
      <c r="MK17" s="74" t="e">
        <f t="shared" ca="1" si="53"/>
        <v>#REF!</v>
      </c>
      <c r="ML17" s="74" t="e">
        <f t="shared" ca="1" si="53"/>
        <v>#REF!</v>
      </c>
      <c r="MM17" s="74" t="e">
        <f t="shared" ca="1" si="53"/>
        <v>#REF!</v>
      </c>
      <c r="MN17" s="74" t="e">
        <f t="shared" ca="1" si="53"/>
        <v>#REF!</v>
      </c>
      <c r="MO17" s="74" t="e">
        <f t="shared" ca="1" si="53"/>
        <v>#REF!</v>
      </c>
      <c r="MP17" s="74" t="e">
        <f t="shared" ca="1" si="53"/>
        <v>#REF!</v>
      </c>
      <c r="MQ17" s="74" t="e">
        <f t="shared" ca="1" si="53"/>
        <v>#REF!</v>
      </c>
      <c r="MR17" s="74" t="e">
        <f t="shared" ca="1" si="53"/>
        <v>#REF!</v>
      </c>
      <c r="MS17" s="74" t="e">
        <f t="shared" ca="1" si="53"/>
        <v>#REF!</v>
      </c>
      <c r="MT17" s="74" t="e">
        <f t="shared" ca="1" si="53"/>
        <v>#REF!</v>
      </c>
      <c r="MU17" s="74" t="e">
        <f t="shared" ca="1" si="53"/>
        <v>#REF!</v>
      </c>
      <c r="MV17" s="74" t="e">
        <f t="shared" ca="1" si="53"/>
        <v>#REF!</v>
      </c>
      <c r="MW17" s="74" t="e">
        <f t="shared" ca="1" si="53"/>
        <v>#REF!</v>
      </c>
      <c r="MX17" s="74" t="e">
        <f t="shared" ca="1" si="54"/>
        <v>#REF!</v>
      </c>
      <c r="MY17" s="74" t="e">
        <f t="shared" ca="1" si="54"/>
        <v>#REF!</v>
      </c>
      <c r="MZ17" s="74" t="e">
        <f t="shared" ca="1" si="54"/>
        <v>#REF!</v>
      </c>
      <c r="NA17" s="74" t="e">
        <f t="shared" ca="1" si="54"/>
        <v>#REF!</v>
      </c>
      <c r="NB17" s="74" t="e">
        <f t="shared" ca="1" si="54"/>
        <v>#REF!</v>
      </c>
      <c r="NC17" s="74" t="e">
        <f t="shared" ca="1" si="54"/>
        <v>#REF!</v>
      </c>
      <c r="ND17" s="74" t="e">
        <f t="shared" ca="1" si="54"/>
        <v>#REF!</v>
      </c>
      <c r="NE17" s="74" t="e">
        <f t="shared" ca="1" si="54"/>
        <v>#REF!</v>
      </c>
      <c r="NF17" s="74" t="e">
        <f t="shared" ca="1" si="54"/>
        <v>#REF!</v>
      </c>
      <c r="NG17" s="74" t="e">
        <f t="shared" ca="1" si="54"/>
        <v>#REF!</v>
      </c>
      <c r="NH17" s="74" t="e">
        <f t="shared" ca="1" si="54"/>
        <v>#REF!</v>
      </c>
      <c r="NI17" s="74" t="e">
        <f t="shared" ca="1" si="54"/>
        <v>#REF!</v>
      </c>
      <c r="NJ17" s="74" t="e">
        <f t="shared" ca="1" si="54"/>
        <v>#REF!</v>
      </c>
      <c r="NK17" s="74" t="e">
        <f t="shared" ca="1" si="54"/>
        <v>#REF!</v>
      </c>
      <c r="NL17" s="74" t="e">
        <f t="shared" ca="1" si="54"/>
        <v>#REF!</v>
      </c>
      <c r="NM17" s="74" t="e">
        <f t="shared" ca="1" si="54"/>
        <v>#REF!</v>
      </c>
      <c r="NN17" s="74" t="e">
        <f t="shared" ca="1" si="55"/>
        <v>#REF!</v>
      </c>
      <c r="NO17" s="74" t="e">
        <f t="shared" ca="1" si="55"/>
        <v>#REF!</v>
      </c>
      <c r="NP17" s="74" t="e">
        <f t="shared" ca="1" si="55"/>
        <v>#REF!</v>
      </c>
      <c r="NQ17" s="74" t="e">
        <f t="shared" ca="1" si="55"/>
        <v>#REF!</v>
      </c>
      <c r="NR17" s="74" t="e">
        <f t="shared" ca="1" si="55"/>
        <v>#REF!</v>
      </c>
      <c r="NS17" s="74" t="e">
        <f t="shared" ca="1" si="55"/>
        <v>#REF!</v>
      </c>
      <c r="NT17" s="74" t="e">
        <f t="shared" ca="1" si="55"/>
        <v>#REF!</v>
      </c>
      <c r="NU17" s="74" t="e">
        <f t="shared" ca="1" si="55"/>
        <v>#REF!</v>
      </c>
      <c r="NV17" s="74" t="e">
        <f t="shared" ca="1" si="55"/>
        <v>#REF!</v>
      </c>
      <c r="NW17" s="74" t="e">
        <f t="shared" ca="1" si="55"/>
        <v>#REF!</v>
      </c>
      <c r="NX17" s="74" t="e">
        <f t="shared" ca="1" si="55"/>
        <v>#REF!</v>
      </c>
      <c r="NY17" s="74" t="e">
        <f t="shared" ca="1" si="55"/>
        <v>#REF!</v>
      </c>
      <c r="NZ17" s="74" t="e">
        <f t="shared" ca="1" si="55"/>
        <v>#REF!</v>
      </c>
      <c r="OA17" s="74" t="e">
        <f t="shared" ca="1" si="55"/>
        <v>#REF!</v>
      </c>
      <c r="OB17" s="74" t="e">
        <f t="shared" ca="1" si="55"/>
        <v>#REF!</v>
      </c>
      <c r="OC17" s="74" t="e">
        <f t="shared" ca="1" si="55"/>
        <v>#REF!</v>
      </c>
      <c r="OD17" s="74" t="e">
        <f t="shared" ca="1" si="56"/>
        <v>#REF!</v>
      </c>
      <c r="OE17" s="74" t="e">
        <f t="shared" ca="1" si="56"/>
        <v>#REF!</v>
      </c>
      <c r="OF17" s="74" t="e">
        <f t="shared" ca="1" si="56"/>
        <v>#REF!</v>
      </c>
      <c r="OG17" s="74" t="e">
        <f t="shared" ca="1" si="56"/>
        <v>#REF!</v>
      </c>
      <c r="OH17" s="74" t="e">
        <f t="shared" ca="1" si="56"/>
        <v>#REF!</v>
      </c>
      <c r="OI17" s="74" t="e">
        <f t="shared" ca="1" si="56"/>
        <v>#REF!</v>
      </c>
      <c r="OJ17" s="74" t="e">
        <f t="shared" ca="1" si="56"/>
        <v>#REF!</v>
      </c>
      <c r="OK17" s="74" t="e">
        <f t="shared" ca="1" si="56"/>
        <v>#REF!</v>
      </c>
      <c r="OL17" s="74" t="e">
        <f t="shared" ca="1" si="56"/>
        <v>#REF!</v>
      </c>
      <c r="OM17" s="74" t="e">
        <f t="shared" ca="1" si="56"/>
        <v>#REF!</v>
      </c>
      <c r="ON17" s="74" t="e">
        <f t="shared" ca="1" si="56"/>
        <v>#REF!</v>
      </c>
      <c r="OO17" s="74" t="e">
        <f t="shared" ca="1" si="56"/>
        <v>#REF!</v>
      </c>
      <c r="OP17" s="74" t="e">
        <f t="shared" ca="1" si="56"/>
        <v>#REF!</v>
      </c>
      <c r="OQ17" s="74" t="e">
        <f t="shared" ca="1" si="56"/>
        <v>#REF!</v>
      </c>
      <c r="OR17" s="74" t="e">
        <f t="shared" ca="1" si="56"/>
        <v>#REF!</v>
      </c>
      <c r="OS17" s="74" t="e">
        <f t="shared" ca="1" si="56"/>
        <v>#REF!</v>
      </c>
      <c r="OT17" s="74" t="e">
        <f t="shared" ca="1" si="57"/>
        <v>#REF!</v>
      </c>
      <c r="OU17" s="74" t="e">
        <f t="shared" ca="1" si="57"/>
        <v>#REF!</v>
      </c>
      <c r="OV17" s="74" t="e">
        <f t="shared" ca="1" si="57"/>
        <v>#REF!</v>
      </c>
      <c r="OW17" s="74" t="e">
        <f t="shared" ca="1" si="57"/>
        <v>#REF!</v>
      </c>
      <c r="OX17" s="74" t="e">
        <f t="shared" ca="1" si="57"/>
        <v>#REF!</v>
      </c>
      <c r="OY17" s="74" t="e">
        <f t="shared" ca="1" si="57"/>
        <v>#REF!</v>
      </c>
      <c r="OZ17" s="74" t="e">
        <f t="shared" ca="1" si="57"/>
        <v>#REF!</v>
      </c>
      <c r="PA17" s="74" t="e">
        <f t="shared" ca="1" si="57"/>
        <v>#REF!</v>
      </c>
      <c r="PB17" s="74" t="e">
        <f t="shared" ca="1" si="57"/>
        <v>#REF!</v>
      </c>
      <c r="PC17" s="74" t="e">
        <f t="shared" ca="1" si="57"/>
        <v>#REF!</v>
      </c>
      <c r="PD17" s="74" t="e">
        <f t="shared" ca="1" si="57"/>
        <v>#REF!</v>
      </c>
      <c r="PE17" s="74" t="e">
        <f t="shared" ca="1" si="57"/>
        <v>#REF!</v>
      </c>
      <c r="PF17" s="74" t="e">
        <f t="shared" ca="1" si="57"/>
        <v>#REF!</v>
      </c>
      <c r="PG17" s="74" t="e">
        <f t="shared" ca="1" si="57"/>
        <v>#REF!</v>
      </c>
      <c r="PH17" s="74" t="e">
        <f t="shared" ca="1" si="57"/>
        <v>#REF!</v>
      </c>
      <c r="PI17" s="74" t="e">
        <f t="shared" ca="1" si="57"/>
        <v>#REF!</v>
      </c>
      <c r="PJ17" s="74" t="e">
        <f t="shared" ca="1" si="58"/>
        <v>#REF!</v>
      </c>
      <c r="PK17" s="74" t="e">
        <f t="shared" ca="1" si="58"/>
        <v>#REF!</v>
      </c>
      <c r="PL17" s="74" t="e">
        <f t="shared" ca="1" si="58"/>
        <v>#REF!</v>
      </c>
      <c r="PM17" s="74" t="e">
        <f t="shared" ca="1" si="58"/>
        <v>#REF!</v>
      </c>
      <c r="PN17" s="74" t="e">
        <f t="shared" ca="1" si="58"/>
        <v>#REF!</v>
      </c>
      <c r="PO17" s="74" t="e">
        <f t="shared" ca="1" si="58"/>
        <v>#REF!</v>
      </c>
      <c r="PP17" s="74" t="e">
        <f t="shared" ca="1" si="58"/>
        <v>#REF!</v>
      </c>
      <c r="PQ17" s="74" t="e">
        <f t="shared" ca="1" si="58"/>
        <v>#REF!</v>
      </c>
      <c r="PR17" s="74" t="e">
        <f t="shared" ca="1" si="58"/>
        <v>#REF!</v>
      </c>
      <c r="PS17" s="74" t="e">
        <f t="shared" ca="1" si="58"/>
        <v>#REF!</v>
      </c>
      <c r="PT17" s="74" t="e">
        <f t="shared" ca="1" si="58"/>
        <v>#REF!</v>
      </c>
      <c r="PU17" s="74" t="e">
        <f t="shared" ca="1" si="58"/>
        <v>#REF!</v>
      </c>
      <c r="PV17" s="74" t="e">
        <f t="shared" ca="1" si="58"/>
        <v>#REF!</v>
      </c>
      <c r="PW17" s="74" t="e">
        <f t="shared" ca="1" si="58"/>
        <v>#REF!</v>
      </c>
      <c r="PX17" s="74" t="e">
        <f t="shared" ca="1" si="58"/>
        <v>#REF!</v>
      </c>
      <c r="PY17" s="74" t="e">
        <f t="shared" ca="1" si="58"/>
        <v>#REF!</v>
      </c>
      <c r="PZ17" s="74" t="e">
        <f t="shared" ca="1" si="59"/>
        <v>#REF!</v>
      </c>
      <c r="QA17" s="74" t="e">
        <f t="shared" ca="1" si="59"/>
        <v>#REF!</v>
      </c>
      <c r="QB17" s="74" t="e">
        <f t="shared" ca="1" si="59"/>
        <v>#REF!</v>
      </c>
      <c r="QC17" s="74" t="e">
        <f t="shared" ca="1" si="59"/>
        <v>#REF!</v>
      </c>
      <c r="QD17" s="74" t="e">
        <f t="shared" ca="1" si="59"/>
        <v>#REF!</v>
      </c>
      <c r="QE17" s="74" t="e">
        <f t="shared" ca="1" si="59"/>
        <v>#REF!</v>
      </c>
      <c r="QF17" s="74" t="e">
        <f t="shared" ca="1" si="59"/>
        <v>#REF!</v>
      </c>
      <c r="QG17" s="74" t="e">
        <f t="shared" ca="1" si="59"/>
        <v>#REF!</v>
      </c>
      <c r="QH17" s="74" t="e">
        <f t="shared" ca="1" si="59"/>
        <v>#REF!</v>
      </c>
      <c r="QI17" s="74" t="e">
        <f t="shared" ca="1" si="59"/>
        <v>#REF!</v>
      </c>
      <c r="QJ17" s="74" t="e">
        <f t="shared" ca="1" si="59"/>
        <v>#REF!</v>
      </c>
      <c r="QK17" s="74" t="e">
        <f t="shared" ca="1" si="59"/>
        <v>#REF!</v>
      </c>
      <c r="QL17" s="74" t="e">
        <f t="shared" ca="1" si="59"/>
        <v>#REF!</v>
      </c>
      <c r="QM17" s="74" t="e">
        <f t="shared" ca="1" si="59"/>
        <v>#REF!</v>
      </c>
      <c r="QN17" s="74" t="e">
        <f t="shared" ca="1" si="59"/>
        <v>#REF!</v>
      </c>
      <c r="QO17" s="74" t="e">
        <f t="shared" ca="1" si="59"/>
        <v>#REF!</v>
      </c>
      <c r="QP17" s="74" t="e">
        <f t="shared" ca="1" si="60"/>
        <v>#REF!</v>
      </c>
      <c r="QQ17" s="74" t="e">
        <f t="shared" ca="1" si="60"/>
        <v>#REF!</v>
      </c>
      <c r="QR17" s="74" t="e">
        <f t="shared" ca="1" si="60"/>
        <v>#REF!</v>
      </c>
      <c r="QS17" s="74" t="e">
        <f t="shared" ca="1" si="60"/>
        <v>#REF!</v>
      </c>
      <c r="QT17" s="74" t="e">
        <f t="shared" ca="1" si="60"/>
        <v>#REF!</v>
      </c>
      <c r="QU17" s="74" t="e">
        <f t="shared" ca="1" si="60"/>
        <v>#REF!</v>
      </c>
      <c r="QV17" s="74" t="e">
        <f t="shared" ca="1" si="60"/>
        <v>#REF!</v>
      </c>
      <c r="QW17" s="74" t="e">
        <f t="shared" ca="1" si="60"/>
        <v>#REF!</v>
      </c>
      <c r="QX17" s="74" t="e">
        <f t="shared" ca="1" si="60"/>
        <v>#REF!</v>
      </c>
      <c r="QY17" s="74" t="e">
        <f t="shared" ca="1" si="60"/>
        <v>#REF!</v>
      </c>
      <c r="QZ17" s="74" t="e">
        <f t="shared" ca="1" si="60"/>
        <v>#REF!</v>
      </c>
      <c r="RA17" s="74" t="e">
        <f t="shared" ca="1" si="60"/>
        <v>#REF!</v>
      </c>
      <c r="RB17" s="74" t="e">
        <f t="shared" ca="1" si="60"/>
        <v>#REF!</v>
      </c>
      <c r="RC17" s="74" t="e">
        <f t="shared" ca="1" si="60"/>
        <v>#REF!</v>
      </c>
      <c r="RD17" s="74" t="e">
        <f t="shared" ca="1" si="60"/>
        <v>#REF!</v>
      </c>
      <c r="RE17" s="74" t="e">
        <f t="shared" ca="1" si="60"/>
        <v>#REF!</v>
      </c>
      <c r="RF17" s="74" t="e">
        <f t="shared" ca="1" si="61"/>
        <v>#REF!</v>
      </c>
      <c r="RG17" s="74" t="e">
        <f t="shared" ca="1" si="61"/>
        <v>#REF!</v>
      </c>
      <c r="RH17" s="74" t="e">
        <f t="shared" ca="1" si="61"/>
        <v>#REF!</v>
      </c>
      <c r="RI17" s="74" t="e">
        <f t="shared" ca="1" si="61"/>
        <v>#REF!</v>
      </c>
      <c r="RJ17" s="74" t="e">
        <f t="shared" ca="1" si="61"/>
        <v>#REF!</v>
      </c>
      <c r="RK17" s="74" t="e">
        <f t="shared" ca="1" si="61"/>
        <v>#REF!</v>
      </c>
      <c r="RL17" s="74" t="e">
        <f t="shared" ca="1" si="61"/>
        <v>#REF!</v>
      </c>
      <c r="RM17" s="74" t="e">
        <f t="shared" ca="1" si="61"/>
        <v>#REF!</v>
      </c>
      <c r="RN17" s="74" t="e">
        <f t="shared" ca="1" si="61"/>
        <v>#REF!</v>
      </c>
      <c r="RO17" s="74" t="e">
        <f t="shared" ca="1" si="61"/>
        <v>#REF!</v>
      </c>
      <c r="RP17" s="74" t="e">
        <f t="shared" ca="1" si="61"/>
        <v>#REF!</v>
      </c>
      <c r="RQ17" s="74" t="e">
        <f t="shared" ca="1" si="61"/>
        <v>#REF!</v>
      </c>
      <c r="RR17" s="74" t="e">
        <f t="shared" ca="1" si="61"/>
        <v>#REF!</v>
      </c>
      <c r="RS17" s="74" t="e">
        <f t="shared" ca="1" si="61"/>
        <v>#REF!</v>
      </c>
      <c r="RT17" s="74" t="e">
        <f t="shared" ca="1" si="61"/>
        <v>#REF!</v>
      </c>
      <c r="RU17" s="74" t="e">
        <f t="shared" ca="1" si="61"/>
        <v>#REF!</v>
      </c>
      <c r="RV17" s="74" t="e">
        <f t="shared" ca="1" si="62"/>
        <v>#REF!</v>
      </c>
      <c r="RW17" s="74" t="e">
        <f t="shared" ca="1" si="62"/>
        <v>#REF!</v>
      </c>
      <c r="RX17" s="74" t="e">
        <f t="shared" ca="1" si="62"/>
        <v>#REF!</v>
      </c>
      <c r="RY17" s="74" t="e">
        <f t="shared" ca="1" si="62"/>
        <v>#REF!</v>
      </c>
      <c r="RZ17" s="74" t="e">
        <f t="shared" ca="1" si="62"/>
        <v>#REF!</v>
      </c>
      <c r="SA17" s="74" t="e">
        <f t="shared" ca="1" si="62"/>
        <v>#REF!</v>
      </c>
      <c r="SB17" s="74" t="e">
        <f t="shared" ca="1" si="62"/>
        <v>#REF!</v>
      </c>
      <c r="SC17" s="74" t="e">
        <f t="shared" ca="1" si="62"/>
        <v>#REF!</v>
      </c>
      <c r="SD17" s="74" t="e">
        <f t="shared" ca="1" si="62"/>
        <v>#REF!</v>
      </c>
      <c r="SE17" s="74" t="e">
        <f t="shared" ca="1" si="62"/>
        <v>#REF!</v>
      </c>
      <c r="SF17" s="74" t="e">
        <f t="shared" ca="1" si="62"/>
        <v>#REF!</v>
      </c>
      <c r="SG17" s="74" t="e">
        <f t="shared" ca="1" si="62"/>
        <v>#REF!</v>
      </c>
      <c r="SH17" s="74" t="e">
        <f t="shared" ca="1" si="62"/>
        <v>#REF!</v>
      </c>
      <c r="SI17" s="74" t="e">
        <f t="shared" ca="1" si="62"/>
        <v>#REF!</v>
      </c>
      <c r="SJ17" s="74" t="e">
        <f t="shared" ca="1" si="62"/>
        <v>#REF!</v>
      </c>
      <c r="SK17" s="74" t="e">
        <f t="shared" ca="1" si="62"/>
        <v>#REF!</v>
      </c>
      <c r="SL17" s="74" t="e">
        <f t="shared" ca="1" si="63"/>
        <v>#REF!</v>
      </c>
      <c r="SM17" s="74" t="e">
        <f t="shared" ca="1" si="63"/>
        <v>#REF!</v>
      </c>
      <c r="SN17" s="74" t="e">
        <f t="shared" ca="1" si="63"/>
        <v>#REF!</v>
      </c>
      <c r="SO17" s="74" t="e">
        <f t="shared" ca="1" si="63"/>
        <v>#REF!</v>
      </c>
      <c r="SP17" s="74" t="e">
        <f t="shared" ca="1" si="63"/>
        <v>#REF!</v>
      </c>
      <c r="SQ17" s="74" t="e">
        <f t="shared" ca="1" si="63"/>
        <v>#REF!</v>
      </c>
      <c r="SR17" s="74" t="e">
        <f t="shared" ca="1" si="63"/>
        <v>#REF!</v>
      </c>
      <c r="SS17" s="74" t="e">
        <f t="shared" ca="1" si="63"/>
        <v>#REF!</v>
      </c>
      <c r="ST17" s="74" t="e">
        <f t="shared" ca="1" si="63"/>
        <v>#REF!</v>
      </c>
      <c r="SU17" s="74" t="e">
        <f t="shared" ca="1" si="63"/>
        <v>#REF!</v>
      </c>
      <c r="SV17" s="74" t="e">
        <f t="shared" ca="1" si="63"/>
        <v>#REF!</v>
      </c>
      <c r="SW17" s="74" t="e">
        <f t="shared" ca="1" si="63"/>
        <v>#REF!</v>
      </c>
      <c r="SX17" s="74" t="e">
        <f t="shared" ca="1" si="63"/>
        <v>#REF!</v>
      </c>
      <c r="SY17" s="74" t="e">
        <f t="shared" ca="1" si="63"/>
        <v>#REF!</v>
      </c>
      <c r="SZ17" s="74" t="e">
        <f t="shared" ca="1" si="63"/>
        <v>#REF!</v>
      </c>
      <c r="TA17" s="74" t="e">
        <f t="shared" ca="1" si="63"/>
        <v>#REF!</v>
      </c>
      <c r="TB17" s="74" t="e">
        <f t="shared" ca="1" si="64"/>
        <v>#REF!</v>
      </c>
      <c r="TC17" s="74" t="e">
        <f t="shared" ca="1" si="64"/>
        <v>#REF!</v>
      </c>
      <c r="TD17" s="74" t="e">
        <f t="shared" ca="1" si="64"/>
        <v>#REF!</v>
      </c>
      <c r="TE17" s="74" t="e">
        <f t="shared" ca="1" si="64"/>
        <v>#REF!</v>
      </c>
      <c r="TF17" s="74" t="e">
        <f t="shared" ca="1" si="64"/>
        <v>#REF!</v>
      </c>
      <c r="TG17" s="74" t="e">
        <f t="shared" ca="1" si="64"/>
        <v>#REF!</v>
      </c>
      <c r="TH17" s="74" t="e">
        <f t="shared" ca="1" si="64"/>
        <v>#REF!</v>
      </c>
      <c r="TI17" s="74" t="e">
        <f t="shared" ca="1" si="64"/>
        <v>#REF!</v>
      </c>
      <c r="TJ17" s="74" t="e">
        <f t="shared" ca="1" si="64"/>
        <v>#REF!</v>
      </c>
      <c r="TK17" s="74" t="e">
        <f t="shared" ca="1" si="64"/>
        <v>#REF!</v>
      </c>
      <c r="TL17" s="74" t="e">
        <f t="shared" ca="1" si="64"/>
        <v>#REF!</v>
      </c>
      <c r="TM17" s="74" t="e">
        <f t="shared" ca="1" si="64"/>
        <v>#REF!</v>
      </c>
      <c r="TN17" s="74" t="e">
        <f t="shared" ca="1" si="64"/>
        <v>#REF!</v>
      </c>
      <c r="TO17" s="74" t="e">
        <f t="shared" ca="1" si="64"/>
        <v>#REF!</v>
      </c>
      <c r="TP17" s="74" t="e">
        <f t="shared" ca="1" si="64"/>
        <v>#REF!</v>
      </c>
      <c r="TQ17" s="74" t="e">
        <f t="shared" ca="1" si="64"/>
        <v>#REF!</v>
      </c>
      <c r="TR17" s="74" t="e">
        <f t="shared" ca="1" si="65"/>
        <v>#REF!</v>
      </c>
      <c r="TS17" s="74" t="e">
        <f t="shared" ca="1" si="65"/>
        <v>#REF!</v>
      </c>
      <c r="TT17" s="74" t="e">
        <f t="shared" ca="1" si="65"/>
        <v>#REF!</v>
      </c>
      <c r="TU17" s="74" t="e">
        <f t="shared" ca="1" si="65"/>
        <v>#REF!</v>
      </c>
      <c r="TV17" s="74" t="e">
        <f t="shared" ca="1" si="65"/>
        <v>#REF!</v>
      </c>
      <c r="TW17" s="74" t="e">
        <f t="shared" ca="1" si="65"/>
        <v>#REF!</v>
      </c>
      <c r="TX17" s="74" t="e">
        <f t="shared" ca="1" si="65"/>
        <v>#REF!</v>
      </c>
      <c r="TY17" s="74" t="e">
        <f t="shared" ca="1" si="65"/>
        <v>#REF!</v>
      </c>
      <c r="TZ17" s="74" t="e">
        <f t="shared" ca="1" si="65"/>
        <v>#REF!</v>
      </c>
      <c r="UA17" s="74" t="e">
        <f t="shared" ca="1" si="65"/>
        <v>#REF!</v>
      </c>
      <c r="UB17" s="74" t="e">
        <f t="shared" ca="1" si="65"/>
        <v>#REF!</v>
      </c>
      <c r="UC17" s="74" t="e">
        <f t="shared" ca="1" si="65"/>
        <v>#REF!</v>
      </c>
      <c r="UD17" s="74" t="e">
        <f t="shared" ca="1" si="65"/>
        <v>#REF!</v>
      </c>
      <c r="UE17" s="74" t="e">
        <f t="shared" ca="1" si="65"/>
        <v>#REF!</v>
      </c>
      <c r="UF17" s="74" t="e">
        <f t="shared" ca="1" si="65"/>
        <v>#REF!</v>
      </c>
      <c r="UG17" s="74" t="e">
        <f t="shared" ca="1" si="65"/>
        <v>#REF!</v>
      </c>
      <c r="UH17" s="74" t="e">
        <f t="shared" ca="1" si="66"/>
        <v>#REF!</v>
      </c>
      <c r="UI17" s="74" t="e">
        <f t="shared" ca="1" si="66"/>
        <v>#REF!</v>
      </c>
      <c r="UJ17" s="74" t="e">
        <f t="shared" ca="1" si="66"/>
        <v>#REF!</v>
      </c>
      <c r="UK17" s="74" t="e">
        <f t="shared" ca="1" si="66"/>
        <v>#REF!</v>
      </c>
      <c r="UL17" s="74" t="e">
        <f t="shared" ca="1" si="66"/>
        <v>#REF!</v>
      </c>
      <c r="UM17" s="74" t="e">
        <f t="shared" ca="1" si="66"/>
        <v>#REF!</v>
      </c>
      <c r="UN17" s="74" t="e">
        <f t="shared" ca="1" si="66"/>
        <v>#REF!</v>
      </c>
      <c r="UO17" s="74" t="e">
        <f t="shared" ca="1" si="66"/>
        <v>#REF!</v>
      </c>
      <c r="UP17" s="74" t="e">
        <f t="shared" ca="1" si="66"/>
        <v>#REF!</v>
      </c>
      <c r="UQ17" s="74" t="e">
        <f t="shared" ca="1" si="66"/>
        <v>#REF!</v>
      </c>
      <c r="UR17" s="74" t="e">
        <f t="shared" ca="1" si="66"/>
        <v>#REF!</v>
      </c>
      <c r="US17" s="74" t="e">
        <f t="shared" ca="1" si="66"/>
        <v>#REF!</v>
      </c>
      <c r="UT17" s="74" t="e">
        <f t="shared" ca="1" si="66"/>
        <v>#REF!</v>
      </c>
      <c r="UU17" s="74" t="e">
        <f t="shared" ca="1" si="66"/>
        <v>#REF!</v>
      </c>
      <c r="UV17" s="74" t="e">
        <f t="shared" ca="1" si="66"/>
        <v>#REF!</v>
      </c>
      <c r="UW17" s="74" t="e">
        <f t="shared" ca="1" si="66"/>
        <v>#REF!</v>
      </c>
      <c r="UX17" s="74" t="e">
        <f t="shared" ca="1" si="67"/>
        <v>#REF!</v>
      </c>
      <c r="UY17" s="74" t="e">
        <f t="shared" ca="1" si="67"/>
        <v>#REF!</v>
      </c>
      <c r="UZ17" s="74" t="e">
        <f t="shared" ca="1" si="67"/>
        <v>#REF!</v>
      </c>
      <c r="VA17" s="74" t="e">
        <f t="shared" ca="1" si="67"/>
        <v>#REF!</v>
      </c>
      <c r="VB17" s="74" t="e">
        <f t="shared" ca="1" si="67"/>
        <v>#REF!</v>
      </c>
      <c r="VC17" s="74" t="e">
        <f t="shared" ca="1" si="67"/>
        <v>#REF!</v>
      </c>
      <c r="VD17" s="74" t="e">
        <f t="shared" ca="1" si="67"/>
        <v>#REF!</v>
      </c>
      <c r="VE17" s="74" t="e">
        <f t="shared" ca="1" si="67"/>
        <v>#REF!</v>
      </c>
      <c r="VF17" s="74" t="e">
        <f t="shared" ca="1" si="67"/>
        <v>#REF!</v>
      </c>
      <c r="VG17" s="74" t="e">
        <f t="shared" ca="1" si="67"/>
        <v>#REF!</v>
      </c>
      <c r="VH17" s="74" t="e">
        <f t="shared" ca="1" si="67"/>
        <v>#REF!</v>
      </c>
      <c r="VI17" s="74" t="e">
        <f t="shared" ca="1" si="67"/>
        <v>#REF!</v>
      </c>
      <c r="VJ17" s="74" t="e">
        <f t="shared" ca="1" si="67"/>
        <v>#REF!</v>
      </c>
      <c r="VK17" s="74" t="e">
        <f t="shared" ca="1" si="67"/>
        <v>#REF!</v>
      </c>
      <c r="VL17" s="74" t="e">
        <f t="shared" ca="1" si="67"/>
        <v>#REF!</v>
      </c>
      <c r="VM17" s="74" t="e">
        <f t="shared" ca="1" si="67"/>
        <v>#REF!</v>
      </c>
      <c r="VN17" s="74" t="e">
        <f t="shared" ca="1" si="68"/>
        <v>#REF!</v>
      </c>
      <c r="VO17" s="74" t="e">
        <f t="shared" ca="1" si="68"/>
        <v>#REF!</v>
      </c>
      <c r="VP17" s="74" t="e">
        <f t="shared" ca="1" si="68"/>
        <v>#REF!</v>
      </c>
      <c r="VQ17" s="74" t="e">
        <f t="shared" ca="1" si="68"/>
        <v>#REF!</v>
      </c>
      <c r="VR17" s="74" t="e">
        <f t="shared" ca="1" si="68"/>
        <v>#REF!</v>
      </c>
      <c r="VS17" s="74" t="e">
        <f t="shared" ca="1" si="68"/>
        <v>#REF!</v>
      </c>
    </row>
    <row r="18" spans="1:591" s="17" customFormat="1" ht="16.2" customHeight="1" x14ac:dyDescent="0.3">
      <c r="A18" s="81"/>
      <c r="B18" s="56" t="str">
        <f>'CoS Tracker'!$AM$7</f>
        <v>6. Instructed to Hickory</v>
      </c>
      <c r="C18" s="19" t="s">
        <v>75</v>
      </c>
      <c r="D18" s="19"/>
      <c r="E18" s="27">
        <v>0.1</v>
      </c>
      <c r="F18" s="26" t="e">
        <f>'CoS Tracker'!#REF!</f>
        <v>#REF!</v>
      </c>
      <c r="G18" s="26" t="e">
        <f>'CoS Tracker'!#REF!</f>
        <v>#REF!</v>
      </c>
      <c r="H18" s="25" t="e">
        <f>Milestones43524[[#This Row],[End]]-Milestones43524[[#This Row],[Start]]</f>
        <v>#REF!</v>
      </c>
      <c r="I18" s="19"/>
      <c r="J18" s="74" t="e">
        <f t="shared" ca="1" si="32"/>
        <v>#REF!</v>
      </c>
      <c r="K18" s="74" t="e">
        <f t="shared" ca="1" si="32"/>
        <v>#REF!</v>
      </c>
      <c r="L18" s="74" t="e">
        <f t="shared" ca="1" si="32"/>
        <v>#REF!</v>
      </c>
      <c r="M18" s="74" t="e">
        <f t="shared" ca="1" si="32"/>
        <v>#REF!</v>
      </c>
      <c r="N18" s="74" t="e">
        <f t="shared" ca="1" si="32"/>
        <v>#REF!</v>
      </c>
      <c r="O18" s="74" t="e">
        <f t="shared" ca="1" si="32"/>
        <v>#REF!</v>
      </c>
      <c r="P18" s="74" t="e">
        <f t="shared" ca="1" si="32"/>
        <v>#REF!</v>
      </c>
      <c r="Q18" s="74" t="e">
        <f t="shared" ca="1" si="32"/>
        <v>#REF!</v>
      </c>
      <c r="R18" s="74" t="e">
        <f t="shared" ca="1" si="32"/>
        <v>#REF!</v>
      </c>
      <c r="S18" s="74" t="e">
        <f t="shared" ca="1" si="32"/>
        <v>#REF!</v>
      </c>
      <c r="T18" s="74" t="e">
        <f t="shared" ca="1" si="32"/>
        <v>#REF!</v>
      </c>
      <c r="U18" s="74" t="e">
        <f t="shared" ca="1" si="32"/>
        <v>#REF!</v>
      </c>
      <c r="V18" s="74" t="e">
        <f t="shared" ca="1" si="32"/>
        <v>#REF!</v>
      </c>
      <c r="W18" s="74" t="e">
        <f t="shared" ca="1" si="32"/>
        <v>#REF!</v>
      </c>
      <c r="X18" s="74" t="e">
        <f t="shared" ca="1" si="32"/>
        <v>#REF!</v>
      </c>
      <c r="Y18" s="74" t="e">
        <f t="shared" ca="1" si="32"/>
        <v>#REF!</v>
      </c>
      <c r="Z18" s="74" t="e">
        <f t="shared" ca="1" si="33"/>
        <v>#REF!</v>
      </c>
      <c r="AA18" s="74" t="e">
        <f t="shared" ca="1" si="33"/>
        <v>#REF!</v>
      </c>
      <c r="AB18" s="74" t="e">
        <f t="shared" ca="1" si="33"/>
        <v>#REF!</v>
      </c>
      <c r="AC18" s="74" t="e">
        <f t="shared" ca="1" si="33"/>
        <v>#REF!</v>
      </c>
      <c r="AD18" s="74" t="e">
        <f t="shared" ca="1" si="33"/>
        <v>#REF!</v>
      </c>
      <c r="AE18" s="74" t="e">
        <f t="shared" ca="1" si="33"/>
        <v>#REF!</v>
      </c>
      <c r="AF18" s="74" t="e">
        <f t="shared" ca="1" si="33"/>
        <v>#REF!</v>
      </c>
      <c r="AG18" s="74" t="e">
        <f t="shared" ca="1" si="33"/>
        <v>#REF!</v>
      </c>
      <c r="AH18" s="74" t="e">
        <f t="shared" ca="1" si="33"/>
        <v>#REF!</v>
      </c>
      <c r="AI18" s="74" t="e">
        <f t="shared" ca="1" si="33"/>
        <v>#REF!</v>
      </c>
      <c r="AJ18" s="74" t="e">
        <f t="shared" ca="1" si="33"/>
        <v>#REF!</v>
      </c>
      <c r="AK18" s="74" t="e">
        <f t="shared" ca="1" si="33"/>
        <v>#REF!</v>
      </c>
      <c r="AL18" s="74" t="e">
        <f t="shared" ca="1" si="33"/>
        <v>#REF!</v>
      </c>
      <c r="AM18" s="74" t="e">
        <f t="shared" ca="1" si="33"/>
        <v>#REF!</v>
      </c>
      <c r="AN18" s="74" t="e">
        <f t="shared" ca="1" si="33"/>
        <v>#REF!</v>
      </c>
      <c r="AO18" s="74" t="e">
        <f t="shared" ca="1" si="33"/>
        <v>#REF!</v>
      </c>
      <c r="AP18" s="74" t="e">
        <f t="shared" ca="1" si="34"/>
        <v>#REF!</v>
      </c>
      <c r="AQ18" s="74" t="e">
        <f t="shared" ca="1" si="34"/>
        <v>#REF!</v>
      </c>
      <c r="AR18" s="74" t="e">
        <f t="shared" ca="1" si="34"/>
        <v>#REF!</v>
      </c>
      <c r="AS18" s="74" t="e">
        <f t="shared" ca="1" si="34"/>
        <v>#REF!</v>
      </c>
      <c r="AT18" s="74" t="e">
        <f t="shared" ca="1" si="34"/>
        <v>#REF!</v>
      </c>
      <c r="AU18" s="74" t="e">
        <f t="shared" ca="1" si="34"/>
        <v>#REF!</v>
      </c>
      <c r="AV18" s="74" t="e">
        <f t="shared" ca="1" si="34"/>
        <v>#REF!</v>
      </c>
      <c r="AW18" s="74" t="e">
        <f t="shared" ca="1" si="34"/>
        <v>#REF!</v>
      </c>
      <c r="AX18" s="74" t="e">
        <f t="shared" ca="1" si="34"/>
        <v>#REF!</v>
      </c>
      <c r="AY18" s="74" t="e">
        <f t="shared" ca="1" si="34"/>
        <v>#REF!</v>
      </c>
      <c r="AZ18" s="74" t="e">
        <f t="shared" ca="1" si="34"/>
        <v>#REF!</v>
      </c>
      <c r="BA18" s="74" t="e">
        <f t="shared" ca="1" si="34"/>
        <v>#REF!</v>
      </c>
      <c r="BB18" s="74" t="e">
        <f t="shared" ca="1" si="34"/>
        <v>#REF!</v>
      </c>
      <c r="BC18" s="74" t="e">
        <f t="shared" ca="1" si="34"/>
        <v>#REF!</v>
      </c>
      <c r="BD18" s="74" t="e">
        <f t="shared" ca="1" si="34"/>
        <v>#REF!</v>
      </c>
      <c r="BE18" s="74" t="e">
        <f t="shared" ca="1" si="34"/>
        <v>#REF!</v>
      </c>
      <c r="BF18" s="74" t="e">
        <f t="shared" ca="1" si="35"/>
        <v>#REF!</v>
      </c>
      <c r="BG18" s="74" t="e">
        <f t="shared" ca="1" si="35"/>
        <v>#REF!</v>
      </c>
      <c r="BH18" s="74" t="e">
        <f t="shared" ca="1" si="35"/>
        <v>#REF!</v>
      </c>
      <c r="BI18" s="74" t="e">
        <f t="shared" ca="1" si="35"/>
        <v>#REF!</v>
      </c>
      <c r="BJ18" s="74" t="e">
        <f t="shared" ca="1" si="35"/>
        <v>#REF!</v>
      </c>
      <c r="BK18" s="74" t="e">
        <f t="shared" ca="1" si="35"/>
        <v>#REF!</v>
      </c>
      <c r="BL18" s="74" t="e">
        <f t="shared" ca="1" si="35"/>
        <v>#REF!</v>
      </c>
      <c r="BM18" s="74" t="e">
        <f t="shared" ca="1" si="35"/>
        <v>#REF!</v>
      </c>
      <c r="BN18" s="74" t="e">
        <f t="shared" ca="1" si="35"/>
        <v>#REF!</v>
      </c>
      <c r="BO18" s="74" t="e">
        <f t="shared" ca="1" si="35"/>
        <v>#REF!</v>
      </c>
      <c r="BP18" s="74" t="e">
        <f t="shared" ca="1" si="35"/>
        <v>#REF!</v>
      </c>
      <c r="BQ18" s="74" t="e">
        <f t="shared" ca="1" si="35"/>
        <v>#REF!</v>
      </c>
      <c r="BR18" s="74" t="e">
        <f t="shared" ca="1" si="35"/>
        <v>#REF!</v>
      </c>
      <c r="BS18" s="74" t="e">
        <f t="shared" ca="1" si="35"/>
        <v>#REF!</v>
      </c>
      <c r="BT18" s="74" t="e">
        <f t="shared" ca="1" si="35"/>
        <v>#REF!</v>
      </c>
      <c r="BU18" s="74" t="e">
        <f t="shared" ca="1" si="35"/>
        <v>#REF!</v>
      </c>
      <c r="BV18" s="74" t="e">
        <f t="shared" ca="1" si="36"/>
        <v>#REF!</v>
      </c>
      <c r="BW18" s="74" t="e">
        <f t="shared" ca="1" si="36"/>
        <v>#REF!</v>
      </c>
      <c r="BX18" s="74" t="e">
        <f t="shared" ca="1" si="36"/>
        <v>#REF!</v>
      </c>
      <c r="BY18" s="74" t="e">
        <f t="shared" ca="1" si="36"/>
        <v>#REF!</v>
      </c>
      <c r="BZ18" s="74" t="e">
        <f t="shared" ca="1" si="36"/>
        <v>#REF!</v>
      </c>
      <c r="CA18" s="74" t="e">
        <f t="shared" ca="1" si="36"/>
        <v>#REF!</v>
      </c>
      <c r="CB18" s="74" t="e">
        <f t="shared" ca="1" si="36"/>
        <v>#REF!</v>
      </c>
      <c r="CC18" s="74" t="e">
        <f t="shared" ca="1" si="36"/>
        <v>#REF!</v>
      </c>
      <c r="CD18" s="74" t="e">
        <f t="shared" ca="1" si="36"/>
        <v>#REF!</v>
      </c>
      <c r="CE18" s="74" t="e">
        <f t="shared" ca="1" si="36"/>
        <v>#REF!</v>
      </c>
      <c r="CF18" s="74" t="e">
        <f t="shared" ca="1" si="36"/>
        <v>#REF!</v>
      </c>
      <c r="CG18" s="74" t="e">
        <f t="shared" ca="1" si="36"/>
        <v>#REF!</v>
      </c>
      <c r="CH18" s="74" t="e">
        <f t="shared" ca="1" si="36"/>
        <v>#REF!</v>
      </c>
      <c r="CI18" s="74" t="e">
        <f t="shared" ca="1" si="36"/>
        <v>#REF!</v>
      </c>
      <c r="CJ18" s="74" t="e">
        <f t="shared" ca="1" si="36"/>
        <v>#REF!</v>
      </c>
      <c r="CK18" s="74" t="e">
        <f t="shared" ca="1" si="36"/>
        <v>#REF!</v>
      </c>
      <c r="CL18" s="74" t="e">
        <f t="shared" ca="1" si="37"/>
        <v>#REF!</v>
      </c>
      <c r="CM18" s="74" t="e">
        <f t="shared" ca="1" si="37"/>
        <v>#REF!</v>
      </c>
      <c r="CN18" s="74" t="e">
        <f t="shared" ca="1" si="37"/>
        <v>#REF!</v>
      </c>
      <c r="CO18" s="74" t="e">
        <f t="shared" ca="1" si="37"/>
        <v>#REF!</v>
      </c>
      <c r="CP18" s="74" t="e">
        <f t="shared" ca="1" si="37"/>
        <v>#REF!</v>
      </c>
      <c r="CQ18" s="74" t="e">
        <f t="shared" ca="1" si="37"/>
        <v>#REF!</v>
      </c>
      <c r="CR18" s="74" t="e">
        <f t="shared" ca="1" si="37"/>
        <v>#REF!</v>
      </c>
      <c r="CS18" s="74" t="e">
        <f t="shared" ca="1" si="37"/>
        <v>#REF!</v>
      </c>
      <c r="CT18" s="74" t="e">
        <f t="shared" ca="1" si="37"/>
        <v>#REF!</v>
      </c>
      <c r="CU18" s="74" t="e">
        <f t="shared" ca="1" si="37"/>
        <v>#REF!</v>
      </c>
      <c r="CV18" s="74" t="e">
        <f t="shared" ca="1" si="37"/>
        <v>#REF!</v>
      </c>
      <c r="CW18" s="74" t="e">
        <f t="shared" ca="1" si="37"/>
        <v>#REF!</v>
      </c>
      <c r="CX18" s="74" t="e">
        <f t="shared" ca="1" si="37"/>
        <v>#REF!</v>
      </c>
      <c r="CY18" s="74" t="e">
        <f t="shared" ca="1" si="37"/>
        <v>#REF!</v>
      </c>
      <c r="CZ18" s="74" t="e">
        <f t="shared" ca="1" si="37"/>
        <v>#REF!</v>
      </c>
      <c r="DA18" s="74" t="e">
        <f t="shared" ca="1" si="37"/>
        <v>#REF!</v>
      </c>
      <c r="DB18" s="74" t="e">
        <f t="shared" ca="1" si="38"/>
        <v>#REF!</v>
      </c>
      <c r="DC18" s="74" t="e">
        <f t="shared" ca="1" si="38"/>
        <v>#REF!</v>
      </c>
      <c r="DD18" s="74" t="e">
        <f t="shared" ca="1" si="38"/>
        <v>#REF!</v>
      </c>
      <c r="DE18" s="74" t="e">
        <f t="shared" ca="1" si="38"/>
        <v>#REF!</v>
      </c>
      <c r="DF18" s="74" t="e">
        <f t="shared" ca="1" si="38"/>
        <v>#REF!</v>
      </c>
      <c r="DG18" s="74" t="e">
        <f t="shared" ca="1" si="38"/>
        <v>#REF!</v>
      </c>
      <c r="DH18" s="74" t="e">
        <f t="shared" ca="1" si="38"/>
        <v>#REF!</v>
      </c>
      <c r="DI18" s="74" t="e">
        <f t="shared" ca="1" si="38"/>
        <v>#REF!</v>
      </c>
      <c r="DJ18" s="74" t="e">
        <f t="shared" ca="1" si="38"/>
        <v>#REF!</v>
      </c>
      <c r="DK18" s="74" t="e">
        <f t="shared" ca="1" si="38"/>
        <v>#REF!</v>
      </c>
      <c r="DL18" s="74" t="e">
        <f t="shared" ca="1" si="38"/>
        <v>#REF!</v>
      </c>
      <c r="DM18" s="74" t="e">
        <f t="shared" ca="1" si="38"/>
        <v>#REF!</v>
      </c>
      <c r="DN18" s="74" t="e">
        <f t="shared" ca="1" si="38"/>
        <v>#REF!</v>
      </c>
      <c r="DO18" s="74" t="e">
        <f t="shared" ca="1" si="38"/>
        <v>#REF!</v>
      </c>
      <c r="DP18" s="74" t="e">
        <f t="shared" ca="1" si="38"/>
        <v>#REF!</v>
      </c>
      <c r="DQ18" s="74" t="e">
        <f t="shared" ca="1" si="38"/>
        <v>#REF!</v>
      </c>
      <c r="DR18" s="74" t="e">
        <f t="shared" ca="1" si="39"/>
        <v>#REF!</v>
      </c>
      <c r="DS18" s="74" t="e">
        <f t="shared" ca="1" si="39"/>
        <v>#REF!</v>
      </c>
      <c r="DT18" s="74" t="e">
        <f t="shared" ca="1" si="39"/>
        <v>#REF!</v>
      </c>
      <c r="DU18" s="74" t="e">
        <f t="shared" ca="1" si="39"/>
        <v>#REF!</v>
      </c>
      <c r="DV18" s="74" t="e">
        <f t="shared" ca="1" si="39"/>
        <v>#REF!</v>
      </c>
      <c r="DW18" s="74" t="e">
        <f t="shared" ca="1" si="39"/>
        <v>#REF!</v>
      </c>
      <c r="DX18" s="74" t="e">
        <f t="shared" ca="1" si="39"/>
        <v>#REF!</v>
      </c>
      <c r="DY18" s="74" t="e">
        <f t="shared" ca="1" si="39"/>
        <v>#REF!</v>
      </c>
      <c r="DZ18" s="74" t="e">
        <f t="shared" ca="1" si="39"/>
        <v>#REF!</v>
      </c>
      <c r="EA18" s="74" t="e">
        <f t="shared" ca="1" si="39"/>
        <v>#REF!</v>
      </c>
      <c r="EB18" s="74" t="e">
        <f t="shared" ca="1" si="39"/>
        <v>#REF!</v>
      </c>
      <c r="EC18" s="74" t="e">
        <f t="shared" ca="1" si="39"/>
        <v>#REF!</v>
      </c>
      <c r="ED18" s="74" t="e">
        <f t="shared" ca="1" si="39"/>
        <v>#REF!</v>
      </c>
      <c r="EE18" s="74" t="e">
        <f t="shared" ca="1" si="39"/>
        <v>#REF!</v>
      </c>
      <c r="EF18" s="74" t="e">
        <f t="shared" ca="1" si="39"/>
        <v>#REF!</v>
      </c>
      <c r="EG18" s="74" t="e">
        <f t="shared" ca="1" si="39"/>
        <v>#REF!</v>
      </c>
      <c r="EH18" s="74" t="e">
        <f t="shared" ca="1" si="40"/>
        <v>#REF!</v>
      </c>
      <c r="EI18" s="74" t="e">
        <f t="shared" ca="1" si="40"/>
        <v>#REF!</v>
      </c>
      <c r="EJ18" s="74" t="e">
        <f t="shared" ca="1" si="40"/>
        <v>#REF!</v>
      </c>
      <c r="EK18" s="74" t="e">
        <f t="shared" ca="1" si="40"/>
        <v>#REF!</v>
      </c>
      <c r="EL18" s="74" t="e">
        <f t="shared" ca="1" si="40"/>
        <v>#REF!</v>
      </c>
      <c r="EM18" s="74" t="e">
        <f t="shared" ca="1" si="40"/>
        <v>#REF!</v>
      </c>
      <c r="EN18" s="74" t="e">
        <f t="shared" ca="1" si="40"/>
        <v>#REF!</v>
      </c>
      <c r="EO18" s="74" t="e">
        <f t="shared" ca="1" si="40"/>
        <v>#REF!</v>
      </c>
      <c r="EP18" s="74" t="e">
        <f t="shared" ca="1" si="40"/>
        <v>#REF!</v>
      </c>
      <c r="EQ18" s="74" t="e">
        <f t="shared" ca="1" si="40"/>
        <v>#REF!</v>
      </c>
      <c r="ER18" s="74" t="e">
        <f t="shared" ca="1" si="40"/>
        <v>#REF!</v>
      </c>
      <c r="ES18" s="74" t="e">
        <f t="shared" ca="1" si="40"/>
        <v>#REF!</v>
      </c>
      <c r="ET18" s="74" t="e">
        <f t="shared" ca="1" si="40"/>
        <v>#REF!</v>
      </c>
      <c r="EU18" s="74" t="e">
        <f t="shared" ca="1" si="40"/>
        <v>#REF!</v>
      </c>
      <c r="EV18" s="74" t="e">
        <f t="shared" ca="1" si="40"/>
        <v>#REF!</v>
      </c>
      <c r="EW18" s="74" t="e">
        <f t="shared" ca="1" si="40"/>
        <v>#REF!</v>
      </c>
      <c r="EX18" s="74" t="e">
        <f t="shared" ca="1" si="41"/>
        <v>#REF!</v>
      </c>
      <c r="EY18" s="74" t="e">
        <f t="shared" ca="1" si="41"/>
        <v>#REF!</v>
      </c>
      <c r="EZ18" s="74" t="e">
        <f t="shared" ca="1" si="41"/>
        <v>#REF!</v>
      </c>
      <c r="FA18" s="74" t="e">
        <f t="shared" ca="1" si="41"/>
        <v>#REF!</v>
      </c>
      <c r="FB18" s="74" t="e">
        <f t="shared" ca="1" si="41"/>
        <v>#REF!</v>
      </c>
      <c r="FC18" s="74" t="e">
        <f t="shared" ca="1" si="41"/>
        <v>#REF!</v>
      </c>
      <c r="FD18" s="74" t="e">
        <f t="shared" ca="1" si="41"/>
        <v>#REF!</v>
      </c>
      <c r="FE18" s="74" t="e">
        <f t="shared" ca="1" si="41"/>
        <v>#REF!</v>
      </c>
      <c r="FF18" s="74" t="e">
        <f t="shared" ca="1" si="41"/>
        <v>#REF!</v>
      </c>
      <c r="FG18" s="74" t="e">
        <f t="shared" ca="1" si="41"/>
        <v>#REF!</v>
      </c>
      <c r="FH18" s="74" t="e">
        <f t="shared" ca="1" si="41"/>
        <v>#REF!</v>
      </c>
      <c r="FI18" s="74" t="e">
        <f t="shared" ca="1" si="41"/>
        <v>#REF!</v>
      </c>
      <c r="FJ18" s="74" t="e">
        <f t="shared" ca="1" si="41"/>
        <v>#REF!</v>
      </c>
      <c r="FK18" s="74" t="e">
        <f t="shared" ca="1" si="41"/>
        <v>#REF!</v>
      </c>
      <c r="FL18" s="74" t="e">
        <f t="shared" ca="1" si="41"/>
        <v>#REF!</v>
      </c>
      <c r="FM18" s="74" t="e">
        <f t="shared" ca="1" si="41"/>
        <v>#REF!</v>
      </c>
      <c r="FN18" s="74" t="e">
        <f t="shared" ca="1" si="42"/>
        <v>#REF!</v>
      </c>
      <c r="FO18" s="74" t="e">
        <f t="shared" ca="1" si="42"/>
        <v>#REF!</v>
      </c>
      <c r="FP18" s="74" t="e">
        <f t="shared" ca="1" si="42"/>
        <v>#REF!</v>
      </c>
      <c r="FQ18" s="74" t="e">
        <f t="shared" ca="1" si="42"/>
        <v>#REF!</v>
      </c>
      <c r="FR18" s="74" t="e">
        <f t="shared" ca="1" si="42"/>
        <v>#REF!</v>
      </c>
      <c r="FS18" s="74" t="e">
        <f t="shared" ca="1" si="42"/>
        <v>#REF!</v>
      </c>
      <c r="FT18" s="74" t="e">
        <f t="shared" ca="1" si="42"/>
        <v>#REF!</v>
      </c>
      <c r="FU18" s="74" t="e">
        <f t="shared" ca="1" si="42"/>
        <v>#REF!</v>
      </c>
      <c r="FV18" s="74" t="e">
        <f t="shared" ca="1" si="42"/>
        <v>#REF!</v>
      </c>
      <c r="FW18" s="74" t="e">
        <f t="shared" ca="1" si="42"/>
        <v>#REF!</v>
      </c>
      <c r="FX18" s="74" t="e">
        <f t="shared" ca="1" si="42"/>
        <v>#REF!</v>
      </c>
      <c r="FY18" s="74" t="e">
        <f t="shared" ca="1" si="42"/>
        <v>#REF!</v>
      </c>
      <c r="FZ18" s="74" t="e">
        <f t="shared" ca="1" si="42"/>
        <v>#REF!</v>
      </c>
      <c r="GA18" s="74" t="e">
        <f t="shared" ca="1" si="42"/>
        <v>#REF!</v>
      </c>
      <c r="GB18" s="74" t="e">
        <f t="shared" ca="1" si="42"/>
        <v>#REF!</v>
      </c>
      <c r="GC18" s="74" t="e">
        <f t="shared" ca="1" si="42"/>
        <v>#REF!</v>
      </c>
      <c r="GD18" s="74" t="e">
        <f t="shared" ca="1" si="43"/>
        <v>#REF!</v>
      </c>
      <c r="GE18" s="74" t="e">
        <f t="shared" ca="1" si="43"/>
        <v>#REF!</v>
      </c>
      <c r="GF18" s="74" t="e">
        <f t="shared" ca="1" si="43"/>
        <v>#REF!</v>
      </c>
      <c r="GG18" s="74" t="e">
        <f t="shared" ca="1" si="43"/>
        <v>#REF!</v>
      </c>
      <c r="GH18" s="74" t="e">
        <f t="shared" ca="1" si="43"/>
        <v>#REF!</v>
      </c>
      <c r="GI18" s="74" t="e">
        <f t="shared" ca="1" si="43"/>
        <v>#REF!</v>
      </c>
      <c r="GJ18" s="74" t="e">
        <f t="shared" ca="1" si="43"/>
        <v>#REF!</v>
      </c>
      <c r="GK18" s="74" t="e">
        <f t="shared" ca="1" si="43"/>
        <v>#REF!</v>
      </c>
      <c r="GL18" s="74" t="e">
        <f t="shared" ca="1" si="43"/>
        <v>#REF!</v>
      </c>
      <c r="GM18" s="74" t="e">
        <f t="shared" ca="1" si="43"/>
        <v>#REF!</v>
      </c>
      <c r="GN18" s="74" t="e">
        <f t="shared" ca="1" si="43"/>
        <v>#REF!</v>
      </c>
      <c r="GO18" s="74" t="e">
        <f t="shared" ca="1" si="43"/>
        <v>#REF!</v>
      </c>
      <c r="GP18" s="74" t="e">
        <f t="shared" ca="1" si="43"/>
        <v>#REF!</v>
      </c>
      <c r="GQ18" s="74" t="e">
        <f t="shared" ca="1" si="43"/>
        <v>#REF!</v>
      </c>
      <c r="GR18" s="74" t="e">
        <f t="shared" ca="1" si="43"/>
        <v>#REF!</v>
      </c>
      <c r="GS18" s="74" t="e">
        <f t="shared" ca="1" si="43"/>
        <v>#REF!</v>
      </c>
      <c r="GT18" s="74" t="e">
        <f t="shared" ca="1" si="44"/>
        <v>#REF!</v>
      </c>
      <c r="GU18" s="74" t="e">
        <f t="shared" ca="1" si="44"/>
        <v>#REF!</v>
      </c>
      <c r="GV18" s="74" t="e">
        <f t="shared" ca="1" si="44"/>
        <v>#REF!</v>
      </c>
      <c r="GW18" s="74" t="e">
        <f t="shared" ca="1" si="44"/>
        <v>#REF!</v>
      </c>
      <c r="GX18" s="74" t="e">
        <f t="shared" ca="1" si="44"/>
        <v>#REF!</v>
      </c>
      <c r="GY18" s="74" t="e">
        <f t="shared" ca="1" si="44"/>
        <v>#REF!</v>
      </c>
      <c r="GZ18" s="74" t="e">
        <f t="shared" ca="1" si="44"/>
        <v>#REF!</v>
      </c>
      <c r="HA18" s="74" t="e">
        <f t="shared" ca="1" si="44"/>
        <v>#REF!</v>
      </c>
      <c r="HB18" s="74" t="e">
        <f t="shared" ca="1" si="44"/>
        <v>#REF!</v>
      </c>
      <c r="HC18" s="74" t="e">
        <f t="shared" ca="1" si="44"/>
        <v>#REF!</v>
      </c>
      <c r="HD18" s="74" t="e">
        <f t="shared" ca="1" si="44"/>
        <v>#REF!</v>
      </c>
      <c r="HE18" s="74" t="e">
        <f t="shared" ca="1" si="44"/>
        <v>#REF!</v>
      </c>
      <c r="HF18" s="74" t="e">
        <f t="shared" ca="1" si="44"/>
        <v>#REF!</v>
      </c>
      <c r="HG18" s="74" t="e">
        <f t="shared" ca="1" si="44"/>
        <v>#REF!</v>
      </c>
      <c r="HH18" s="74" t="e">
        <f t="shared" ca="1" si="44"/>
        <v>#REF!</v>
      </c>
      <c r="HI18" s="74" t="e">
        <f t="shared" ca="1" si="44"/>
        <v>#REF!</v>
      </c>
      <c r="HJ18" s="74" t="e">
        <f t="shared" ca="1" si="45"/>
        <v>#REF!</v>
      </c>
      <c r="HK18" s="74" t="e">
        <f t="shared" ca="1" si="45"/>
        <v>#REF!</v>
      </c>
      <c r="HL18" s="74" t="e">
        <f t="shared" ca="1" si="45"/>
        <v>#REF!</v>
      </c>
      <c r="HM18" s="74" t="e">
        <f t="shared" ca="1" si="45"/>
        <v>#REF!</v>
      </c>
      <c r="HN18" s="74" t="e">
        <f t="shared" ca="1" si="45"/>
        <v>#REF!</v>
      </c>
      <c r="HO18" s="74" t="e">
        <f t="shared" ca="1" si="45"/>
        <v>#REF!</v>
      </c>
      <c r="HP18" s="74" t="e">
        <f t="shared" ca="1" si="45"/>
        <v>#REF!</v>
      </c>
      <c r="HQ18" s="74" t="e">
        <f t="shared" ca="1" si="45"/>
        <v>#REF!</v>
      </c>
      <c r="HR18" s="74" t="e">
        <f t="shared" ca="1" si="45"/>
        <v>#REF!</v>
      </c>
      <c r="HS18" s="74" t="e">
        <f t="shared" ca="1" si="45"/>
        <v>#REF!</v>
      </c>
      <c r="HT18" s="74" t="e">
        <f t="shared" ca="1" si="45"/>
        <v>#REF!</v>
      </c>
      <c r="HU18" s="74" t="e">
        <f t="shared" ca="1" si="45"/>
        <v>#REF!</v>
      </c>
      <c r="HV18" s="74" t="e">
        <f t="shared" ca="1" si="45"/>
        <v>#REF!</v>
      </c>
      <c r="HW18" s="74" t="e">
        <f t="shared" ca="1" si="45"/>
        <v>#REF!</v>
      </c>
      <c r="HX18" s="74" t="e">
        <f t="shared" ca="1" si="45"/>
        <v>#REF!</v>
      </c>
      <c r="HY18" s="74" t="e">
        <f t="shared" ca="1" si="45"/>
        <v>#REF!</v>
      </c>
      <c r="HZ18" s="74" t="e">
        <f t="shared" ca="1" si="46"/>
        <v>#REF!</v>
      </c>
      <c r="IA18" s="74" t="e">
        <f t="shared" ca="1" si="46"/>
        <v>#REF!</v>
      </c>
      <c r="IB18" s="74" t="e">
        <f t="shared" ca="1" si="46"/>
        <v>#REF!</v>
      </c>
      <c r="IC18" s="74" t="e">
        <f t="shared" ca="1" si="46"/>
        <v>#REF!</v>
      </c>
      <c r="ID18" s="74" t="e">
        <f t="shared" ca="1" si="46"/>
        <v>#REF!</v>
      </c>
      <c r="IE18" s="74" t="e">
        <f t="shared" ca="1" si="46"/>
        <v>#REF!</v>
      </c>
      <c r="IF18" s="74" t="e">
        <f t="shared" ca="1" si="46"/>
        <v>#REF!</v>
      </c>
      <c r="IG18" s="74" t="e">
        <f t="shared" ca="1" si="46"/>
        <v>#REF!</v>
      </c>
      <c r="IH18" s="74" t="e">
        <f t="shared" ca="1" si="46"/>
        <v>#REF!</v>
      </c>
      <c r="II18" s="74" t="e">
        <f t="shared" ca="1" si="46"/>
        <v>#REF!</v>
      </c>
      <c r="IJ18" s="74" t="e">
        <f t="shared" ca="1" si="46"/>
        <v>#REF!</v>
      </c>
      <c r="IK18" s="74" t="e">
        <f t="shared" ca="1" si="46"/>
        <v>#REF!</v>
      </c>
      <c r="IL18" s="74" t="e">
        <f t="shared" ca="1" si="46"/>
        <v>#REF!</v>
      </c>
      <c r="IM18" s="74" t="e">
        <f t="shared" ca="1" si="46"/>
        <v>#REF!</v>
      </c>
      <c r="IN18" s="74" t="e">
        <f t="shared" ca="1" si="46"/>
        <v>#REF!</v>
      </c>
      <c r="IO18" s="74" t="e">
        <f t="shared" ca="1" si="46"/>
        <v>#REF!</v>
      </c>
      <c r="IP18" s="74" t="e">
        <f t="shared" ca="1" si="47"/>
        <v>#REF!</v>
      </c>
      <c r="IQ18" s="74" t="e">
        <f t="shared" ca="1" si="47"/>
        <v>#REF!</v>
      </c>
      <c r="IR18" s="74" t="e">
        <f t="shared" ca="1" si="47"/>
        <v>#REF!</v>
      </c>
      <c r="IS18" s="74" t="e">
        <f t="shared" ca="1" si="47"/>
        <v>#REF!</v>
      </c>
      <c r="IT18" s="74" t="e">
        <f t="shared" ca="1" si="47"/>
        <v>#REF!</v>
      </c>
      <c r="IU18" s="74" t="e">
        <f t="shared" ca="1" si="47"/>
        <v>#REF!</v>
      </c>
      <c r="IV18" s="74" t="e">
        <f t="shared" ca="1" si="47"/>
        <v>#REF!</v>
      </c>
      <c r="IW18" s="74" t="e">
        <f t="shared" ca="1" si="47"/>
        <v>#REF!</v>
      </c>
      <c r="IX18" s="74" t="e">
        <f t="shared" ca="1" si="47"/>
        <v>#REF!</v>
      </c>
      <c r="IY18" s="74" t="e">
        <f t="shared" ca="1" si="47"/>
        <v>#REF!</v>
      </c>
      <c r="IZ18" s="74" t="e">
        <f t="shared" ca="1" si="47"/>
        <v>#REF!</v>
      </c>
      <c r="JA18" s="74" t="e">
        <f t="shared" ca="1" si="47"/>
        <v>#REF!</v>
      </c>
      <c r="JB18" s="74" t="e">
        <f t="shared" ca="1" si="47"/>
        <v>#REF!</v>
      </c>
      <c r="JC18" s="74" t="e">
        <f t="shared" ca="1" si="47"/>
        <v>#REF!</v>
      </c>
      <c r="JD18" s="74" t="e">
        <f t="shared" ca="1" si="47"/>
        <v>#REF!</v>
      </c>
      <c r="JE18" s="74" t="e">
        <f t="shared" ca="1" si="47"/>
        <v>#REF!</v>
      </c>
      <c r="JF18" s="74" t="e">
        <f t="shared" ca="1" si="48"/>
        <v>#REF!</v>
      </c>
      <c r="JG18" s="74" t="e">
        <f t="shared" ca="1" si="48"/>
        <v>#REF!</v>
      </c>
      <c r="JH18" s="74" t="e">
        <f t="shared" ca="1" si="48"/>
        <v>#REF!</v>
      </c>
      <c r="JI18" s="74" t="e">
        <f t="shared" ca="1" si="48"/>
        <v>#REF!</v>
      </c>
      <c r="JJ18" s="74" t="e">
        <f t="shared" ca="1" si="48"/>
        <v>#REF!</v>
      </c>
      <c r="JK18" s="74" t="e">
        <f t="shared" ca="1" si="48"/>
        <v>#REF!</v>
      </c>
      <c r="JL18" s="74" t="e">
        <f t="shared" ca="1" si="48"/>
        <v>#REF!</v>
      </c>
      <c r="JM18" s="74" t="e">
        <f t="shared" ca="1" si="48"/>
        <v>#REF!</v>
      </c>
      <c r="JN18" s="74" t="e">
        <f t="shared" ca="1" si="48"/>
        <v>#REF!</v>
      </c>
      <c r="JO18" s="74" t="e">
        <f t="shared" ca="1" si="48"/>
        <v>#REF!</v>
      </c>
      <c r="JP18" s="74" t="e">
        <f t="shared" ca="1" si="48"/>
        <v>#REF!</v>
      </c>
      <c r="JQ18" s="74" t="e">
        <f t="shared" ca="1" si="48"/>
        <v>#REF!</v>
      </c>
      <c r="JR18" s="74" t="e">
        <f t="shared" ca="1" si="48"/>
        <v>#REF!</v>
      </c>
      <c r="JS18" s="74" t="e">
        <f t="shared" ca="1" si="48"/>
        <v>#REF!</v>
      </c>
      <c r="JT18" s="74" t="e">
        <f t="shared" ca="1" si="48"/>
        <v>#REF!</v>
      </c>
      <c r="JU18" s="74" t="e">
        <f t="shared" ca="1" si="48"/>
        <v>#REF!</v>
      </c>
      <c r="JV18" s="74" t="e">
        <f t="shared" ca="1" si="49"/>
        <v>#REF!</v>
      </c>
      <c r="JW18" s="74" t="e">
        <f t="shared" ca="1" si="49"/>
        <v>#REF!</v>
      </c>
      <c r="JX18" s="74" t="e">
        <f t="shared" ca="1" si="49"/>
        <v>#REF!</v>
      </c>
      <c r="JY18" s="74" t="e">
        <f t="shared" ca="1" si="49"/>
        <v>#REF!</v>
      </c>
      <c r="JZ18" s="74" t="e">
        <f t="shared" ca="1" si="49"/>
        <v>#REF!</v>
      </c>
      <c r="KA18" s="74" t="e">
        <f t="shared" ca="1" si="49"/>
        <v>#REF!</v>
      </c>
      <c r="KB18" s="74" t="e">
        <f t="shared" ca="1" si="49"/>
        <v>#REF!</v>
      </c>
      <c r="KC18" s="74" t="e">
        <f t="shared" ca="1" si="49"/>
        <v>#REF!</v>
      </c>
      <c r="KD18" s="74" t="e">
        <f t="shared" ca="1" si="49"/>
        <v>#REF!</v>
      </c>
      <c r="KE18" s="74" t="e">
        <f t="shared" ca="1" si="49"/>
        <v>#REF!</v>
      </c>
      <c r="KF18" s="74" t="e">
        <f t="shared" ca="1" si="49"/>
        <v>#REF!</v>
      </c>
      <c r="KG18" s="74" t="e">
        <f t="shared" ca="1" si="49"/>
        <v>#REF!</v>
      </c>
      <c r="KH18" s="74" t="e">
        <f t="shared" ca="1" si="49"/>
        <v>#REF!</v>
      </c>
      <c r="KI18" s="74" t="e">
        <f t="shared" ca="1" si="49"/>
        <v>#REF!</v>
      </c>
      <c r="KJ18" s="74" t="e">
        <f t="shared" ca="1" si="49"/>
        <v>#REF!</v>
      </c>
      <c r="KK18" s="74" t="e">
        <f t="shared" ca="1" si="49"/>
        <v>#REF!</v>
      </c>
      <c r="KL18" s="74" t="e">
        <f t="shared" ca="1" si="50"/>
        <v>#REF!</v>
      </c>
      <c r="KM18" s="74" t="e">
        <f t="shared" ca="1" si="50"/>
        <v>#REF!</v>
      </c>
      <c r="KN18" s="74" t="e">
        <f t="shared" ca="1" si="50"/>
        <v>#REF!</v>
      </c>
      <c r="KO18" s="74" t="e">
        <f t="shared" ca="1" si="50"/>
        <v>#REF!</v>
      </c>
      <c r="KP18" s="74" t="e">
        <f t="shared" ca="1" si="50"/>
        <v>#REF!</v>
      </c>
      <c r="KQ18" s="74" t="e">
        <f t="shared" ca="1" si="50"/>
        <v>#REF!</v>
      </c>
      <c r="KR18" s="74" t="e">
        <f t="shared" ca="1" si="50"/>
        <v>#REF!</v>
      </c>
      <c r="KS18" s="74" t="e">
        <f t="shared" ca="1" si="50"/>
        <v>#REF!</v>
      </c>
      <c r="KT18" s="74" t="e">
        <f t="shared" ca="1" si="50"/>
        <v>#REF!</v>
      </c>
      <c r="KU18" s="74" t="e">
        <f t="shared" ca="1" si="50"/>
        <v>#REF!</v>
      </c>
      <c r="KV18" s="74" t="e">
        <f t="shared" ca="1" si="50"/>
        <v>#REF!</v>
      </c>
      <c r="KW18" s="74" t="e">
        <f t="shared" ca="1" si="50"/>
        <v>#REF!</v>
      </c>
      <c r="KX18" s="74" t="e">
        <f t="shared" ca="1" si="50"/>
        <v>#REF!</v>
      </c>
      <c r="KY18" s="74" t="e">
        <f t="shared" ca="1" si="50"/>
        <v>#REF!</v>
      </c>
      <c r="KZ18" s="74" t="e">
        <f t="shared" ca="1" si="50"/>
        <v>#REF!</v>
      </c>
      <c r="LA18" s="74" t="e">
        <f t="shared" ca="1" si="50"/>
        <v>#REF!</v>
      </c>
      <c r="LB18" s="74" t="e">
        <f t="shared" ca="1" si="51"/>
        <v>#REF!</v>
      </c>
      <c r="LC18" s="74" t="e">
        <f t="shared" ca="1" si="51"/>
        <v>#REF!</v>
      </c>
      <c r="LD18" s="74" t="e">
        <f t="shared" ca="1" si="51"/>
        <v>#REF!</v>
      </c>
      <c r="LE18" s="74" t="e">
        <f t="shared" ca="1" si="51"/>
        <v>#REF!</v>
      </c>
      <c r="LF18" s="74" t="e">
        <f t="shared" ca="1" si="51"/>
        <v>#REF!</v>
      </c>
      <c r="LG18" s="74" t="e">
        <f t="shared" ca="1" si="51"/>
        <v>#REF!</v>
      </c>
      <c r="LH18" s="74" t="e">
        <f t="shared" ca="1" si="51"/>
        <v>#REF!</v>
      </c>
      <c r="LI18" s="74" t="e">
        <f t="shared" ca="1" si="51"/>
        <v>#REF!</v>
      </c>
      <c r="LJ18" s="74" t="e">
        <f t="shared" ca="1" si="51"/>
        <v>#REF!</v>
      </c>
      <c r="LK18" s="74" t="e">
        <f t="shared" ca="1" si="51"/>
        <v>#REF!</v>
      </c>
      <c r="LL18" s="74" t="e">
        <f t="shared" ca="1" si="51"/>
        <v>#REF!</v>
      </c>
      <c r="LM18" s="74" t="e">
        <f t="shared" ca="1" si="51"/>
        <v>#REF!</v>
      </c>
      <c r="LN18" s="74" t="e">
        <f t="shared" ca="1" si="51"/>
        <v>#REF!</v>
      </c>
      <c r="LO18" s="74" t="e">
        <f t="shared" ca="1" si="51"/>
        <v>#REF!</v>
      </c>
      <c r="LP18" s="74" t="e">
        <f t="shared" ca="1" si="51"/>
        <v>#REF!</v>
      </c>
      <c r="LQ18" s="74" t="e">
        <f t="shared" ca="1" si="51"/>
        <v>#REF!</v>
      </c>
      <c r="LR18" s="74" t="e">
        <f t="shared" ca="1" si="52"/>
        <v>#REF!</v>
      </c>
      <c r="LS18" s="74" t="e">
        <f t="shared" ca="1" si="52"/>
        <v>#REF!</v>
      </c>
      <c r="LT18" s="74" t="e">
        <f t="shared" ca="1" si="52"/>
        <v>#REF!</v>
      </c>
      <c r="LU18" s="74" t="e">
        <f t="shared" ca="1" si="52"/>
        <v>#REF!</v>
      </c>
      <c r="LV18" s="74" t="e">
        <f t="shared" ca="1" si="52"/>
        <v>#REF!</v>
      </c>
      <c r="LW18" s="74" t="e">
        <f t="shared" ca="1" si="52"/>
        <v>#REF!</v>
      </c>
      <c r="LX18" s="74" t="e">
        <f t="shared" ca="1" si="52"/>
        <v>#REF!</v>
      </c>
      <c r="LY18" s="74" t="e">
        <f t="shared" ca="1" si="52"/>
        <v>#REF!</v>
      </c>
      <c r="LZ18" s="74" t="e">
        <f t="shared" ca="1" si="52"/>
        <v>#REF!</v>
      </c>
      <c r="MA18" s="74" t="e">
        <f t="shared" ca="1" si="52"/>
        <v>#REF!</v>
      </c>
      <c r="MB18" s="74" t="e">
        <f t="shared" ca="1" si="52"/>
        <v>#REF!</v>
      </c>
      <c r="MC18" s="74" t="e">
        <f t="shared" ca="1" si="52"/>
        <v>#REF!</v>
      </c>
      <c r="MD18" s="74" t="e">
        <f t="shared" ca="1" si="52"/>
        <v>#REF!</v>
      </c>
      <c r="ME18" s="74" t="e">
        <f t="shared" ca="1" si="52"/>
        <v>#REF!</v>
      </c>
      <c r="MF18" s="74" t="e">
        <f t="shared" ca="1" si="52"/>
        <v>#REF!</v>
      </c>
      <c r="MG18" s="74" t="e">
        <f t="shared" ca="1" si="52"/>
        <v>#REF!</v>
      </c>
      <c r="MH18" s="74" t="e">
        <f t="shared" ca="1" si="53"/>
        <v>#REF!</v>
      </c>
      <c r="MI18" s="74" t="e">
        <f t="shared" ca="1" si="53"/>
        <v>#REF!</v>
      </c>
      <c r="MJ18" s="74" t="e">
        <f t="shared" ca="1" si="53"/>
        <v>#REF!</v>
      </c>
      <c r="MK18" s="74" t="e">
        <f t="shared" ca="1" si="53"/>
        <v>#REF!</v>
      </c>
      <c r="ML18" s="74" t="e">
        <f t="shared" ca="1" si="53"/>
        <v>#REF!</v>
      </c>
      <c r="MM18" s="74" t="e">
        <f t="shared" ca="1" si="53"/>
        <v>#REF!</v>
      </c>
      <c r="MN18" s="74" t="e">
        <f t="shared" ca="1" si="53"/>
        <v>#REF!</v>
      </c>
      <c r="MO18" s="74" t="e">
        <f t="shared" ca="1" si="53"/>
        <v>#REF!</v>
      </c>
      <c r="MP18" s="74" t="e">
        <f t="shared" ca="1" si="53"/>
        <v>#REF!</v>
      </c>
      <c r="MQ18" s="74" t="e">
        <f t="shared" ca="1" si="53"/>
        <v>#REF!</v>
      </c>
      <c r="MR18" s="74" t="e">
        <f t="shared" ca="1" si="53"/>
        <v>#REF!</v>
      </c>
      <c r="MS18" s="74" t="e">
        <f t="shared" ca="1" si="53"/>
        <v>#REF!</v>
      </c>
      <c r="MT18" s="74" t="e">
        <f t="shared" ca="1" si="53"/>
        <v>#REF!</v>
      </c>
      <c r="MU18" s="74" t="e">
        <f t="shared" ca="1" si="53"/>
        <v>#REF!</v>
      </c>
      <c r="MV18" s="74" t="e">
        <f t="shared" ca="1" si="53"/>
        <v>#REF!</v>
      </c>
      <c r="MW18" s="74" t="e">
        <f t="shared" ca="1" si="53"/>
        <v>#REF!</v>
      </c>
      <c r="MX18" s="74" t="e">
        <f t="shared" ca="1" si="54"/>
        <v>#REF!</v>
      </c>
      <c r="MY18" s="74" t="e">
        <f t="shared" ca="1" si="54"/>
        <v>#REF!</v>
      </c>
      <c r="MZ18" s="74" t="e">
        <f t="shared" ca="1" si="54"/>
        <v>#REF!</v>
      </c>
      <c r="NA18" s="74" t="e">
        <f t="shared" ca="1" si="54"/>
        <v>#REF!</v>
      </c>
      <c r="NB18" s="74" t="e">
        <f t="shared" ca="1" si="54"/>
        <v>#REF!</v>
      </c>
      <c r="NC18" s="74" t="e">
        <f t="shared" ca="1" si="54"/>
        <v>#REF!</v>
      </c>
      <c r="ND18" s="74" t="e">
        <f t="shared" ca="1" si="54"/>
        <v>#REF!</v>
      </c>
      <c r="NE18" s="74" t="e">
        <f t="shared" ca="1" si="54"/>
        <v>#REF!</v>
      </c>
      <c r="NF18" s="74" t="e">
        <f t="shared" ca="1" si="54"/>
        <v>#REF!</v>
      </c>
      <c r="NG18" s="74" t="e">
        <f t="shared" ca="1" si="54"/>
        <v>#REF!</v>
      </c>
      <c r="NH18" s="74" t="e">
        <f t="shared" ca="1" si="54"/>
        <v>#REF!</v>
      </c>
      <c r="NI18" s="74" t="e">
        <f t="shared" ca="1" si="54"/>
        <v>#REF!</v>
      </c>
      <c r="NJ18" s="74" t="e">
        <f t="shared" ca="1" si="54"/>
        <v>#REF!</v>
      </c>
      <c r="NK18" s="74" t="e">
        <f t="shared" ca="1" si="54"/>
        <v>#REF!</v>
      </c>
      <c r="NL18" s="74" t="e">
        <f t="shared" ca="1" si="54"/>
        <v>#REF!</v>
      </c>
      <c r="NM18" s="74" t="e">
        <f t="shared" ca="1" si="54"/>
        <v>#REF!</v>
      </c>
      <c r="NN18" s="74" t="e">
        <f t="shared" ca="1" si="55"/>
        <v>#REF!</v>
      </c>
      <c r="NO18" s="74" t="e">
        <f t="shared" ca="1" si="55"/>
        <v>#REF!</v>
      </c>
      <c r="NP18" s="74" t="e">
        <f t="shared" ca="1" si="55"/>
        <v>#REF!</v>
      </c>
      <c r="NQ18" s="74" t="e">
        <f t="shared" ca="1" si="55"/>
        <v>#REF!</v>
      </c>
      <c r="NR18" s="74" t="e">
        <f t="shared" ca="1" si="55"/>
        <v>#REF!</v>
      </c>
      <c r="NS18" s="74" t="e">
        <f t="shared" ca="1" si="55"/>
        <v>#REF!</v>
      </c>
      <c r="NT18" s="74" t="e">
        <f t="shared" ca="1" si="55"/>
        <v>#REF!</v>
      </c>
      <c r="NU18" s="74" t="e">
        <f t="shared" ca="1" si="55"/>
        <v>#REF!</v>
      </c>
      <c r="NV18" s="74" t="e">
        <f t="shared" ca="1" si="55"/>
        <v>#REF!</v>
      </c>
      <c r="NW18" s="74" t="e">
        <f t="shared" ca="1" si="55"/>
        <v>#REF!</v>
      </c>
      <c r="NX18" s="74" t="e">
        <f t="shared" ca="1" si="55"/>
        <v>#REF!</v>
      </c>
      <c r="NY18" s="74" t="e">
        <f t="shared" ca="1" si="55"/>
        <v>#REF!</v>
      </c>
      <c r="NZ18" s="74" t="e">
        <f t="shared" ca="1" si="55"/>
        <v>#REF!</v>
      </c>
      <c r="OA18" s="74" t="e">
        <f t="shared" ca="1" si="55"/>
        <v>#REF!</v>
      </c>
      <c r="OB18" s="74" t="e">
        <f t="shared" ca="1" si="55"/>
        <v>#REF!</v>
      </c>
      <c r="OC18" s="74" t="e">
        <f t="shared" ca="1" si="55"/>
        <v>#REF!</v>
      </c>
      <c r="OD18" s="74" t="e">
        <f t="shared" ca="1" si="56"/>
        <v>#REF!</v>
      </c>
      <c r="OE18" s="74" t="e">
        <f t="shared" ca="1" si="56"/>
        <v>#REF!</v>
      </c>
      <c r="OF18" s="74" t="e">
        <f t="shared" ca="1" si="56"/>
        <v>#REF!</v>
      </c>
      <c r="OG18" s="74" t="e">
        <f t="shared" ca="1" si="56"/>
        <v>#REF!</v>
      </c>
      <c r="OH18" s="74" t="e">
        <f t="shared" ca="1" si="56"/>
        <v>#REF!</v>
      </c>
      <c r="OI18" s="74" t="e">
        <f t="shared" ca="1" si="56"/>
        <v>#REF!</v>
      </c>
      <c r="OJ18" s="74" t="e">
        <f t="shared" ca="1" si="56"/>
        <v>#REF!</v>
      </c>
      <c r="OK18" s="74" t="e">
        <f t="shared" ca="1" si="56"/>
        <v>#REF!</v>
      </c>
      <c r="OL18" s="74" t="e">
        <f t="shared" ca="1" si="56"/>
        <v>#REF!</v>
      </c>
      <c r="OM18" s="74" t="e">
        <f t="shared" ca="1" si="56"/>
        <v>#REF!</v>
      </c>
      <c r="ON18" s="74" t="e">
        <f t="shared" ca="1" si="56"/>
        <v>#REF!</v>
      </c>
      <c r="OO18" s="74" t="e">
        <f t="shared" ca="1" si="56"/>
        <v>#REF!</v>
      </c>
      <c r="OP18" s="74" t="e">
        <f t="shared" ca="1" si="56"/>
        <v>#REF!</v>
      </c>
      <c r="OQ18" s="74" t="e">
        <f t="shared" ca="1" si="56"/>
        <v>#REF!</v>
      </c>
      <c r="OR18" s="74" t="e">
        <f t="shared" ca="1" si="56"/>
        <v>#REF!</v>
      </c>
      <c r="OS18" s="74" t="e">
        <f t="shared" ca="1" si="56"/>
        <v>#REF!</v>
      </c>
      <c r="OT18" s="74" t="e">
        <f t="shared" ca="1" si="57"/>
        <v>#REF!</v>
      </c>
      <c r="OU18" s="74" t="e">
        <f t="shared" ca="1" si="57"/>
        <v>#REF!</v>
      </c>
      <c r="OV18" s="74" t="e">
        <f t="shared" ca="1" si="57"/>
        <v>#REF!</v>
      </c>
      <c r="OW18" s="74" t="e">
        <f t="shared" ca="1" si="57"/>
        <v>#REF!</v>
      </c>
      <c r="OX18" s="74" t="e">
        <f t="shared" ca="1" si="57"/>
        <v>#REF!</v>
      </c>
      <c r="OY18" s="74" t="e">
        <f t="shared" ca="1" si="57"/>
        <v>#REF!</v>
      </c>
      <c r="OZ18" s="74" t="e">
        <f t="shared" ca="1" si="57"/>
        <v>#REF!</v>
      </c>
      <c r="PA18" s="74" t="e">
        <f t="shared" ca="1" si="57"/>
        <v>#REF!</v>
      </c>
      <c r="PB18" s="74" t="e">
        <f t="shared" ca="1" si="57"/>
        <v>#REF!</v>
      </c>
      <c r="PC18" s="74" t="e">
        <f t="shared" ca="1" si="57"/>
        <v>#REF!</v>
      </c>
      <c r="PD18" s="74" t="e">
        <f t="shared" ca="1" si="57"/>
        <v>#REF!</v>
      </c>
      <c r="PE18" s="74" t="e">
        <f t="shared" ca="1" si="57"/>
        <v>#REF!</v>
      </c>
      <c r="PF18" s="74" t="e">
        <f t="shared" ca="1" si="57"/>
        <v>#REF!</v>
      </c>
      <c r="PG18" s="74" t="e">
        <f t="shared" ca="1" si="57"/>
        <v>#REF!</v>
      </c>
      <c r="PH18" s="74" t="e">
        <f t="shared" ca="1" si="57"/>
        <v>#REF!</v>
      </c>
      <c r="PI18" s="74" t="e">
        <f t="shared" ca="1" si="57"/>
        <v>#REF!</v>
      </c>
      <c r="PJ18" s="74" t="e">
        <f t="shared" ca="1" si="58"/>
        <v>#REF!</v>
      </c>
      <c r="PK18" s="74" t="e">
        <f t="shared" ca="1" si="58"/>
        <v>#REF!</v>
      </c>
      <c r="PL18" s="74" t="e">
        <f t="shared" ca="1" si="58"/>
        <v>#REF!</v>
      </c>
      <c r="PM18" s="74" t="e">
        <f t="shared" ca="1" si="58"/>
        <v>#REF!</v>
      </c>
      <c r="PN18" s="74" t="e">
        <f t="shared" ca="1" si="58"/>
        <v>#REF!</v>
      </c>
      <c r="PO18" s="74" t="e">
        <f t="shared" ca="1" si="58"/>
        <v>#REF!</v>
      </c>
      <c r="PP18" s="74" t="e">
        <f t="shared" ca="1" si="58"/>
        <v>#REF!</v>
      </c>
      <c r="PQ18" s="74" t="e">
        <f t="shared" ca="1" si="58"/>
        <v>#REF!</v>
      </c>
      <c r="PR18" s="74" t="e">
        <f t="shared" ca="1" si="58"/>
        <v>#REF!</v>
      </c>
      <c r="PS18" s="74" t="e">
        <f t="shared" ca="1" si="58"/>
        <v>#REF!</v>
      </c>
      <c r="PT18" s="74" t="e">
        <f t="shared" ca="1" si="58"/>
        <v>#REF!</v>
      </c>
      <c r="PU18" s="74" t="e">
        <f t="shared" ca="1" si="58"/>
        <v>#REF!</v>
      </c>
      <c r="PV18" s="74" t="e">
        <f t="shared" ca="1" si="58"/>
        <v>#REF!</v>
      </c>
      <c r="PW18" s="74" t="e">
        <f t="shared" ca="1" si="58"/>
        <v>#REF!</v>
      </c>
      <c r="PX18" s="74" t="e">
        <f t="shared" ca="1" si="58"/>
        <v>#REF!</v>
      </c>
      <c r="PY18" s="74" t="e">
        <f t="shared" ca="1" si="58"/>
        <v>#REF!</v>
      </c>
      <c r="PZ18" s="74" t="e">
        <f t="shared" ca="1" si="59"/>
        <v>#REF!</v>
      </c>
      <c r="QA18" s="74" t="e">
        <f t="shared" ca="1" si="59"/>
        <v>#REF!</v>
      </c>
      <c r="QB18" s="74" t="e">
        <f t="shared" ca="1" si="59"/>
        <v>#REF!</v>
      </c>
      <c r="QC18" s="74" t="e">
        <f t="shared" ca="1" si="59"/>
        <v>#REF!</v>
      </c>
      <c r="QD18" s="74" t="e">
        <f t="shared" ca="1" si="59"/>
        <v>#REF!</v>
      </c>
      <c r="QE18" s="74" t="e">
        <f t="shared" ca="1" si="59"/>
        <v>#REF!</v>
      </c>
      <c r="QF18" s="74" t="e">
        <f t="shared" ca="1" si="59"/>
        <v>#REF!</v>
      </c>
      <c r="QG18" s="74" t="e">
        <f t="shared" ca="1" si="59"/>
        <v>#REF!</v>
      </c>
      <c r="QH18" s="74" t="e">
        <f t="shared" ca="1" si="59"/>
        <v>#REF!</v>
      </c>
      <c r="QI18" s="74" t="e">
        <f t="shared" ca="1" si="59"/>
        <v>#REF!</v>
      </c>
      <c r="QJ18" s="74" t="e">
        <f t="shared" ca="1" si="59"/>
        <v>#REF!</v>
      </c>
      <c r="QK18" s="74" t="e">
        <f t="shared" ca="1" si="59"/>
        <v>#REF!</v>
      </c>
      <c r="QL18" s="74" t="e">
        <f t="shared" ca="1" si="59"/>
        <v>#REF!</v>
      </c>
      <c r="QM18" s="74" t="e">
        <f t="shared" ca="1" si="59"/>
        <v>#REF!</v>
      </c>
      <c r="QN18" s="74" t="e">
        <f t="shared" ca="1" si="59"/>
        <v>#REF!</v>
      </c>
      <c r="QO18" s="74" t="e">
        <f t="shared" ca="1" si="59"/>
        <v>#REF!</v>
      </c>
      <c r="QP18" s="74" t="e">
        <f t="shared" ca="1" si="60"/>
        <v>#REF!</v>
      </c>
      <c r="QQ18" s="74" t="e">
        <f t="shared" ca="1" si="60"/>
        <v>#REF!</v>
      </c>
      <c r="QR18" s="74" t="e">
        <f t="shared" ca="1" si="60"/>
        <v>#REF!</v>
      </c>
      <c r="QS18" s="74" t="e">
        <f t="shared" ca="1" si="60"/>
        <v>#REF!</v>
      </c>
      <c r="QT18" s="74" t="e">
        <f t="shared" ca="1" si="60"/>
        <v>#REF!</v>
      </c>
      <c r="QU18" s="74" t="e">
        <f t="shared" ca="1" si="60"/>
        <v>#REF!</v>
      </c>
      <c r="QV18" s="74" t="e">
        <f t="shared" ca="1" si="60"/>
        <v>#REF!</v>
      </c>
      <c r="QW18" s="74" t="e">
        <f t="shared" ca="1" si="60"/>
        <v>#REF!</v>
      </c>
      <c r="QX18" s="74" t="e">
        <f t="shared" ca="1" si="60"/>
        <v>#REF!</v>
      </c>
      <c r="QY18" s="74" t="e">
        <f t="shared" ca="1" si="60"/>
        <v>#REF!</v>
      </c>
      <c r="QZ18" s="74" t="e">
        <f t="shared" ca="1" si="60"/>
        <v>#REF!</v>
      </c>
      <c r="RA18" s="74" t="e">
        <f t="shared" ca="1" si="60"/>
        <v>#REF!</v>
      </c>
      <c r="RB18" s="74" t="e">
        <f t="shared" ca="1" si="60"/>
        <v>#REF!</v>
      </c>
      <c r="RC18" s="74" t="e">
        <f t="shared" ca="1" si="60"/>
        <v>#REF!</v>
      </c>
      <c r="RD18" s="74" t="e">
        <f t="shared" ca="1" si="60"/>
        <v>#REF!</v>
      </c>
      <c r="RE18" s="74" t="e">
        <f t="shared" ca="1" si="60"/>
        <v>#REF!</v>
      </c>
      <c r="RF18" s="74" t="e">
        <f t="shared" ca="1" si="61"/>
        <v>#REF!</v>
      </c>
      <c r="RG18" s="74" t="e">
        <f t="shared" ca="1" si="61"/>
        <v>#REF!</v>
      </c>
      <c r="RH18" s="74" t="e">
        <f t="shared" ca="1" si="61"/>
        <v>#REF!</v>
      </c>
      <c r="RI18" s="74" t="e">
        <f t="shared" ca="1" si="61"/>
        <v>#REF!</v>
      </c>
      <c r="RJ18" s="74" t="e">
        <f t="shared" ca="1" si="61"/>
        <v>#REF!</v>
      </c>
      <c r="RK18" s="74" t="e">
        <f t="shared" ca="1" si="61"/>
        <v>#REF!</v>
      </c>
      <c r="RL18" s="74" t="e">
        <f t="shared" ca="1" si="61"/>
        <v>#REF!</v>
      </c>
      <c r="RM18" s="74" t="e">
        <f t="shared" ca="1" si="61"/>
        <v>#REF!</v>
      </c>
      <c r="RN18" s="74" t="e">
        <f t="shared" ca="1" si="61"/>
        <v>#REF!</v>
      </c>
      <c r="RO18" s="74" t="e">
        <f t="shared" ca="1" si="61"/>
        <v>#REF!</v>
      </c>
      <c r="RP18" s="74" t="e">
        <f t="shared" ca="1" si="61"/>
        <v>#REF!</v>
      </c>
      <c r="RQ18" s="74" t="e">
        <f t="shared" ca="1" si="61"/>
        <v>#REF!</v>
      </c>
      <c r="RR18" s="74" t="e">
        <f t="shared" ca="1" si="61"/>
        <v>#REF!</v>
      </c>
      <c r="RS18" s="74" t="e">
        <f t="shared" ca="1" si="61"/>
        <v>#REF!</v>
      </c>
      <c r="RT18" s="74" t="e">
        <f t="shared" ca="1" si="61"/>
        <v>#REF!</v>
      </c>
      <c r="RU18" s="74" t="e">
        <f t="shared" ca="1" si="61"/>
        <v>#REF!</v>
      </c>
      <c r="RV18" s="74" t="e">
        <f t="shared" ca="1" si="62"/>
        <v>#REF!</v>
      </c>
      <c r="RW18" s="74" t="e">
        <f t="shared" ca="1" si="62"/>
        <v>#REF!</v>
      </c>
      <c r="RX18" s="74" t="e">
        <f t="shared" ca="1" si="62"/>
        <v>#REF!</v>
      </c>
      <c r="RY18" s="74" t="e">
        <f t="shared" ca="1" si="62"/>
        <v>#REF!</v>
      </c>
      <c r="RZ18" s="74" t="e">
        <f t="shared" ca="1" si="62"/>
        <v>#REF!</v>
      </c>
      <c r="SA18" s="74" t="e">
        <f t="shared" ca="1" si="62"/>
        <v>#REF!</v>
      </c>
      <c r="SB18" s="74" t="e">
        <f t="shared" ca="1" si="62"/>
        <v>#REF!</v>
      </c>
      <c r="SC18" s="74" t="e">
        <f t="shared" ca="1" si="62"/>
        <v>#REF!</v>
      </c>
      <c r="SD18" s="74" t="e">
        <f t="shared" ca="1" si="62"/>
        <v>#REF!</v>
      </c>
      <c r="SE18" s="74" t="e">
        <f t="shared" ca="1" si="62"/>
        <v>#REF!</v>
      </c>
      <c r="SF18" s="74" t="e">
        <f t="shared" ca="1" si="62"/>
        <v>#REF!</v>
      </c>
      <c r="SG18" s="74" t="e">
        <f t="shared" ca="1" si="62"/>
        <v>#REF!</v>
      </c>
      <c r="SH18" s="74" t="e">
        <f t="shared" ca="1" si="62"/>
        <v>#REF!</v>
      </c>
      <c r="SI18" s="74" t="e">
        <f t="shared" ca="1" si="62"/>
        <v>#REF!</v>
      </c>
      <c r="SJ18" s="74" t="e">
        <f t="shared" ca="1" si="62"/>
        <v>#REF!</v>
      </c>
      <c r="SK18" s="74" t="e">
        <f t="shared" ca="1" si="62"/>
        <v>#REF!</v>
      </c>
      <c r="SL18" s="74" t="e">
        <f t="shared" ca="1" si="63"/>
        <v>#REF!</v>
      </c>
      <c r="SM18" s="74" t="e">
        <f t="shared" ca="1" si="63"/>
        <v>#REF!</v>
      </c>
      <c r="SN18" s="74" t="e">
        <f t="shared" ca="1" si="63"/>
        <v>#REF!</v>
      </c>
      <c r="SO18" s="74" t="e">
        <f t="shared" ca="1" si="63"/>
        <v>#REF!</v>
      </c>
      <c r="SP18" s="74" t="e">
        <f t="shared" ca="1" si="63"/>
        <v>#REF!</v>
      </c>
      <c r="SQ18" s="74" t="e">
        <f t="shared" ca="1" si="63"/>
        <v>#REF!</v>
      </c>
      <c r="SR18" s="74" t="e">
        <f t="shared" ca="1" si="63"/>
        <v>#REF!</v>
      </c>
      <c r="SS18" s="74" t="e">
        <f t="shared" ca="1" si="63"/>
        <v>#REF!</v>
      </c>
      <c r="ST18" s="74" t="e">
        <f t="shared" ca="1" si="63"/>
        <v>#REF!</v>
      </c>
      <c r="SU18" s="74" t="e">
        <f t="shared" ca="1" si="63"/>
        <v>#REF!</v>
      </c>
      <c r="SV18" s="74" t="e">
        <f t="shared" ca="1" si="63"/>
        <v>#REF!</v>
      </c>
      <c r="SW18" s="74" t="e">
        <f t="shared" ca="1" si="63"/>
        <v>#REF!</v>
      </c>
      <c r="SX18" s="74" t="e">
        <f t="shared" ca="1" si="63"/>
        <v>#REF!</v>
      </c>
      <c r="SY18" s="74" t="e">
        <f t="shared" ca="1" si="63"/>
        <v>#REF!</v>
      </c>
      <c r="SZ18" s="74" t="e">
        <f t="shared" ca="1" si="63"/>
        <v>#REF!</v>
      </c>
      <c r="TA18" s="74" t="e">
        <f t="shared" ca="1" si="63"/>
        <v>#REF!</v>
      </c>
      <c r="TB18" s="74" t="e">
        <f t="shared" ca="1" si="64"/>
        <v>#REF!</v>
      </c>
      <c r="TC18" s="74" t="e">
        <f t="shared" ca="1" si="64"/>
        <v>#REF!</v>
      </c>
      <c r="TD18" s="74" t="e">
        <f t="shared" ca="1" si="64"/>
        <v>#REF!</v>
      </c>
      <c r="TE18" s="74" t="e">
        <f t="shared" ca="1" si="64"/>
        <v>#REF!</v>
      </c>
      <c r="TF18" s="74" t="e">
        <f t="shared" ca="1" si="64"/>
        <v>#REF!</v>
      </c>
      <c r="TG18" s="74" t="e">
        <f t="shared" ca="1" si="64"/>
        <v>#REF!</v>
      </c>
      <c r="TH18" s="74" t="e">
        <f t="shared" ca="1" si="64"/>
        <v>#REF!</v>
      </c>
      <c r="TI18" s="74" t="e">
        <f t="shared" ca="1" si="64"/>
        <v>#REF!</v>
      </c>
      <c r="TJ18" s="74" t="e">
        <f t="shared" ca="1" si="64"/>
        <v>#REF!</v>
      </c>
      <c r="TK18" s="74" t="e">
        <f t="shared" ca="1" si="64"/>
        <v>#REF!</v>
      </c>
      <c r="TL18" s="74" t="e">
        <f t="shared" ca="1" si="64"/>
        <v>#REF!</v>
      </c>
      <c r="TM18" s="74" t="e">
        <f t="shared" ca="1" si="64"/>
        <v>#REF!</v>
      </c>
      <c r="TN18" s="74" t="e">
        <f t="shared" ca="1" si="64"/>
        <v>#REF!</v>
      </c>
      <c r="TO18" s="74" t="e">
        <f t="shared" ca="1" si="64"/>
        <v>#REF!</v>
      </c>
      <c r="TP18" s="74" t="e">
        <f t="shared" ca="1" si="64"/>
        <v>#REF!</v>
      </c>
      <c r="TQ18" s="74" t="e">
        <f t="shared" ca="1" si="64"/>
        <v>#REF!</v>
      </c>
      <c r="TR18" s="74" t="e">
        <f t="shared" ca="1" si="65"/>
        <v>#REF!</v>
      </c>
      <c r="TS18" s="74" t="e">
        <f t="shared" ca="1" si="65"/>
        <v>#REF!</v>
      </c>
      <c r="TT18" s="74" t="e">
        <f t="shared" ca="1" si="65"/>
        <v>#REF!</v>
      </c>
      <c r="TU18" s="74" t="e">
        <f t="shared" ca="1" si="65"/>
        <v>#REF!</v>
      </c>
      <c r="TV18" s="74" t="e">
        <f t="shared" ca="1" si="65"/>
        <v>#REF!</v>
      </c>
      <c r="TW18" s="74" t="e">
        <f t="shared" ca="1" si="65"/>
        <v>#REF!</v>
      </c>
      <c r="TX18" s="74" t="e">
        <f t="shared" ca="1" si="65"/>
        <v>#REF!</v>
      </c>
      <c r="TY18" s="74" t="e">
        <f t="shared" ca="1" si="65"/>
        <v>#REF!</v>
      </c>
      <c r="TZ18" s="74" t="e">
        <f t="shared" ca="1" si="65"/>
        <v>#REF!</v>
      </c>
      <c r="UA18" s="74" t="e">
        <f t="shared" ca="1" si="65"/>
        <v>#REF!</v>
      </c>
      <c r="UB18" s="74" t="e">
        <f t="shared" ca="1" si="65"/>
        <v>#REF!</v>
      </c>
      <c r="UC18" s="74" t="e">
        <f t="shared" ca="1" si="65"/>
        <v>#REF!</v>
      </c>
      <c r="UD18" s="74" t="e">
        <f t="shared" ca="1" si="65"/>
        <v>#REF!</v>
      </c>
      <c r="UE18" s="74" t="e">
        <f t="shared" ca="1" si="65"/>
        <v>#REF!</v>
      </c>
      <c r="UF18" s="74" t="e">
        <f t="shared" ca="1" si="65"/>
        <v>#REF!</v>
      </c>
      <c r="UG18" s="74" t="e">
        <f t="shared" ca="1" si="65"/>
        <v>#REF!</v>
      </c>
      <c r="UH18" s="74" t="e">
        <f t="shared" ca="1" si="66"/>
        <v>#REF!</v>
      </c>
      <c r="UI18" s="74" t="e">
        <f t="shared" ca="1" si="66"/>
        <v>#REF!</v>
      </c>
      <c r="UJ18" s="74" t="e">
        <f t="shared" ca="1" si="66"/>
        <v>#REF!</v>
      </c>
      <c r="UK18" s="74" t="e">
        <f t="shared" ca="1" si="66"/>
        <v>#REF!</v>
      </c>
      <c r="UL18" s="74" t="e">
        <f t="shared" ca="1" si="66"/>
        <v>#REF!</v>
      </c>
      <c r="UM18" s="74" t="e">
        <f t="shared" ca="1" si="66"/>
        <v>#REF!</v>
      </c>
      <c r="UN18" s="74" t="e">
        <f t="shared" ca="1" si="66"/>
        <v>#REF!</v>
      </c>
      <c r="UO18" s="74" t="e">
        <f t="shared" ca="1" si="66"/>
        <v>#REF!</v>
      </c>
      <c r="UP18" s="74" t="e">
        <f t="shared" ca="1" si="66"/>
        <v>#REF!</v>
      </c>
      <c r="UQ18" s="74" t="e">
        <f t="shared" ca="1" si="66"/>
        <v>#REF!</v>
      </c>
      <c r="UR18" s="74" t="e">
        <f t="shared" ca="1" si="66"/>
        <v>#REF!</v>
      </c>
      <c r="US18" s="74" t="e">
        <f t="shared" ca="1" si="66"/>
        <v>#REF!</v>
      </c>
      <c r="UT18" s="74" t="e">
        <f t="shared" ca="1" si="66"/>
        <v>#REF!</v>
      </c>
      <c r="UU18" s="74" t="e">
        <f t="shared" ca="1" si="66"/>
        <v>#REF!</v>
      </c>
      <c r="UV18" s="74" t="e">
        <f t="shared" ca="1" si="66"/>
        <v>#REF!</v>
      </c>
      <c r="UW18" s="74" t="e">
        <f t="shared" ca="1" si="66"/>
        <v>#REF!</v>
      </c>
      <c r="UX18" s="74" t="e">
        <f t="shared" ca="1" si="67"/>
        <v>#REF!</v>
      </c>
      <c r="UY18" s="74" t="e">
        <f t="shared" ca="1" si="67"/>
        <v>#REF!</v>
      </c>
      <c r="UZ18" s="74" t="e">
        <f t="shared" ca="1" si="67"/>
        <v>#REF!</v>
      </c>
      <c r="VA18" s="74" t="e">
        <f t="shared" ca="1" si="67"/>
        <v>#REF!</v>
      </c>
      <c r="VB18" s="74" t="e">
        <f t="shared" ca="1" si="67"/>
        <v>#REF!</v>
      </c>
      <c r="VC18" s="74" t="e">
        <f t="shared" ca="1" si="67"/>
        <v>#REF!</v>
      </c>
      <c r="VD18" s="74" t="e">
        <f t="shared" ca="1" si="67"/>
        <v>#REF!</v>
      </c>
      <c r="VE18" s="74" t="e">
        <f t="shared" ca="1" si="67"/>
        <v>#REF!</v>
      </c>
      <c r="VF18" s="74" t="e">
        <f t="shared" ca="1" si="67"/>
        <v>#REF!</v>
      </c>
      <c r="VG18" s="74" t="e">
        <f t="shared" ca="1" si="67"/>
        <v>#REF!</v>
      </c>
      <c r="VH18" s="74" t="e">
        <f t="shared" ca="1" si="67"/>
        <v>#REF!</v>
      </c>
      <c r="VI18" s="74" t="e">
        <f t="shared" ca="1" si="67"/>
        <v>#REF!</v>
      </c>
      <c r="VJ18" s="74" t="e">
        <f t="shared" ca="1" si="67"/>
        <v>#REF!</v>
      </c>
      <c r="VK18" s="74" t="e">
        <f t="shared" ca="1" si="67"/>
        <v>#REF!</v>
      </c>
      <c r="VL18" s="74" t="e">
        <f t="shared" ca="1" si="67"/>
        <v>#REF!</v>
      </c>
      <c r="VM18" s="74" t="e">
        <f t="shared" ca="1" si="67"/>
        <v>#REF!</v>
      </c>
      <c r="VN18" s="74" t="e">
        <f t="shared" ca="1" si="68"/>
        <v>#REF!</v>
      </c>
      <c r="VO18" s="74" t="e">
        <f t="shared" ca="1" si="68"/>
        <v>#REF!</v>
      </c>
      <c r="VP18" s="74" t="e">
        <f t="shared" ca="1" si="68"/>
        <v>#REF!</v>
      </c>
      <c r="VQ18" s="74" t="e">
        <f t="shared" ca="1" si="68"/>
        <v>#REF!</v>
      </c>
      <c r="VR18" s="74" t="e">
        <f t="shared" ca="1" si="68"/>
        <v>#REF!</v>
      </c>
      <c r="VS18" s="74" t="e">
        <f t="shared" ca="1" si="68"/>
        <v>#REF!</v>
      </c>
    </row>
    <row r="19" spans="1:591" s="17" customFormat="1" ht="16.2" customHeight="1" x14ac:dyDescent="0.3">
      <c r="A19" s="81"/>
      <c r="B19" s="56" t="str">
        <f>'CoS Tracker'!$AN$7</f>
        <v>7. Recommended Planning Submission Date</v>
      </c>
      <c r="C19" s="19" t="s">
        <v>75</v>
      </c>
      <c r="D19" s="19"/>
      <c r="E19" s="27">
        <v>0.1</v>
      </c>
      <c r="F19" s="26" t="e">
        <f>'CoS Tracker'!#REF!</f>
        <v>#REF!</v>
      </c>
      <c r="G19" s="26" t="e">
        <f>'CoS Tracker'!#REF!</f>
        <v>#REF!</v>
      </c>
      <c r="H19" s="25" t="e">
        <f>Milestones43524[[#This Row],[End]]-Milestones43524[[#This Row],[Start]]</f>
        <v>#REF!</v>
      </c>
      <c r="I19" s="19"/>
      <c r="J19" s="74" t="e">
        <f t="shared" ca="1" si="32"/>
        <v>#REF!</v>
      </c>
      <c r="K19" s="74" t="e">
        <f t="shared" ca="1" si="32"/>
        <v>#REF!</v>
      </c>
      <c r="L19" s="74" t="e">
        <f t="shared" ca="1" si="32"/>
        <v>#REF!</v>
      </c>
      <c r="M19" s="74" t="e">
        <f t="shared" ca="1" si="32"/>
        <v>#REF!</v>
      </c>
      <c r="N19" s="74" t="e">
        <f t="shared" ca="1" si="32"/>
        <v>#REF!</v>
      </c>
      <c r="O19" s="74" t="e">
        <f t="shared" ca="1" si="32"/>
        <v>#REF!</v>
      </c>
      <c r="P19" s="74" t="e">
        <f t="shared" ca="1" si="32"/>
        <v>#REF!</v>
      </c>
      <c r="Q19" s="74" t="e">
        <f t="shared" ca="1" si="32"/>
        <v>#REF!</v>
      </c>
      <c r="R19" s="74" t="e">
        <f t="shared" ca="1" si="32"/>
        <v>#REF!</v>
      </c>
      <c r="S19" s="74" t="e">
        <f t="shared" ca="1" si="32"/>
        <v>#REF!</v>
      </c>
      <c r="T19" s="74" t="e">
        <f t="shared" ca="1" si="32"/>
        <v>#REF!</v>
      </c>
      <c r="U19" s="74" t="e">
        <f t="shared" ca="1" si="32"/>
        <v>#REF!</v>
      </c>
      <c r="V19" s="74" t="e">
        <f t="shared" ca="1" si="32"/>
        <v>#REF!</v>
      </c>
      <c r="W19" s="74" t="e">
        <f t="shared" ca="1" si="32"/>
        <v>#REF!</v>
      </c>
      <c r="X19" s="74" t="e">
        <f t="shared" ca="1" si="32"/>
        <v>#REF!</v>
      </c>
      <c r="Y19" s="74" t="e">
        <f t="shared" ca="1" si="32"/>
        <v>#REF!</v>
      </c>
      <c r="Z19" s="74" t="e">
        <f t="shared" ca="1" si="33"/>
        <v>#REF!</v>
      </c>
      <c r="AA19" s="74" t="e">
        <f t="shared" ca="1" si="33"/>
        <v>#REF!</v>
      </c>
      <c r="AB19" s="74" t="e">
        <f t="shared" ca="1" si="33"/>
        <v>#REF!</v>
      </c>
      <c r="AC19" s="74" t="e">
        <f t="shared" ca="1" si="33"/>
        <v>#REF!</v>
      </c>
      <c r="AD19" s="74" t="e">
        <f t="shared" ca="1" si="33"/>
        <v>#REF!</v>
      </c>
      <c r="AE19" s="74" t="e">
        <f t="shared" ca="1" si="33"/>
        <v>#REF!</v>
      </c>
      <c r="AF19" s="74" t="e">
        <f t="shared" ca="1" si="33"/>
        <v>#REF!</v>
      </c>
      <c r="AG19" s="74" t="e">
        <f t="shared" ca="1" si="33"/>
        <v>#REF!</v>
      </c>
      <c r="AH19" s="74" t="e">
        <f t="shared" ca="1" si="33"/>
        <v>#REF!</v>
      </c>
      <c r="AI19" s="74" t="e">
        <f t="shared" ca="1" si="33"/>
        <v>#REF!</v>
      </c>
      <c r="AJ19" s="74" t="e">
        <f t="shared" ca="1" si="33"/>
        <v>#REF!</v>
      </c>
      <c r="AK19" s="74" t="e">
        <f t="shared" ca="1" si="33"/>
        <v>#REF!</v>
      </c>
      <c r="AL19" s="74" t="e">
        <f t="shared" ca="1" si="33"/>
        <v>#REF!</v>
      </c>
      <c r="AM19" s="74" t="e">
        <f t="shared" ca="1" si="33"/>
        <v>#REF!</v>
      </c>
      <c r="AN19" s="74" t="e">
        <f t="shared" ca="1" si="33"/>
        <v>#REF!</v>
      </c>
      <c r="AO19" s="74" t="e">
        <f t="shared" ca="1" si="33"/>
        <v>#REF!</v>
      </c>
      <c r="AP19" s="74" t="e">
        <f t="shared" ca="1" si="34"/>
        <v>#REF!</v>
      </c>
      <c r="AQ19" s="74" t="e">
        <f t="shared" ca="1" si="34"/>
        <v>#REF!</v>
      </c>
      <c r="AR19" s="74" t="e">
        <f t="shared" ca="1" si="34"/>
        <v>#REF!</v>
      </c>
      <c r="AS19" s="74" t="e">
        <f t="shared" ca="1" si="34"/>
        <v>#REF!</v>
      </c>
      <c r="AT19" s="74" t="e">
        <f t="shared" ca="1" si="34"/>
        <v>#REF!</v>
      </c>
      <c r="AU19" s="74" t="e">
        <f t="shared" ca="1" si="34"/>
        <v>#REF!</v>
      </c>
      <c r="AV19" s="74" t="e">
        <f t="shared" ca="1" si="34"/>
        <v>#REF!</v>
      </c>
      <c r="AW19" s="74" t="e">
        <f t="shared" ca="1" si="34"/>
        <v>#REF!</v>
      </c>
      <c r="AX19" s="74" t="e">
        <f t="shared" ca="1" si="34"/>
        <v>#REF!</v>
      </c>
      <c r="AY19" s="74" t="e">
        <f t="shared" ca="1" si="34"/>
        <v>#REF!</v>
      </c>
      <c r="AZ19" s="74" t="e">
        <f t="shared" ca="1" si="34"/>
        <v>#REF!</v>
      </c>
      <c r="BA19" s="74" t="e">
        <f t="shared" ca="1" si="34"/>
        <v>#REF!</v>
      </c>
      <c r="BB19" s="74" t="e">
        <f t="shared" ca="1" si="34"/>
        <v>#REF!</v>
      </c>
      <c r="BC19" s="74" t="e">
        <f t="shared" ca="1" si="34"/>
        <v>#REF!</v>
      </c>
      <c r="BD19" s="74" t="e">
        <f t="shared" ca="1" si="34"/>
        <v>#REF!</v>
      </c>
      <c r="BE19" s="74" t="e">
        <f t="shared" ca="1" si="34"/>
        <v>#REF!</v>
      </c>
      <c r="BF19" s="74" t="e">
        <f t="shared" ca="1" si="35"/>
        <v>#REF!</v>
      </c>
      <c r="BG19" s="74" t="e">
        <f t="shared" ca="1" si="35"/>
        <v>#REF!</v>
      </c>
      <c r="BH19" s="74" t="e">
        <f t="shared" ca="1" si="35"/>
        <v>#REF!</v>
      </c>
      <c r="BI19" s="74" t="e">
        <f t="shared" ca="1" si="35"/>
        <v>#REF!</v>
      </c>
      <c r="BJ19" s="74" t="e">
        <f t="shared" ca="1" si="35"/>
        <v>#REF!</v>
      </c>
      <c r="BK19" s="74" t="e">
        <f t="shared" ca="1" si="35"/>
        <v>#REF!</v>
      </c>
      <c r="BL19" s="74" t="e">
        <f t="shared" ca="1" si="35"/>
        <v>#REF!</v>
      </c>
      <c r="BM19" s="74" t="e">
        <f t="shared" ca="1" si="35"/>
        <v>#REF!</v>
      </c>
      <c r="BN19" s="74" t="e">
        <f t="shared" ca="1" si="35"/>
        <v>#REF!</v>
      </c>
      <c r="BO19" s="74" t="e">
        <f t="shared" ca="1" si="35"/>
        <v>#REF!</v>
      </c>
      <c r="BP19" s="74" t="e">
        <f t="shared" ca="1" si="35"/>
        <v>#REF!</v>
      </c>
      <c r="BQ19" s="74" t="e">
        <f t="shared" ca="1" si="35"/>
        <v>#REF!</v>
      </c>
      <c r="BR19" s="74" t="e">
        <f t="shared" ca="1" si="35"/>
        <v>#REF!</v>
      </c>
      <c r="BS19" s="74" t="e">
        <f t="shared" ca="1" si="35"/>
        <v>#REF!</v>
      </c>
      <c r="BT19" s="74" t="e">
        <f t="shared" ca="1" si="35"/>
        <v>#REF!</v>
      </c>
      <c r="BU19" s="74" t="e">
        <f t="shared" ca="1" si="35"/>
        <v>#REF!</v>
      </c>
      <c r="BV19" s="74" t="e">
        <f t="shared" ca="1" si="36"/>
        <v>#REF!</v>
      </c>
      <c r="BW19" s="74" t="e">
        <f t="shared" ca="1" si="36"/>
        <v>#REF!</v>
      </c>
      <c r="BX19" s="74" t="e">
        <f t="shared" ca="1" si="36"/>
        <v>#REF!</v>
      </c>
      <c r="BY19" s="74" t="e">
        <f t="shared" ca="1" si="36"/>
        <v>#REF!</v>
      </c>
      <c r="BZ19" s="74" t="e">
        <f t="shared" ca="1" si="36"/>
        <v>#REF!</v>
      </c>
      <c r="CA19" s="74" t="e">
        <f t="shared" ca="1" si="36"/>
        <v>#REF!</v>
      </c>
      <c r="CB19" s="74" t="e">
        <f t="shared" ca="1" si="36"/>
        <v>#REF!</v>
      </c>
      <c r="CC19" s="74" t="e">
        <f t="shared" ca="1" si="36"/>
        <v>#REF!</v>
      </c>
      <c r="CD19" s="74" t="e">
        <f t="shared" ca="1" si="36"/>
        <v>#REF!</v>
      </c>
      <c r="CE19" s="74" t="e">
        <f t="shared" ca="1" si="36"/>
        <v>#REF!</v>
      </c>
      <c r="CF19" s="74" t="e">
        <f t="shared" ca="1" si="36"/>
        <v>#REF!</v>
      </c>
      <c r="CG19" s="74" t="e">
        <f t="shared" ca="1" si="36"/>
        <v>#REF!</v>
      </c>
      <c r="CH19" s="74" t="e">
        <f t="shared" ca="1" si="36"/>
        <v>#REF!</v>
      </c>
      <c r="CI19" s="74" t="e">
        <f t="shared" ca="1" si="36"/>
        <v>#REF!</v>
      </c>
      <c r="CJ19" s="74" t="e">
        <f t="shared" ca="1" si="36"/>
        <v>#REF!</v>
      </c>
      <c r="CK19" s="74" t="e">
        <f t="shared" ca="1" si="36"/>
        <v>#REF!</v>
      </c>
      <c r="CL19" s="74" t="e">
        <f t="shared" ca="1" si="37"/>
        <v>#REF!</v>
      </c>
      <c r="CM19" s="74" t="e">
        <f t="shared" ca="1" si="37"/>
        <v>#REF!</v>
      </c>
      <c r="CN19" s="74" t="e">
        <f t="shared" ca="1" si="37"/>
        <v>#REF!</v>
      </c>
      <c r="CO19" s="74" t="e">
        <f t="shared" ca="1" si="37"/>
        <v>#REF!</v>
      </c>
      <c r="CP19" s="74" t="e">
        <f t="shared" ca="1" si="37"/>
        <v>#REF!</v>
      </c>
      <c r="CQ19" s="74" t="e">
        <f t="shared" ca="1" si="37"/>
        <v>#REF!</v>
      </c>
      <c r="CR19" s="74" t="e">
        <f t="shared" ca="1" si="37"/>
        <v>#REF!</v>
      </c>
      <c r="CS19" s="74" t="e">
        <f t="shared" ca="1" si="37"/>
        <v>#REF!</v>
      </c>
      <c r="CT19" s="74" t="e">
        <f t="shared" ca="1" si="37"/>
        <v>#REF!</v>
      </c>
      <c r="CU19" s="74" t="e">
        <f t="shared" ca="1" si="37"/>
        <v>#REF!</v>
      </c>
      <c r="CV19" s="74" t="e">
        <f t="shared" ca="1" si="37"/>
        <v>#REF!</v>
      </c>
      <c r="CW19" s="74" t="e">
        <f t="shared" ca="1" si="37"/>
        <v>#REF!</v>
      </c>
      <c r="CX19" s="74" t="e">
        <f t="shared" ca="1" si="37"/>
        <v>#REF!</v>
      </c>
      <c r="CY19" s="74" t="e">
        <f t="shared" ca="1" si="37"/>
        <v>#REF!</v>
      </c>
      <c r="CZ19" s="74" t="e">
        <f t="shared" ca="1" si="37"/>
        <v>#REF!</v>
      </c>
      <c r="DA19" s="74" t="e">
        <f t="shared" ca="1" si="37"/>
        <v>#REF!</v>
      </c>
      <c r="DB19" s="74" t="e">
        <f t="shared" ca="1" si="38"/>
        <v>#REF!</v>
      </c>
      <c r="DC19" s="74" t="e">
        <f t="shared" ca="1" si="38"/>
        <v>#REF!</v>
      </c>
      <c r="DD19" s="74" t="e">
        <f t="shared" ca="1" si="38"/>
        <v>#REF!</v>
      </c>
      <c r="DE19" s="74" t="e">
        <f t="shared" ca="1" si="38"/>
        <v>#REF!</v>
      </c>
      <c r="DF19" s="74" t="e">
        <f t="shared" ca="1" si="38"/>
        <v>#REF!</v>
      </c>
      <c r="DG19" s="74" t="e">
        <f t="shared" ca="1" si="38"/>
        <v>#REF!</v>
      </c>
      <c r="DH19" s="74" t="e">
        <f t="shared" ca="1" si="38"/>
        <v>#REF!</v>
      </c>
      <c r="DI19" s="74" t="e">
        <f t="shared" ca="1" si="38"/>
        <v>#REF!</v>
      </c>
      <c r="DJ19" s="74" t="e">
        <f t="shared" ca="1" si="38"/>
        <v>#REF!</v>
      </c>
      <c r="DK19" s="74" t="e">
        <f t="shared" ca="1" si="38"/>
        <v>#REF!</v>
      </c>
      <c r="DL19" s="74" t="e">
        <f t="shared" ca="1" si="38"/>
        <v>#REF!</v>
      </c>
      <c r="DM19" s="74" t="e">
        <f t="shared" ca="1" si="38"/>
        <v>#REF!</v>
      </c>
      <c r="DN19" s="74" t="e">
        <f t="shared" ca="1" si="38"/>
        <v>#REF!</v>
      </c>
      <c r="DO19" s="74" t="e">
        <f t="shared" ca="1" si="38"/>
        <v>#REF!</v>
      </c>
      <c r="DP19" s="74" t="e">
        <f t="shared" ca="1" si="38"/>
        <v>#REF!</v>
      </c>
      <c r="DQ19" s="74" t="e">
        <f t="shared" ca="1" si="38"/>
        <v>#REF!</v>
      </c>
      <c r="DR19" s="74" t="e">
        <f t="shared" ca="1" si="39"/>
        <v>#REF!</v>
      </c>
      <c r="DS19" s="74" t="e">
        <f t="shared" ca="1" si="39"/>
        <v>#REF!</v>
      </c>
      <c r="DT19" s="74" t="e">
        <f t="shared" ca="1" si="39"/>
        <v>#REF!</v>
      </c>
      <c r="DU19" s="74" t="e">
        <f t="shared" ca="1" si="39"/>
        <v>#REF!</v>
      </c>
      <c r="DV19" s="74" t="e">
        <f t="shared" ca="1" si="39"/>
        <v>#REF!</v>
      </c>
      <c r="DW19" s="74" t="e">
        <f t="shared" ca="1" si="39"/>
        <v>#REF!</v>
      </c>
      <c r="DX19" s="74" t="e">
        <f t="shared" ca="1" si="39"/>
        <v>#REF!</v>
      </c>
      <c r="DY19" s="74" t="e">
        <f t="shared" ca="1" si="39"/>
        <v>#REF!</v>
      </c>
      <c r="DZ19" s="74" t="e">
        <f t="shared" ca="1" si="39"/>
        <v>#REF!</v>
      </c>
      <c r="EA19" s="74" t="e">
        <f t="shared" ca="1" si="39"/>
        <v>#REF!</v>
      </c>
      <c r="EB19" s="74" t="e">
        <f t="shared" ca="1" si="39"/>
        <v>#REF!</v>
      </c>
      <c r="EC19" s="74" t="e">
        <f t="shared" ca="1" si="39"/>
        <v>#REF!</v>
      </c>
      <c r="ED19" s="74" t="e">
        <f t="shared" ca="1" si="39"/>
        <v>#REF!</v>
      </c>
      <c r="EE19" s="74" t="e">
        <f t="shared" ca="1" si="39"/>
        <v>#REF!</v>
      </c>
      <c r="EF19" s="74" t="e">
        <f t="shared" ca="1" si="39"/>
        <v>#REF!</v>
      </c>
      <c r="EG19" s="74" t="e">
        <f t="shared" ca="1" si="39"/>
        <v>#REF!</v>
      </c>
      <c r="EH19" s="74" t="e">
        <f t="shared" ca="1" si="40"/>
        <v>#REF!</v>
      </c>
      <c r="EI19" s="74" t="e">
        <f t="shared" ca="1" si="40"/>
        <v>#REF!</v>
      </c>
      <c r="EJ19" s="74" t="e">
        <f t="shared" ca="1" si="40"/>
        <v>#REF!</v>
      </c>
      <c r="EK19" s="74" t="e">
        <f t="shared" ca="1" si="40"/>
        <v>#REF!</v>
      </c>
      <c r="EL19" s="74" t="e">
        <f t="shared" ca="1" si="40"/>
        <v>#REF!</v>
      </c>
      <c r="EM19" s="74" t="e">
        <f t="shared" ca="1" si="40"/>
        <v>#REF!</v>
      </c>
      <c r="EN19" s="74" t="e">
        <f t="shared" ca="1" si="40"/>
        <v>#REF!</v>
      </c>
      <c r="EO19" s="74" t="e">
        <f t="shared" ca="1" si="40"/>
        <v>#REF!</v>
      </c>
      <c r="EP19" s="74" t="e">
        <f t="shared" ca="1" si="40"/>
        <v>#REF!</v>
      </c>
      <c r="EQ19" s="74" t="e">
        <f t="shared" ca="1" si="40"/>
        <v>#REF!</v>
      </c>
      <c r="ER19" s="74" t="e">
        <f t="shared" ca="1" si="40"/>
        <v>#REF!</v>
      </c>
      <c r="ES19" s="74" t="e">
        <f t="shared" ca="1" si="40"/>
        <v>#REF!</v>
      </c>
      <c r="ET19" s="74" t="e">
        <f t="shared" ca="1" si="40"/>
        <v>#REF!</v>
      </c>
      <c r="EU19" s="74" t="e">
        <f t="shared" ca="1" si="40"/>
        <v>#REF!</v>
      </c>
      <c r="EV19" s="74" t="e">
        <f t="shared" ca="1" si="40"/>
        <v>#REF!</v>
      </c>
      <c r="EW19" s="74" t="e">
        <f t="shared" ca="1" si="40"/>
        <v>#REF!</v>
      </c>
      <c r="EX19" s="74" t="e">
        <f t="shared" ca="1" si="41"/>
        <v>#REF!</v>
      </c>
      <c r="EY19" s="74" t="e">
        <f t="shared" ca="1" si="41"/>
        <v>#REF!</v>
      </c>
      <c r="EZ19" s="74" t="e">
        <f t="shared" ca="1" si="41"/>
        <v>#REF!</v>
      </c>
      <c r="FA19" s="74" t="e">
        <f t="shared" ca="1" si="41"/>
        <v>#REF!</v>
      </c>
      <c r="FB19" s="74" t="e">
        <f t="shared" ca="1" si="41"/>
        <v>#REF!</v>
      </c>
      <c r="FC19" s="74" t="e">
        <f t="shared" ca="1" si="41"/>
        <v>#REF!</v>
      </c>
      <c r="FD19" s="74" t="e">
        <f t="shared" ca="1" si="41"/>
        <v>#REF!</v>
      </c>
      <c r="FE19" s="74" t="e">
        <f t="shared" ca="1" si="41"/>
        <v>#REF!</v>
      </c>
      <c r="FF19" s="74" t="e">
        <f t="shared" ca="1" si="41"/>
        <v>#REF!</v>
      </c>
      <c r="FG19" s="74" t="e">
        <f t="shared" ca="1" si="41"/>
        <v>#REF!</v>
      </c>
      <c r="FH19" s="74" t="e">
        <f t="shared" ca="1" si="41"/>
        <v>#REF!</v>
      </c>
      <c r="FI19" s="74" t="e">
        <f t="shared" ca="1" si="41"/>
        <v>#REF!</v>
      </c>
      <c r="FJ19" s="74" t="e">
        <f t="shared" ca="1" si="41"/>
        <v>#REF!</v>
      </c>
      <c r="FK19" s="74" t="e">
        <f t="shared" ca="1" si="41"/>
        <v>#REF!</v>
      </c>
      <c r="FL19" s="74" t="e">
        <f t="shared" ca="1" si="41"/>
        <v>#REF!</v>
      </c>
      <c r="FM19" s="74" t="e">
        <f t="shared" ca="1" si="41"/>
        <v>#REF!</v>
      </c>
      <c r="FN19" s="74" t="e">
        <f t="shared" ca="1" si="42"/>
        <v>#REF!</v>
      </c>
      <c r="FO19" s="74" t="e">
        <f t="shared" ca="1" si="42"/>
        <v>#REF!</v>
      </c>
      <c r="FP19" s="74" t="e">
        <f t="shared" ca="1" si="42"/>
        <v>#REF!</v>
      </c>
      <c r="FQ19" s="74" t="e">
        <f t="shared" ca="1" si="42"/>
        <v>#REF!</v>
      </c>
      <c r="FR19" s="74" t="e">
        <f t="shared" ca="1" si="42"/>
        <v>#REF!</v>
      </c>
      <c r="FS19" s="74" t="e">
        <f t="shared" ca="1" si="42"/>
        <v>#REF!</v>
      </c>
      <c r="FT19" s="74" t="e">
        <f t="shared" ca="1" si="42"/>
        <v>#REF!</v>
      </c>
      <c r="FU19" s="74" t="e">
        <f t="shared" ca="1" si="42"/>
        <v>#REF!</v>
      </c>
      <c r="FV19" s="74" t="e">
        <f t="shared" ca="1" si="42"/>
        <v>#REF!</v>
      </c>
      <c r="FW19" s="74" t="e">
        <f t="shared" ca="1" si="42"/>
        <v>#REF!</v>
      </c>
      <c r="FX19" s="74" t="e">
        <f t="shared" ca="1" si="42"/>
        <v>#REF!</v>
      </c>
      <c r="FY19" s="74" t="e">
        <f t="shared" ca="1" si="42"/>
        <v>#REF!</v>
      </c>
      <c r="FZ19" s="74" t="e">
        <f t="shared" ca="1" si="42"/>
        <v>#REF!</v>
      </c>
      <c r="GA19" s="74" t="e">
        <f t="shared" ca="1" si="42"/>
        <v>#REF!</v>
      </c>
      <c r="GB19" s="74" t="e">
        <f t="shared" ca="1" si="42"/>
        <v>#REF!</v>
      </c>
      <c r="GC19" s="74" t="e">
        <f t="shared" ca="1" si="42"/>
        <v>#REF!</v>
      </c>
      <c r="GD19" s="74" t="e">
        <f t="shared" ca="1" si="43"/>
        <v>#REF!</v>
      </c>
      <c r="GE19" s="74" t="e">
        <f t="shared" ca="1" si="43"/>
        <v>#REF!</v>
      </c>
      <c r="GF19" s="74" t="e">
        <f t="shared" ca="1" si="43"/>
        <v>#REF!</v>
      </c>
      <c r="GG19" s="74" t="e">
        <f t="shared" ca="1" si="43"/>
        <v>#REF!</v>
      </c>
      <c r="GH19" s="74" t="e">
        <f t="shared" ca="1" si="43"/>
        <v>#REF!</v>
      </c>
      <c r="GI19" s="74" t="e">
        <f t="shared" ca="1" si="43"/>
        <v>#REF!</v>
      </c>
      <c r="GJ19" s="74" t="e">
        <f t="shared" ca="1" si="43"/>
        <v>#REF!</v>
      </c>
      <c r="GK19" s="74" t="e">
        <f t="shared" ca="1" si="43"/>
        <v>#REF!</v>
      </c>
      <c r="GL19" s="74" t="e">
        <f t="shared" ca="1" si="43"/>
        <v>#REF!</v>
      </c>
      <c r="GM19" s="74" t="e">
        <f t="shared" ca="1" si="43"/>
        <v>#REF!</v>
      </c>
      <c r="GN19" s="74" t="e">
        <f t="shared" ca="1" si="43"/>
        <v>#REF!</v>
      </c>
      <c r="GO19" s="74" t="e">
        <f t="shared" ca="1" si="43"/>
        <v>#REF!</v>
      </c>
      <c r="GP19" s="74" t="e">
        <f t="shared" ca="1" si="43"/>
        <v>#REF!</v>
      </c>
      <c r="GQ19" s="74" t="e">
        <f t="shared" ca="1" si="43"/>
        <v>#REF!</v>
      </c>
      <c r="GR19" s="74" t="e">
        <f t="shared" ca="1" si="43"/>
        <v>#REF!</v>
      </c>
      <c r="GS19" s="74" t="e">
        <f t="shared" ca="1" si="43"/>
        <v>#REF!</v>
      </c>
      <c r="GT19" s="74" t="e">
        <f t="shared" ca="1" si="44"/>
        <v>#REF!</v>
      </c>
      <c r="GU19" s="74" t="e">
        <f t="shared" ca="1" si="44"/>
        <v>#REF!</v>
      </c>
      <c r="GV19" s="74" t="e">
        <f t="shared" ca="1" si="44"/>
        <v>#REF!</v>
      </c>
      <c r="GW19" s="74" t="e">
        <f t="shared" ca="1" si="44"/>
        <v>#REF!</v>
      </c>
      <c r="GX19" s="74" t="e">
        <f t="shared" ca="1" si="44"/>
        <v>#REF!</v>
      </c>
      <c r="GY19" s="74" t="e">
        <f t="shared" ca="1" si="44"/>
        <v>#REF!</v>
      </c>
      <c r="GZ19" s="74" t="e">
        <f t="shared" ca="1" si="44"/>
        <v>#REF!</v>
      </c>
      <c r="HA19" s="74" t="e">
        <f t="shared" ca="1" si="44"/>
        <v>#REF!</v>
      </c>
      <c r="HB19" s="74" t="e">
        <f t="shared" ca="1" si="44"/>
        <v>#REF!</v>
      </c>
      <c r="HC19" s="74" t="e">
        <f t="shared" ca="1" si="44"/>
        <v>#REF!</v>
      </c>
      <c r="HD19" s="74" t="e">
        <f t="shared" ca="1" si="44"/>
        <v>#REF!</v>
      </c>
      <c r="HE19" s="74" t="e">
        <f t="shared" ca="1" si="44"/>
        <v>#REF!</v>
      </c>
      <c r="HF19" s="74" t="e">
        <f t="shared" ca="1" si="44"/>
        <v>#REF!</v>
      </c>
      <c r="HG19" s="74" t="e">
        <f t="shared" ca="1" si="44"/>
        <v>#REF!</v>
      </c>
      <c r="HH19" s="74" t="e">
        <f t="shared" ca="1" si="44"/>
        <v>#REF!</v>
      </c>
      <c r="HI19" s="74" t="e">
        <f t="shared" ca="1" si="44"/>
        <v>#REF!</v>
      </c>
      <c r="HJ19" s="74" t="e">
        <f t="shared" ca="1" si="45"/>
        <v>#REF!</v>
      </c>
      <c r="HK19" s="74" t="e">
        <f t="shared" ca="1" si="45"/>
        <v>#REF!</v>
      </c>
      <c r="HL19" s="74" t="e">
        <f t="shared" ca="1" si="45"/>
        <v>#REF!</v>
      </c>
      <c r="HM19" s="74" t="e">
        <f t="shared" ca="1" si="45"/>
        <v>#REF!</v>
      </c>
      <c r="HN19" s="74" t="e">
        <f t="shared" ca="1" si="45"/>
        <v>#REF!</v>
      </c>
      <c r="HO19" s="74" t="e">
        <f t="shared" ca="1" si="45"/>
        <v>#REF!</v>
      </c>
      <c r="HP19" s="74" t="e">
        <f t="shared" ca="1" si="45"/>
        <v>#REF!</v>
      </c>
      <c r="HQ19" s="74" t="e">
        <f t="shared" ca="1" si="45"/>
        <v>#REF!</v>
      </c>
      <c r="HR19" s="74" t="e">
        <f t="shared" ca="1" si="45"/>
        <v>#REF!</v>
      </c>
      <c r="HS19" s="74" t="e">
        <f t="shared" ca="1" si="45"/>
        <v>#REF!</v>
      </c>
      <c r="HT19" s="74" t="e">
        <f t="shared" ca="1" si="45"/>
        <v>#REF!</v>
      </c>
      <c r="HU19" s="74" t="e">
        <f t="shared" ca="1" si="45"/>
        <v>#REF!</v>
      </c>
      <c r="HV19" s="74" t="e">
        <f t="shared" ca="1" si="45"/>
        <v>#REF!</v>
      </c>
      <c r="HW19" s="74" t="e">
        <f t="shared" ca="1" si="45"/>
        <v>#REF!</v>
      </c>
      <c r="HX19" s="74" t="e">
        <f t="shared" ca="1" si="45"/>
        <v>#REF!</v>
      </c>
      <c r="HY19" s="74" t="e">
        <f t="shared" ca="1" si="45"/>
        <v>#REF!</v>
      </c>
      <c r="HZ19" s="74" t="e">
        <f t="shared" ca="1" si="46"/>
        <v>#REF!</v>
      </c>
      <c r="IA19" s="74" t="e">
        <f t="shared" ca="1" si="46"/>
        <v>#REF!</v>
      </c>
      <c r="IB19" s="74" t="e">
        <f t="shared" ca="1" si="46"/>
        <v>#REF!</v>
      </c>
      <c r="IC19" s="74" t="e">
        <f t="shared" ca="1" si="46"/>
        <v>#REF!</v>
      </c>
      <c r="ID19" s="74" t="e">
        <f t="shared" ca="1" si="46"/>
        <v>#REF!</v>
      </c>
      <c r="IE19" s="74" t="e">
        <f t="shared" ca="1" si="46"/>
        <v>#REF!</v>
      </c>
      <c r="IF19" s="74" t="e">
        <f t="shared" ca="1" si="46"/>
        <v>#REF!</v>
      </c>
      <c r="IG19" s="74" t="e">
        <f t="shared" ca="1" si="46"/>
        <v>#REF!</v>
      </c>
      <c r="IH19" s="74" t="e">
        <f t="shared" ca="1" si="46"/>
        <v>#REF!</v>
      </c>
      <c r="II19" s="74" t="e">
        <f t="shared" ca="1" si="46"/>
        <v>#REF!</v>
      </c>
      <c r="IJ19" s="74" t="e">
        <f t="shared" ca="1" si="46"/>
        <v>#REF!</v>
      </c>
      <c r="IK19" s="74" t="e">
        <f t="shared" ca="1" si="46"/>
        <v>#REF!</v>
      </c>
      <c r="IL19" s="74" t="e">
        <f t="shared" ca="1" si="46"/>
        <v>#REF!</v>
      </c>
      <c r="IM19" s="74" t="e">
        <f t="shared" ca="1" si="46"/>
        <v>#REF!</v>
      </c>
      <c r="IN19" s="74" t="e">
        <f t="shared" ca="1" si="46"/>
        <v>#REF!</v>
      </c>
      <c r="IO19" s="74" t="e">
        <f t="shared" ca="1" si="46"/>
        <v>#REF!</v>
      </c>
      <c r="IP19" s="74" t="e">
        <f t="shared" ca="1" si="47"/>
        <v>#REF!</v>
      </c>
      <c r="IQ19" s="74" t="e">
        <f t="shared" ca="1" si="47"/>
        <v>#REF!</v>
      </c>
      <c r="IR19" s="74" t="e">
        <f t="shared" ca="1" si="47"/>
        <v>#REF!</v>
      </c>
      <c r="IS19" s="74" t="e">
        <f t="shared" ca="1" si="47"/>
        <v>#REF!</v>
      </c>
      <c r="IT19" s="74" t="e">
        <f t="shared" ca="1" si="47"/>
        <v>#REF!</v>
      </c>
      <c r="IU19" s="74" t="e">
        <f t="shared" ca="1" si="47"/>
        <v>#REF!</v>
      </c>
      <c r="IV19" s="74" t="e">
        <f t="shared" ca="1" si="47"/>
        <v>#REF!</v>
      </c>
      <c r="IW19" s="74" t="e">
        <f t="shared" ca="1" si="47"/>
        <v>#REF!</v>
      </c>
      <c r="IX19" s="74" t="e">
        <f t="shared" ca="1" si="47"/>
        <v>#REF!</v>
      </c>
      <c r="IY19" s="74" t="e">
        <f t="shared" ca="1" si="47"/>
        <v>#REF!</v>
      </c>
      <c r="IZ19" s="74" t="e">
        <f t="shared" ca="1" si="47"/>
        <v>#REF!</v>
      </c>
      <c r="JA19" s="74" t="e">
        <f t="shared" ca="1" si="47"/>
        <v>#REF!</v>
      </c>
      <c r="JB19" s="74" t="e">
        <f t="shared" ca="1" si="47"/>
        <v>#REF!</v>
      </c>
      <c r="JC19" s="74" t="e">
        <f t="shared" ca="1" si="47"/>
        <v>#REF!</v>
      </c>
      <c r="JD19" s="74" t="e">
        <f t="shared" ca="1" si="47"/>
        <v>#REF!</v>
      </c>
      <c r="JE19" s="74" t="e">
        <f t="shared" ca="1" si="47"/>
        <v>#REF!</v>
      </c>
      <c r="JF19" s="74" t="e">
        <f t="shared" ca="1" si="48"/>
        <v>#REF!</v>
      </c>
      <c r="JG19" s="74" t="e">
        <f t="shared" ca="1" si="48"/>
        <v>#REF!</v>
      </c>
      <c r="JH19" s="74" t="e">
        <f t="shared" ca="1" si="48"/>
        <v>#REF!</v>
      </c>
      <c r="JI19" s="74" t="e">
        <f t="shared" ca="1" si="48"/>
        <v>#REF!</v>
      </c>
      <c r="JJ19" s="74" t="e">
        <f t="shared" ca="1" si="48"/>
        <v>#REF!</v>
      </c>
      <c r="JK19" s="74" t="e">
        <f t="shared" ca="1" si="48"/>
        <v>#REF!</v>
      </c>
      <c r="JL19" s="74" t="e">
        <f t="shared" ca="1" si="48"/>
        <v>#REF!</v>
      </c>
      <c r="JM19" s="74" t="e">
        <f t="shared" ca="1" si="48"/>
        <v>#REF!</v>
      </c>
      <c r="JN19" s="74" t="e">
        <f t="shared" ca="1" si="48"/>
        <v>#REF!</v>
      </c>
      <c r="JO19" s="74" t="e">
        <f t="shared" ca="1" si="48"/>
        <v>#REF!</v>
      </c>
      <c r="JP19" s="74" t="e">
        <f t="shared" ca="1" si="48"/>
        <v>#REF!</v>
      </c>
      <c r="JQ19" s="74" t="e">
        <f t="shared" ca="1" si="48"/>
        <v>#REF!</v>
      </c>
      <c r="JR19" s="74" t="e">
        <f t="shared" ca="1" si="48"/>
        <v>#REF!</v>
      </c>
      <c r="JS19" s="74" t="e">
        <f t="shared" ca="1" si="48"/>
        <v>#REF!</v>
      </c>
      <c r="JT19" s="74" t="e">
        <f t="shared" ca="1" si="48"/>
        <v>#REF!</v>
      </c>
      <c r="JU19" s="74" t="e">
        <f t="shared" ca="1" si="48"/>
        <v>#REF!</v>
      </c>
      <c r="JV19" s="74" t="e">
        <f t="shared" ca="1" si="49"/>
        <v>#REF!</v>
      </c>
      <c r="JW19" s="74" t="e">
        <f t="shared" ca="1" si="49"/>
        <v>#REF!</v>
      </c>
      <c r="JX19" s="74" t="e">
        <f t="shared" ca="1" si="49"/>
        <v>#REF!</v>
      </c>
      <c r="JY19" s="74" t="e">
        <f t="shared" ca="1" si="49"/>
        <v>#REF!</v>
      </c>
      <c r="JZ19" s="74" t="e">
        <f t="shared" ca="1" si="49"/>
        <v>#REF!</v>
      </c>
      <c r="KA19" s="74" t="e">
        <f t="shared" ca="1" si="49"/>
        <v>#REF!</v>
      </c>
      <c r="KB19" s="74" t="e">
        <f t="shared" ca="1" si="49"/>
        <v>#REF!</v>
      </c>
      <c r="KC19" s="74" t="e">
        <f t="shared" ca="1" si="49"/>
        <v>#REF!</v>
      </c>
      <c r="KD19" s="74" t="e">
        <f t="shared" ca="1" si="49"/>
        <v>#REF!</v>
      </c>
      <c r="KE19" s="74" t="e">
        <f t="shared" ca="1" si="49"/>
        <v>#REF!</v>
      </c>
      <c r="KF19" s="74" t="e">
        <f t="shared" ca="1" si="49"/>
        <v>#REF!</v>
      </c>
      <c r="KG19" s="74" t="e">
        <f t="shared" ca="1" si="49"/>
        <v>#REF!</v>
      </c>
      <c r="KH19" s="74" t="e">
        <f t="shared" ca="1" si="49"/>
        <v>#REF!</v>
      </c>
      <c r="KI19" s="74" t="e">
        <f t="shared" ca="1" si="49"/>
        <v>#REF!</v>
      </c>
      <c r="KJ19" s="74" t="e">
        <f t="shared" ca="1" si="49"/>
        <v>#REF!</v>
      </c>
      <c r="KK19" s="74" t="e">
        <f t="shared" ca="1" si="49"/>
        <v>#REF!</v>
      </c>
      <c r="KL19" s="74" t="e">
        <f t="shared" ca="1" si="50"/>
        <v>#REF!</v>
      </c>
      <c r="KM19" s="74" t="e">
        <f t="shared" ca="1" si="50"/>
        <v>#REF!</v>
      </c>
      <c r="KN19" s="74" t="e">
        <f t="shared" ca="1" si="50"/>
        <v>#REF!</v>
      </c>
      <c r="KO19" s="74" t="e">
        <f t="shared" ca="1" si="50"/>
        <v>#REF!</v>
      </c>
      <c r="KP19" s="74" t="e">
        <f t="shared" ca="1" si="50"/>
        <v>#REF!</v>
      </c>
      <c r="KQ19" s="74" t="e">
        <f t="shared" ca="1" si="50"/>
        <v>#REF!</v>
      </c>
      <c r="KR19" s="74" t="e">
        <f t="shared" ca="1" si="50"/>
        <v>#REF!</v>
      </c>
      <c r="KS19" s="74" t="e">
        <f t="shared" ca="1" si="50"/>
        <v>#REF!</v>
      </c>
      <c r="KT19" s="74" t="e">
        <f t="shared" ca="1" si="50"/>
        <v>#REF!</v>
      </c>
      <c r="KU19" s="74" t="e">
        <f t="shared" ca="1" si="50"/>
        <v>#REF!</v>
      </c>
      <c r="KV19" s="74" t="e">
        <f t="shared" ca="1" si="50"/>
        <v>#REF!</v>
      </c>
      <c r="KW19" s="74" t="e">
        <f t="shared" ca="1" si="50"/>
        <v>#REF!</v>
      </c>
      <c r="KX19" s="74" t="e">
        <f t="shared" ca="1" si="50"/>
        <v>#REF!</v>
      </c>
      <c r="KY19" s="74" t="e">
        <f t="shared" ca="1" si="50"/>
        <v>#REF!</v>
      </c>
      <c r="KZ19" s="74" t="e">
        <f t="shared" ca="1" si="50"/>
        <v>#REF!</v>
      </c>
      <c r="LA19" s="74" t="e">
        <f t="shared" ca="1" si="50"/>
        <v>#REF!</v>
      </c>
      <c r="LB19" s="74" t="e">
        <f t="shared" ca="1" si="51"/>
        <v>#REF!</v>
      </c>
      <c r="LC19" s="74" t="e">
        <f t="shared" ca="1" si="51"/>
        <v>#REF!</v>
      </c>
      <c r="LD19" s="74" t="e">
        <f t="shared" ca="1" si="51"/>
        <v>#REF!</v>
      </c>
      <c r="LE19" s="74" t="e">
        <f t="shared" ca="1" si="51"/>
        <v>#REF!</v>
      </c>
      <c r="LF19" s="74" t="e">
        <f t="shared" ca="1" si="51"/>
        <v>#REF!</v>
      </c>
      <c r="LG19" s="74" t="e">
        <f t="shared" ca="1" si="51"/>
        <v>#REF!</v>
      </c>
      <c r="LH19" s="74" t="e">
        <f t="shared" ca="1" si="51"/>
        <v>#REF!</v>
      </c>
      <c r="LI19" s="74" t="e">
        <f t="shared" ca="1" si="51"/>
        <v>#REF!</v>
      </c>
      <c r="LJ19" s="74" t="e">
        <f t="shared" ca="1" si="51"/>
        <v>#REF!</v>
      </c>
      <c r="LK19" s="74" t="e">
        <f t="shared" ca="1" si="51"/>
        <v>#REF!</v>
      </c>
      <c r="LL19" s="74" t="e">
        <f t="shared" ca="1" si="51"/>
        <v>#REF!</v>
      </c>
      <c r="LM19" s="74" t="e">
        <f t="shared" ca="1" si="51"/>
        <v>#REF!</v>
      </c>
      <c r="LN19" s="74" t="e">
        <f t="shared" ca="1" si="51"/>
        <v>#REF!</v>
      </c>
      <c r="LO19" s="74" t="e">
        <f t="shared" ca="1" si="51"/>
        <v>#REF!</v>
      </c>
      <c r="LP19" s="74" t="e">
        <f t="shared" ca="1" si="51"/>
        <v>#REF!</v>
      </c>
      <c r="LQ19" s="74" t="e">
        <f t="shared" ca="1" si="51"/>
        <v>#REF!</v>
      </c>
      <c r="LR19" s="74" t="e">
        <f t="shared" ca="1" si="52"/>
        <v>#REF!</v>
      </c>
      <c r="LS19" s="74" t="e">
        <f t="shared" ca="1" si="52"/>
        <v>#REF!</v>
      </c>
      <c r="LT19" s="74" t="e">
        <f t="shared" ca="1" si="52"/>
        <v>#REF!</v>
      </c>
      <c r="LU19" s="74" t="e">
        <f t="shared" ca="1" si="52"/>
        <v>#REF!</v>
      </c>
      <c r="LV19" s="74" t="e">
        <f t="shared" ca="1" si="52"/>
        <v>#REF!</v>
      </c>
      <c r="LW19" s="74" t="e">
        <f t="shared" ca="1" si="52"/>
        <v>#REF!</v>
      </c>
      <c r="LX19" s="74" t="e">
        <f t="shared" ca="1" si="52"/>
        <v>#REF!</v>
      </c>
      <c r="LY19" s="74" t="e">
        <f t="shared" ca="1" si="52"/>
        <v>#REF!</v>
      </c>
      <c r="LZ19" s="74" t="e">
        <f t="shared" ca="1" si="52"/>
        <v>#REF!</v>
      </c>
      <c r="MA19" s="74" t="e">
        <f t="shared" ca="1" si="52"/>
        <v>#REF!</v>
      </c>
      <c r="MB19" s="74" t="e">
        <f t="shared" ca="1" si="52"/>
        <v>#REF!</v>
      </c>
      <c r="MC19" s="74" t="e">
        <f t="shared" ca="1" si="52"/>
        <v>#REF!</v>
      </c>
      <c r="MD19" s="74" t="e">
        <f t="shared" ca="1" si="52"/>
        <v>#REF!</v>
      </c>
      <c r="ME19" s="74" t="e">
        <f t="shared" ca="1" si="52"/>
        <v>#REF!</v>
      </c>
      <c r="MF19" s="74" t="e">
        <f t="shared" ca="1" si="52"/>
        <v>#REF!</v>
      </c>
      <c r="MG19" s="74" t="e">
        <f t="shared" ca="1" si="52"/>
        <v>#REF!</v>
      </c>
      <c r="MH19" s="74" t="e">
        <f t="shared" ca="1" si="53"/>
        <v>#REF!</v>
      </c>
      <c r="MI19" s="74" t="e">
        <f t="shared" ca="1" si="53"/>
        <v>#REF!</v>
      </c>
      <c r="MJ19" s="74" t="e">
        <f t="shared" ca="1" si="53"/>
        <v>#REF!</v>
      </c>
      <c r="MK19" s="74" t="e">
        <f t="shared" ca="1" si="53"/>
        <v>#REF!</v>
      </c>
      <c r="ML19" s="74" t="e">
        <f t="shared" ca="1" si="53"/>
        <v>#REF!</v>
      </c>
      <c r="MM19" s="74" t="e">
        <f t="shared" ca="1" si="53"/>
        <v>#REF!</v>
      </c>
      <c r="MN19" s="74" t="e">
        <f t="shared" ca="1" si="53"/>
        <v>#REF!</v>
      </c>
      <c r="MO19" s="74" t="e">
        <f t="shared" ca="1" si="53"/>
        <v>#REF!</v>
      </c>
      <c r="MP19" s="74" t="e">
        <f t="shared" ca="1" si="53"/>
        <v>#REF!</v>
      </c>
      <c r="MQ19" s="74" t="e">
        <f t="shared" ca="1" si="53"/>
        <v>#REF!</v>
      </c>
      <c r="MR19" s="74" t="e">
        <f t="shared" ca="1" si="53"/>
        <v>#REF!</v>
      </c>
      <c r="MS19" s="74" t="e">
        <f t="shared" ca="1" si="53"/>
        <v>#REF!</v>
      </c>
      <c r="MT19" s="74" t="e">
        <f t="shared" ca="1" si="53"/>
        <v>#REF!</v>
      </c>
      <c r="MU19" s="74" t="e">
        <f t="shared" ca="1" si="53"/>
        <v>#REF!</v>
      </c>
      <c r="MV19" s="74" t="e">
        <f t="shared" ca="1" si="53"/>
        <v>#REF!</v>
      </c>
      <c r="MW19" s="74" t="e">
        <f t="shared" ca="1" si="53"/>
        <v>#REF!</v>
      </c>
      <c r="MX19" s="74" t="e">
        <f t="shared" ca="1" si="54"/>
        <v>#REF!</v>
      </c>
      <c r="MY19" s="74" t="e">
        <f t="shared" ca="1" si="54"/>
        <v>#REF!</v>
      </c>
      <c r="MZ19" s="74" t="e">
        <f t="shared" ca="1" si="54"/>
        <v>#REF!</v>
      </c>
      <c r="NA19" s="74" t="e">
        <f t="shared" ca="1" si="54"/>
        <v>#REF!</v>
      </c>
      <c r="NB19" s="74" t="e">
        <f t="shared" ca="1" si="54"/>
        <v>#REF!</v>
      </c>
      <c r="NC19" s="74" t="e">
        <f t="shared" ca="1" si="54"/>
        <v>#REF!</v>
      </c>
      <c r="ND19" s="74" t="e">
        <f t="shared" ca="1" si="54"/>
        <v>#REF!</v>
      </c>
      <c r="NE19" s="74" t="e">
        <f t="shared" ca="1" si="54"/>
        <v>#REF!</v>
      </c>
      <c r="NF19" s="74" t="e">
        <f t="shared" ca="1" si="54"/>
        <v>#REF!</v>
      </c>
      <c r="NG19" s="74" t="e">
        <f t="shared" ca="1" si="54"/>
        <v>#REF!</v>
      </c>
      <c r="NH19" s="74" t="e">
        <f t="shared" ca="1" si="54"/>
        <v>#REF!</v>
      </c>
      <c r="NI19" s="74" t="e">
        <f t="shared" ca="1" si="54"/>
        <v>#REF!</v>
      </c>
      <c r="NJ19" s="74" t="e">
        <f t="shared" ca="1" si="54"/>
        <v>#REF!</v>
      </c>
      <c r="NK19" s="74" t="e">
        <f t="shared" ca="1" si="54"/>
        <v>#REF!</v>
      </c>
      <c r="NL19" s="74" t="e">
        <f t="shared" ca="1" si="54"/>
        <v>#REF!</v>
      </c>
      <c r="NM19" s="74" t="e">
        <f t="shared" ca="1" si="54"/>
        <v>#REF!</v>
      </c>
      <c r="NN19" s="74" t="e">
        <f t="shared" ca="1" si="55"/>
        <v>#REF!</v>
      </c>
      <c r="NO19" s="74" t="e">
        <f t="shared" ca="1" si="55"/>
        <v>#REF!</v>
      </c>
      <c r="NP19" s="74" t="e">
        <f t="shared" ca="1" si="55"/>
        <v>#REF!</v>
      </c>
      <c r="NQ19" s="74" t="e">
        <f t="shared" ca="1" si="55"/>
        <v>#REF!</v>
      </c>
      <c r="NR19" s="74" t="e">
        <f t="shared" ca="1" si="55"/>
        <v>#REF!</v>
      </c>
      <c r="NS19" s="74" t="e">
        <f t="shared" ca="1" si="55"/>
        <v>#REF!</v>
      </c>
      <c r="NT19" s="74" t="e">
        <f t="shared" ca="1" si="55"/>
        <v>#REF!</v>
      </c>
      <c r="NU19" s="74" t="e">
        <f t="shared" ca="1" si="55"/>
        <v>#REF!</v>
      </c>
      <c r="NV19" s="74" t="e">
        <f t="shared" ca="1" si="55"/>
        <v>#REF!</v>
      </c>
      <c r="NW19" s="74" t="e">
        <f t="shared" ca="1" si="55"/>
        <v>#REF!</v>
      </c>
      <c r="NX19" s="74" t="e">
        <f t="shared" ca="1" si="55"/>
        <v>#REF!</v>
      </c>
      <c r="NY19" s="74" t="e">
        <f t="shared" ca="1" si="55"/>
        <v>#REF!</v>
      </c>
      <c r="NZ19" s="74" t="e">
        <f t="shared" ca="1" si="55"/>
        <v>#REF!</v>
      </c>
      <c r="OA19" s="74" t="e">
        <f t="shared" ca="1" si="55"/>
        <v>#REF!</v>
      </c>
      <c r="OB19" s="74" t="e">
        <f t="shared" ca="1" si="55"/>
        <v>#REF!</v>
      </c>
      <c r="OC19" s="74" t="e">
        <f t="shared" ca="1" si="55"/>
        <v>#REF!</v>
      </c>
      <c r="OD19" s="74" t="e">
        <f t="shared" ca="1" si="56"/>
        <v>#REF!</v>
      </c>
      <c r="OE19" s="74" t="e">
        <f t="shared" ca="1" si="56"/>
        <v>#REF!</v>
      </c>
      <c r="OF19" s="74" t="e">
        <f t="shared" ca="1" si="56"/>
        <v>#REF!</v>
      </c>
      <c r="OG19" s="74" t="e">
        <f t="shared" ca="1" si="56"/>
        <v>#REF!</v>
      </c>
      <c r="OH19" s="74" t="e">
        <f t="shared" ca="1" si="56"/>
        <v>#REF!</v>
      </c>
      <c r="OI19" s="74" t="e">
        <f t="shared" ca="1" si="56"/>
        <v>#REF!</v>
      </c>
      <c r="OJ19" s="74" t="e">
        <f t="shared" ca="1" si="56"/>
        <v>#REF!</v>
      </c>
      <c r="OK19" s="74" t="e">
        <f t="shared" ca="1" si="56"/>
        <v>#REF!</v>
      </c>
      <c r="OL19" s="74" t="e">
        <f t="shared" ca="1" si="56"/>
        <v>#REF!</v>
      </c>
      <c r="OM19" s="74" t="e">
        <f t="shared" ca="1" si="56"/>
        <v>#REF!</v>
      </c>
      <c r="ON19" s="74" t="e">
        <f t="shared" ca="1" si="56"/>
        <v>#REF!</v>
      </c>
      <c r="OO19" s="74" t="e">
        <f t="shared" ca="1" si="56"/>
        <v>#REF!</v>
      </c>
      <c r="OP19" s="74" t="e">
        <f t="shared" ca="1" si="56"/>
        <v>#REF!</v>
      </c>
      <c r="OQ19" s="74" t="e">
        <f t="shared" ca="1" si="56"/>
        <v>#REF!</v>
      </c>
      <c r="OR19" s="74" t="e">
        <f t="shared" ca="1" si="56"/>
        <v>#REF!</v>
      </c>
      <c r="OS19" s="74" t="e">
        <f t="shared" ca="1" si="56"/>
        <v>#REF!</v>
      </c>
      <c r="OT19" s="74" t="e">
        <f t="shared" ca="1" si="57"/>
        <v>#REF!</v>
      </c>
      <c r="OU19" s="74" t="e">
        <f t="shared" ca="1" si="57"/>
        <v>#REF!</v>
      </c>
      <c r="OV19" s="74" t="e">
        <f t="shared" ca="1" si="57"/>
        <v>#REF!</v>
      </c>
      <c r="OW19" s="74" t="e">
        <f t="shared" ca="1" si="57"/>
        <v>#REF!</v>
      </c>
      <c r="OX19" s="74" t="e">
        <f t="shared" ca="1" si="57"/>
        <v>#REF!</v>
      </c>
      <c r="OY19" s="74" t="e">
        <f t="shared" ca="1" si="57"/>
        <v>#REF!</v>
      </c>
      <c r="OZ19" s="74" t="e">
        <f t="shared" ca="1" si="57"/>
        <v>#REF!</v>
      </c>
      <c r="PA19" s="74" t="e">
        <f t="shared" ca="1" si="57"/>
        <v>#REF!</v>
      </c>
      <c r="PB19" s="74" t="e">
        <f t="shared" ca="1" si="57"/>
        <v>#REF!</v>
      </c>
      <c r="PC19" s="74" t="e">
        <f t="shared" ca="1" si="57"/>
        <v>#REF!</v>
      </c>
      <c r="PD19" s="74" t="e">
        <f t="shared" ca="1" si="57"/>
        <v>#REF!</v>
      </c>
      <c r="PE19" s="74" t="e">
        <f t="shared" ca="1" si="57"/>
        <v>#REF!</v>
      </c>
      <c r="PF19" s="74" t="e">
        <f t="shared" ca="1" si="57"/>
        <v>#REF!</v>
      </c>
      <c r="PG19" s="74" t="e">
        <f t="shared" ca="1" si="57"/>
        <v>#REF!</v>
      </c>
      <c r="PH19" s="74" t="e">
        <f t="shared" ca="1" si="57"/>
        <v>#REF!</v>
      </c>
      <c r="PI19" s="74" t="e">
        <f t="shared" ca="1" si="57"/>
        <v>#REF!</v>
      </c>
      <c r="PJ19" s="74" t="e">
        <f t="shared" ca="1" si="58"/>
        <v>#REF!</v>
      </c>
      <c r="PK19" s="74" t="e">
        <f t="shared" ca="1" si="58"/>
        <v>#REF!</v>
      </c>
      <c r="PL19" s="74" t="e">
        <f t="shared" ca="1" si="58"/>
        <v>#REF!</v>
      </c>
      <c r="PM19" s="74" t="e">
        <f t="shared" ca="1" si="58"/>
        <v>#REF!</v>
      </c>
      <c r="PN19" s="74" t="e">
        <f t="shared" ca="1" si="58"/>
        <v>#REF!</v>
      </c>
      <c r="PO19" s="74" t="e">
        <f t="shared" ca="1" si="58"/>
        <v>#REF!</v>
      </c>
      <c r="PP19" s="74" t="e">
        <f t="shared" ca="1" si="58"/>
        <v>#REF!</v>
      </c>
      <c r="PQ19" s="74" t="e">
        <f t="shared" ca="1" si="58"/>
        <v>#REF!</v>
      </c>
      <c r="PR19" s="74" t="e">
        <f t="shared" ca="1" si="58"/>
        <v>#REF!</v>
      </c>
      <c r="PS19" s="74" t="e">
        <f t="shared" ca="1" si="58"/>
        <v>#REF!</v>
      </c>
      <c r="PT19" s="74" t="e">
        <f t="shared" ca="1" si="58"/>
        <v>#REF!</v>
      </c>
      <c r="PU19" s="74" t="e">
        <f t="shared" ca="1" si="58"/>
        <v>#REF!</v>
      </c>
      <c r="PV19" s="74" t="e">
        <f t="shared" ca="1" si="58"/>
        <v>#REF!</v>
      </c>
      <c r="PW19" s="74" t="e">
        <f t="shared" ca="1" si="58"/>
        <v>#REF!</v>
      </c>
      <c r="PX19" s="74" t="e">
        <f t="shared" ca="1" si="58"/>
        <v>#REF!</v>
      </c>
      <c r="PY19" s="74" t="e">
        <f t="shared" ca="1" si="58"/>
        <v>#REF!</v>
      </c>
      <c r="PZ19" s="74" t="e">
        <f t="shared" ca="1" si="59"/>
        <v>#REF!</v>
      </c>
      <c r="QA19" s="74" t="e">
        <f t="shared" ca="1" si="59"/>
        <v>#REF!</v>
      </c>
      <c r="QB19" s="74" t="e">
        <f t="shared" ca="1" si="59"/>
        <v>#REF!</v>
      </c>
      <c r="QC19" s="74" t="e">
        <f t="shared" ca="1" si="59"/>
        <v>#REF!</v>
      </c>
      <c r="QD19" s="74" t="e">
        <f t="shared" ca="1" si="59"/>
        <v>#REF!</v>
      </c>
      <c r="QE19" s="74" t="e">
        <f t="shared" ca="1" si="59"/>
        <v>#REF!</v>
      </c>
      <c r="QF19" s="74" t="e">
        <f t="shared" ca="1" si="59"/>
        <v>#REF!</v>
      </c>
      <c r="QG19" s="74" t="e">
        <f t="shared" ca="1" si="59"/>
        <v>#REF!</v>
      </c>
      <c r="QH19" s="74" t="e">
        <f t="shared" ca="1" si="59"/>
        <v>#REF!</v>
      </c>
      <c r="QI19" s="74" t="e">
        <f t="shared" ca="1" si="59"/>
        <v>#REF!</v>
      </c>
      <c r="QJ19" s="74" t="e">
        <f t="shared" ca="1" si="59"/>
        <v>#REF!</v>
      </c>
      <c r="QK19" s="74" t="e">
        <f t="shared" ca="1" si="59"/>
        <v>#REF!</v>
      </c>
      <c r="QL19" s="74" t="e">
        <f t="shared" ca="1" si="59"/>
        <v>#REF!</v>
      </c>
      <c r="QM19" s="74" t="e">
        <f t="shared" ca="1" si="59"/>
        <v>#REF!</v>
      </c>
      <c r="QN19" s="74" t="e">
        <f t="shared" ca="1" si="59"/>
        <v>#REF!</v>
      </c>
      <c r="QO19" s="74" t="e">
        <f t="shared" ca="1" si="59"/>
        <v>#REF!</v>
      </c>
      <c r="QP19" s="74" t="e">
        <f t="shared" ca="1" si="60"/>
        <v>#REF!</v>
      </c>
      <c r="QQ19" s="74" t="e">
        <f t="shared" ca="1" si="60"/>
        <v>#REF!</v>
      </c>
      <c r="QR19" s="74" t="e">
        <f t="shared" ca="1" si="60"/>
        <v>#REF!</v>
      </c>
      <c r="QS19" s="74" t="e">
        <f t="shared" ca="1" si="60"/>
        <v>#REF!</v>
      </c>
      <c r="QT19" s="74" t="e">
        <f t="shared" ca="1" si="60"/>
        <v>#REF!</v>
      </c>
      <c r="QU19" s="74" t="e">
        <f t="shared" ca="1" si="60"/>
        <v>#REF!</v>
      </c>
      <c r="QV19" s="74" t="e">
        <f t="shared" ca="1" si="60"/>
        <v>#REF!</v>
      </c>
      <c r="QW19" s="74" t="e">
        <f t="shared" ca="1" si="60"/>
        <v>#REF!</v>
      </c>
      <c r="QX19" s="74" t="e">
        <f t="shared" ca="1" si="60"/>
        <v>#REF!</v>
      </c>
      <c r="QY19" s="74" t="e">
        <f t="shared" ca="1" si="60"/>
        <v>#REF!</v>
      </c>
      <c r="QZ19" s="74" t="e">
        <f t="shared" ca="1" si="60"/>
        <v>#REF!</v>
      </c>
      <c r="RA19" s="74" t="e">
        <f t="shared" ca="1" si="60"/>
        <v>#REF!</v>
      </c>
      <c r="RB19" s="74" t="e">
        <f t="shared" ca="1" si="60"/>
        <v>#REF!</v>
      </c>
      <c r="RC19" s="74" t="e">
        <f t="shared" ca="1" si="60"/>
        <v>#REF!</v>
      </c>
      <c r="RD19" s="74" t="e">
        <f t="shared" ca="1" si="60"/>
        <v>#REF!</v>
      </c>
      <c r="RE19" s="74" t="e">
        <f t="shared" ca="1" si="60"/>
        <v>#REF!</v>
      </c>
      <c r="RF19" s="74" t="e">
        <f t="shared" ca="1" si="61"/>
        <v>#REF!</v>
      </c>
      <c r="RG19" s="74" t="e">
        <f t="shared" ca="1" si="61"/>
        <v>#REF!</v>
      </c>
      <c r="RH19" s="74" t="e">
        <f t="shared" ca="1" si="61"/>
        <v>#REF!</v>
      </c>
      <c r="RI19" s="74" t="e">
        <f t="shared" ca="1" si="61"/>
        <v>#REF!</v>
      </c>
      <c r="RJ19" s="74" t="e">
        <f t="shared" ca="1" si="61"/>
        <v>#REF!</v>
      </c>
      <c r="RK19" s="74" t="e">
        <f t="shared" ca="1" si="61"/>
        <v>#REF!</v>
      </c>
      <c r="RL19" s="74" t="e">
        <f t="shared" ca="1" si="61"/>
        <v>#REF!</v>
      </c>
      <c r="RM19" s="74" t="e">
        <f t="shared" ca="1" si="61"/>
        <v>#REF!</v>
      </c>
      <c r="RN19" s="74" t="e">
        <f t="shared" ca="1" si="61"/>
        <v>#REF!</v>
      </c>
      <c r="RO19" s="74" t="e">
        <f t="shared" ca="1" si="61"/>
        <v>#REF!</v>
      </c>
      <c r="RP19" s="74" t="e">
        <f t="shared" ca="1" si="61"/>
        <v>#REF!</v>
      </c>
      <c r="RQ19" s="74" t="e">
        <f t="shared" ca="1" si="61"/>
        <v>#REF!</v>
      </c>
      <c r="RR19" s="74" t="e">
        <f t="shared" ca="1" si="61"/>
        <v>#REF!</v>
      </c>
      <c r="RS19" s="74" t="e">
        <f t="shared" ca="1" si="61"/>
        <v>#REF!</v>
      </c>
      <c r="RT19" s="74" t="e">
        <f t="shared" ca="1" si="61"/>
        <v>#REF!</v>
      </c>
      <c r="RU19" s="74" t="e">
        <f t="shared" ca="1" si="61"/>
        <v>#REF!</v>
      </c>
      <c r="RV19" s="74" t="e">
        <f t="shared" ca="1" si="62"/>
        <v>#REF!</v>
      </c>
      <c r="RW19" s="74" t="e">
        <f t="shared" ca="1" si="62"/>
        <v>#REF!</v>
      </c>
      <c r="RX19" s="74" t="e">
        <f t="shared" ca="1" si="62"/>
        <v>#REF!</v>
      </c>
      <c r="RY19" s="74" t="e">
        <f t="shared" ca="1" si="62"/>
        <v>#REF!</v>
      </c>
      <c r="RZ19" s="74" t="e">
        <f t="shared" ca="1" si="62"/>
        <v>#REF!</v>
      </c>
      <c r="SA19" s="74" t="e">
        <f t="shared" ca="1" si="62"/>
        <v>#REF!</v>
      </c>
      <c r="SB19" s="74" t="e">
        <f t="shared" ca="1" si="62"/>
        <v>#REF!</v>
      </c>
      <c r="SC19" s="74" t="e">
        <f t="shared" ca="1" si="62"/>
        <v>#REF!</v>
      </c>
      <c r="SD19" s="74" t="e">
        <f t="shared" ca="1" si="62"/>
        <v>#REF!</v>
      </c>
      <c r="SE19" s="74" t="e">
        <f t="shared" ca="1" si="62"/>
        <v>#REF!</v>
      </c>
      <c r="SF19" s="74" t="e">
        <f t="shared" ca="1" si="62"/>
        <v>#REF!</v>
      </c>
      <c r="SG19" s="74" t="e">
        <f t="shared" ca="1" si="62"/>
        <v>#REF!</v>
      </c>
      <c r="SH19" s="74" t="e">
        <f t="shared" ca="1" si="62"/>
        <v>#REF!</v>
      </c>
      <c r="SI19" s="74" t="e">
        <f t="shared" ca="1" si="62"/>
        <v>#REF!</v>
      </c>
      <c r="SJ19" s="74" t="e">
        <f t="shared" ca="1" si="62"/>
        <v>#REF!</v>
      </c>
      <c r="SK19" s="74" t="e">
        <f t="shared" ca="1" si="62"/>
        <v>#REF!</v>
      </c>
      <c r="SL19" s="74" t="e">
        <f t="shared" ca="1" si="63"/>
        <v>#REF!</v>
      </c>
      <c r="SM19" s="74" t="e">
        <f t="shared" ca="1" si="63"/>
        <v>#REF!</v>
      </c>
      <c r="SN19" s="74" t="e">
        <f t="shared" ca="1" si="63"/>
        <v>#REF!</v>
      </c>
      <c r="SO19" s="74" t="e">
        <f t="shared" ca="1" si="63"/>
        <v>#REF!</v>
      </c>
      <c r="SP19" s="74" t="e">
        <f t="shared" ca="1" si="63"/>
        <v>#REF!</v>
      </c>
      <c r="SQ19" s="74" t="e">
        <f t="shared" ca="1" si="63"/>
        <v>#REF!</v>
      </c>
      <c r="SR19" s="74" t="e">
        <f t="shared" ca="1" si="63"/>
        <v>#REF!</v>
      </c>
      <c r="SS19" s="74" t="e">
        <f t="shared" ca="1" si="63"/>
        <v>#REF!</v>
      </c>
      <c r="ST19" s="74" t="e">
        <f t="shared" ca="1" si="63"/>
        <v>#REF!</v>
      </c>
      <c r="SU19" s="74" t="e">
        <f t="shared" ca="1" si="63"/>
        <v>#REF!</v>
      </c>
      <c r="SV19" s="74" t="e">
        <f t="shared" ca="1" si="63"/>
        <v>#REF!</v>
      </c>
      <c r="SW19" s="74" t="e">
        <f t="shared" ca="1" si="63"/>
        <v>#REF!</v>
      </c>
      <c r="SX19" s="74" t="e">
        <f t="shared" ca="1" si="63"/>
        <v>#REF!</v>
      </c>
      <c r="SY19" s="74" t="e">
        <f t="shared" ca="1" si="63"/>
        <v>#REF!</v>
      </c>
      <c r="SZ19" s="74" t="e">
        <f t="shared" ca="1" si="63"/>
        <v>#REF!</v>
      </c>
      <c r="TA19" s="74" t="e">
        <f t="shared" ca="1" si="63"/>
        <v>#REF!</v>
      </c>
      <c r="TB19" s="74" t="e">
        <f t="shared" ca="1" si="64"/>
        <v>#REF!</v>
      </c>
      <c r="TC19" s="74" t="e">
        <f t="shared" ca="1" si="64"/>
        <v>#REF!</v>
      </c>
      <c r="TD19" s="74" t="e">
        <f t="shared" ca="1" si="64"/>
        <v>#REF!</v>
      </c>
      <c r="TE19" s="74" t="e">
        <f t="shared" ca="1" si="64"/>
        <v>#REF!</v>
      </c>
      <c r="TF19" s="74" t="e">
        <f t="shared" ca="1" si="64"/>
        <v>#REF!</v>
      </c>
      <c r="TG19" s="74" t="e">
        <f t="shared" ca="1" si="64"/>
        <v>#REF!</v>
      </c>
      <c r="TH19" s="74" t="e">
        <f t="shared" ca="1" si="64"/>
        <v>#REF!</v>
      </c>
      <c r="TI19" s="74" t="e">
        <f t="shared" ca="1" si="64"/>
        <v>#REF!</v>
      </c>
      <c r="TJ19" s="74" t="e">
        <f t="shared" ca="1" si="64"/>
        <v>#REF!</v>
      </c>
      <c r="TK19" s="74" t="e">
        <f t="shared" ca="1" si="64"/>
        <v>#REF!</v>
      </c>
      <c r="TL19" s="74" t="e">
        <f t="shared" ca="1" si="64"/>
        <v>#REF!</v>
      </c>
      <c r="TM19" s="74" t="e">
        <f t="shared" ca="1" si="64"/>
        <v>#REF!</v>
      </c>
      <c r="TN19" s="74" t="e">
        <f t="shared" ca="1" si="64"/>
        <v>#REF!</v>
      </c>
      <c r="TO19" s="74" t="e">
        <f t="shared" ca="1" si="64"/>
        <v>#REF!</v>
      </c>
      <c r="TP19" s="74" t="e">
        <f t="shared" ca="1" si="64"/>
        <v>#REF!</v>
      </c>
      <c r="TQ19" s="74" t="e">
        <f t="shared" ca="1" si="64"/>
        <v>#REF!</v>
      </c>
      <c r="TR19" s="74" t="e">
        <f t="shared" ca="1" si="65"/>
        <v>#REF!</v>
      </c>
      <c r="TS19" s="74" t="e">
        <f t="shared" ca="1" si="65"/>
        <v>#REF!</v>
      </c>
      <c r="TT19" s="74" t="e">
        <f t="shared" ca="1" si="65"/>
        <v>#REF!</v>
      </c>
      <c r="TU19" s="74" t="e">
        <f t="shared" ca="1" si="65"/>
        <v>#REF!</v>
      </c>
      <c r="TV19" s="74" t="e">
        <f t="shared" ca="1" si="65"/>
        <v>#REF!</v>
      </c>
      <c r="TW19" s="74" t="e">
        <f t="shared" ca="1" si="65"/>
        <v>#REF!</v>
      </c>
      <c r="TX19" s="74" t="e">
        <f t="shared" ca="1" si="65"/>
        <v>#REF!</v>
      </c>
      <c r="TY19" s="74" t="e">
        <f t="shared" ca="1" si="65"/>
        <v>#REF!</v>
      </c>
      <c r="TZ19" s="74" t="e">
        <f t="shared" ca="1" si="65"/>
        <v>#REF!</v>
      </c>
      <c r="UA19" s="74" t="e">
        <f t="shared" ca="1" si="65"/>
        <v>#REF!</v>
      </c>
      <c r="UB19" s="74" t="e">
        <f t="shared" ca="1" si="65"/>
        <v>#REF!</v>
      </c>
      <c r="UC19" s="74" t="e">
        <f t="shared" ca="1" si="65"/>
        <v>#REF!</v>
      </c>
      <c r="UD19" s="74" t="e">
        <f t="shared" ca="1" si="65"/>
        <v>#REF!</v>
      </c>
      <c r="UE19" s="74" t="e">
        <f t="shared" ca="1" si="65"/>
        <v>#REF!</v>
      </c>
      <c r="UF19" s="74" t="e">
        <f t="shared" ca="1" si="65"/>
        <v>#REF!</v>
      </c>
      <c r="UG19" s="74" t="e">
        <f t="shared" ca="1" si="65"/>
        <v>#REF!</v>
      </c>
      <c r="UH19" s="74" t="e">
        <f t="shared" ca="1" si="66"/>
        <v>#REF!</v>
      </c>
      <c r="UI19" s="74" t="e">
        <f t="shared" ca="1" si="66"/>
        <v>#REF!</v>
      </c>
      <c r="UJ19" s="74" t="e">
        <f t="shared" ca="1" si="66"/>
        <v>#REF!</v>
      </c>
      <c r="UK19" s="74" t="e">
        <f t="shared" ca="1" si="66"/>
        <v>#REF!</v>
      </c>
      <c r="UL19" s="74" t="e">
        <f t="shared" ca="1" si="66"/>
        <v>#REF!</v>
      </c>
      <c r="UM19" s="74" t="e">
        <f t="shared" ca="1" si="66"/>
        <v>#REF!</v>
      </c>
      <c r="UN19" s="74" t="e">
        <f t="shared" ca="1" si="66"/>
        <v>#REF!</v>
      </c>
      <c r="UO19" s="74" t="e">
        <f t="shared" ca="1" si="66"/>
        <v>#REF!</v>
      </c>
      <c r="UP19" s="74" t="e">
        <f t="shared" ca="1" si="66"/>
        <v>#REF!</v>
      </c>
      <c r="UQ19" s="74" t="e">
        <f t="shared" ca="1" si="66"/>
        <v>#REF!</v>
      </c>
      <c r="UR19" s="74" t="e">
        <f t="shared" ca="1" si="66"/>
        <v>#REF!</v>
      </c>
      <c r="US19" s="74" t="e">
        <f t="shared" ca="1" si="66"/>
        <v>#REF!</v>
      </c>
      <c r="UT19" s="74" t="e">
        <f t="shared" ca="1" si="66"/>
        <v>#REF!</v>
      </c>
      <c r="UU19" s="74" t="e">
        <f t="shared" ca="1" si="66"/>
        <v>#REF!</v>
      </c>
      <c r="UV19" s="74" t="e">
        <f t="shared" ca="1" si="66"/>
        <v>#REF!</v>
      </c>
      <c r="UW19" s="74" t="e">
        <f t="shared" ca="1" si="66"/>
        <v>#REF!</v>
      </c>
      <c r="UX19" s="74" t="e">
        <f t="shared" ca="1" si="67"/>
        <v>#REF!</v>
      </c>
      <c r="UY19" s="74" t="e">
        <f t="shared" ca="1" si="67"/>
        <v>#REF!</v>
      </c>
      <c r="UZ19" s="74" t="e">
        <f t="shared" ca="1" si="67"/>
        <v>#REF!</v>
      </c>
      <c r="VA19" s="74" t="e">
        <f t="shared" ca="1" si="67"/>
        <v>#REF!</v>
      </c>
      <c r="VB19" s="74" t="e">
        <f t="shared" ca="1" si="67"/>
        <v>#REF!</v>
      </c>
      <c r="VC19" s="74" t="e">
        <f t="shared" ca="1" si="67"/>
        <v>#REF!</v>
      </c>
      <c r="VD19" s="74" t="e">
        <f t="shared" ca="1" si="67"/>
        <v>#REF!</v>
      </c>
      <c r="VE19" s="74" t="e">
        <f t="shared" ca="1" si="67"/>
        <v>#REF!</v>
      </c>
      <c r="VF19" s="74" t="e">
        <f t="shared" ca="1" si="67"/>
        <v>#REF!</v>
      </c>
      <c r="VG19" s="74" t="e">
        <f t="shared" ca="1" si="67"/>
        <v>#REF!</v>
      </c>
      <c r="VH19" s="74" t="e">
        <f t="shared" ca="1" si="67"/>
        <v>#REF!</v>
      </c>
      <c r="VI19" s="74" t="e">
        <f t="shared" ca="1" si="67"/>
        <v>#REF!</v>
      </c>
      <c r="VJ19" s="74" t="e">
        <f t="shared" ca="1" si="67"/>
        <v>#REF!</v>
      </c>
      <c r="VK19" s="74" t="e">
        <f t="shared" ca="1" si="67"/>
        <v>#REF!</v>
      </c>
      <c r="VL19" s="74" t="e">
        <f t="shared" ca="1" si="67"/>
        <v>#REF!</v>
      </c>
      <c r="VM19" s="74" t="e">
        <f t="shared" ca="1" si="67"/>
        <v>#REF!</v>
      </c>
      <c r="VN19" s="74" t="e">
        <f t="shared" ca="1" si="68"/>
        <v>#REF!</v>
      </c>
      <c r="VO19" s="74" t="e">
        <f t="shared" ca="1" si="68"/>
        <v>#REF!</v>
      </c>
      <c r="VP19" s="74" t="e">
        <f t="shared" ca="1" si="68"/>
        <v>#REF!</v>
      </c>
      <c r="VQ19" s="74" t="e">
        <f t="shared" ca="1" si="68"/>
        <v>#REF!</v>
      </c>
      <c r="VR19" s="74" t="e">
        <f t="shared" ca="1" si="68"/>
        <v>#REF!</v>
      </c>
      <c r="VS19" s="74" t="e">
        <f t="shared" ca="1" si="68"/>
        <v>#REF!</v>
      </c>
    </row>
    <row r="20" spans="1:591" s="17" customFormat="1" ht="16.2" customHeight="1" x14ac:dyDescent="0.3">
      <c r="A20" s="81"/>
      <c r="B20" s="56" t="str">
        <f>'CoS Tracker'!$AO$7</f>
        <v>8. Modification Approval Deadline</v>
      </c>
      <c r="C20" s="19" t="s">
        <v>75</v>
      </c>
      <c r="D20" s="19"/>
      <c r="E20" s="27">
        <v>0.1</v>
      </c>
      <c r="F20" s="26" t="e">
        <f>'CoS Tracker'!#REF!</f>
        <v>#REF!</v>
      </c>
      <c r="G20" s="26" t="e">
        <f>'CoS Tracker'!#REF!</f>
        <v>#REF!</v>
      </c>
      <c r="H20" s="25" t="e">
        <f>Milestones43524[[#This Row],[End]]-G19</f>
        <v>#REF!</v>
      </c>
      <c r="I20" s="19"/>
      <c r="J20" s="74" t="e">
        <f t="shared" ca="1" si="32"/>
        <v>#REF!</v>
      </c>
      <c r="K20" s="74" t="e">
        <f t="shared" ca="1" si="32"/>
        <v>#REF!</v>
      </c>
      <c r="L20" s="74" t="e">
        <f t="shared" ca="1" si="32"/>
        <v>#REF!</v>
      </c>
      <c r="M20" s="74" t="e">
        <f t="shared" ca="1" si="32"/>
        <v>#REF!</v>
      </c>
      <c r="N20" s="74" t="e">
        <f t="shared" ca="1" si="32"/>
        <v>#REF!</v>
      </c>
      <c r="O20" s="74" t="e">
        <f t="shared" ca="1" si="32"/>
        <v>#REF!</v>
      </c>
      <c r="P20" s="74" t="e">
        <f t="shared" ca="1" si="32"/>
        <v>#REF!</v>
      </c>
      <c r="Q20" s="74" t="e">
        <f t="shared" ca="1" si="32"/>
        <v>#REF!</v>
      </c>
      <c r="R20" s="74" t="e">
        <f t="shared" ca="1" si="32"/>
        <v>#REF!</v>
      </c>
      <c r="S20" s="74" t="e">
        <f t="shared" ca="1" si="32"/>
        <v>#REF!</v>
      </c>
      <c r="T20" s="74" t="e">
        <f t="shared" ca="1" si="32"/>
        <v>#REF!</v>
      </c>
      <c r="U20" s="74" t="e">
        <f t="shared" ca="1" si="32"/>
        <v>#REF!</v>
      </c>
      <c r="V20" s="74" t="e">
        <f t="shared" ca="1" si="32"/>
        <v>#REF!</v>
      </c>
      <c r="W20" s="74" t="e">
        <f t="shared" ca="1" si="32"/>
        <v>#REF!</v>
      </c>
      <c r="X20" s="74" t="e">
        <f t="shared" ca="1" si="32"/>
        <v>#REF!</v>
      </c>
      <c r="Y20" s="74" t="e">
        <f t="shared" ca="1" si="32"/>
        <v>#REF!</v>
      </c>
      <c r="Z20" s="74" t="e">
        <f t="shared" ca="1" si="33"/>
        <v>#REF!</v>
      </c>
      <c r="AA20" s="74" t="e">
        <f t="shared" ca="1" si="33"/>
        <v>#REF!</v>
      </c>
      <c r="AB20" s="74" t="e">
        <f t="shared" ca="1" si="33"/>
        <v>#REF!</v>
      </c>
      <c r="AC20" s="74" t="e">
        <f t="shared" ca="1" si="33"/>
        <v>#REF!</v>
      </c>
      <c r="AD20" s="74" t="e">
        <f t="shared" ca="1" si="33"/>
        <v>#REF!</v>
      </c>
      <c r="AE20" s="74" t="e">
        <f t="shared" ca="1" si="33"/>
        <v>#REF!</v>
      </c>
      <c r="AF20" s="74" t="e">
        <f t="shared" ca="1" si="33"/>
        <v>#REF!</v>
      </c>
      <c r="AG20" s="74" t="e">
        <f t="shared" ca="1" si="33"/>
        <v>#REF!</v>
      </c>
      <c r="AH20" s="74" t="e">
        <f t="shared" ca="1" si="33"/>
        <v>#REF!</v>
      </c>
      <c r="AI20" s="74" t="e">
        <f t="shared" ca="1" si="33"/>
        <v>#REF!</v>
      </c>
      <c r="AJ20" s="74" t="e">
        <f t="shared" ca="1" si="33"/>
        <v>#REF!</v>
      </c>
      <c r="AK20" s="74" t="e">
        <f t="shared" ca="1" si="33"/>
        <v>#REF!</v>
      </c>
      <c r="AL20" s="74" t="e">
        <f t="shared" ca="1" si="33"/>
        <v>#REF!</v>
      </c>
      <c r="AM20" s="74" t="e">
        <f t="shared" ca="1" si="33"/>
        <v>#REF!</v>
      </c>
      <c r="AN20" s="74" t="e">
        <f t="shared" ca="1" si="33"/>
        <v>#REF!</v>
      </c>
      <c r="AO20" s="74" t="e">
        <f t="shared" ca="1" si="33"/>
        <v>#REF!</v>
      </c>
      <c r="AP20" s="74" t="e">
        <f t="shared" ca="1" si="34"/>
        <v>#REF!</v>
      </c>
      <c r="AQ20" s="74" t="e">
        <f t="shared" ca="1" si="34"/>
        <v>#REF!</v>
      </c>
      <c r="AR20" s="74" t="e">
        <f t="shared" ca="1" si="34"/>
        <v>#REF!</v>
      </c>
      <c r="AS20" s="74" t="e">
        <f t="shared" ca="1" si="34"/>
        <v>#REF!</v>
      </c>
      <c r="AT20" s="74" t="e">
        <f t="shared" ca="1" si="34"/>
        <v>#REF!</v>
      </c>
      <c r="AU20" s="74" t="e">
        <f t="shared" ca="1" si="34"/>
        <v>#REF!</v>
      </c>
      <c r="AV20" s="74" t="e">
        <f t="shared" ca="1" si="34"/>
        <v>#REF!</v>
      </c>
      <c r="AW20" s="74" t="e">
        <f t="shared" ca="1" si="34"/>
        <v>#REF!</v>
      </c>
      <c r="AX20" s="74" t="e">
        <f t="shared" ca="1" si="34"/>
        <v>#REF!</v>
      </c>
      <c r="AY20" s="74" t="e">
        <f t="shared" ca="1" si="34"/>
        <v>#REF!</v>
      </c>
      <c r="AZ20" s="74" t="e">
        <f t="shared" ca="1" si="34"/>
        <v>#REF!</v>
      </c>
      <c r="BA20" s="74" t="e">
        <f t="shared" ca="1" si="34"/>
        <v>#REF!</v>
      </c>
      <c r="BB20" s="74" t="e">
        <f t="shared" ca="1" si="34"/>
        <v>#REF!</v>
      </c>
      <c r="BC20" s="74" t="e">
        <f t="shared" ca="1" si="34"/>
        <v>#REF!</v>
      </c>
      <c r="BD20" s="74" t="e">
        <f t="shared" ca="1" si="34"/>
        <v>#REF!</v>
      </c>
      <c r="BE20" s="74" t="e">
        <f t="shared" ca="1" si="34"/>
        <v>#REF!</v>
      </c>
      <c r="BF20" s="74" t="e">
        <f t="shared" ca="1" si="35"/>
        <v>#REF!</v>
      </c>
      <c r="BG20" s="74" t="e">
        <f t="shared" ca="1" si="35"/>
        <v>#REF!</v>
      </c>
      <c r="BH20" s="74" t="e">
        <f t="shared" ca="1" si="35"/>
        <v>#REF!</v>
      </c>
      <c r="BI20" s="74" t="e">
        <f t="shared" ca="1" si="35"/>
        <v>#REF!</v>
      </c>
      <c r="BJ20" s="74" t="e">
        <f t="shared" ca="1" si="35"/>
        <v>#REF!</v>
      </c>
      <c r="BK20" s="74" t="e">
        <f t="shared" ca="1" si="35"/>
        <v>#REF!</v>
      </c>
      <c r="BL20" s="74" t="e">
        <f t="shared" ca="1" si="35"/>
        <v>#REF!</v>
      </c>
      <c r="BM20" s="74" t="e">
        <f t="shared" ca="1" si="35"/>
        <v>#REF!</v>
      </c>
      <c r="BN20" s="74" t="e">
        <f t="shared" ca="1" si="35"/>
        <v>#REF!</v>
      </c>
      <c r="BO20" s="74" t="e">
        <f t="shared" ca="1" si="35"/>
        <v>#REF!</v>
      </c>
      <c r="BP20" s="74" t="e">
        <f t="shared" ca="1" si="35"/>
        <v>#REF!</v>
      </c>
      <c r="BQ20" s="74" t="e">
        <f t="shared" ca="1" si="35"/>
        <v>#REF!</v>
      </c>
      <c r="BR20" s="74" t="e">
        <f t="shared" ca="1" si="35"/>
        <v>#REF!</v>
      </c>
      <c r="BS20" s="74" t="e">
        <f t="shared" ca="1" si="35"/>
        <v>#REF!</v>
      </c>
      <c r="BT20" s="74" t="e">
        <f t="shared" ca="1" si="35"/>
        <v>#REF!</v>
      </c>
      <c r="BU20" s="74" t="e">
        <f t="shared" ca="1" si="35"/>
        <v>#REF!</v>
      </c>
      <c r="BV20" s="74" t="e">
        <f t="shared" ca="1" si="36"/>
        <v>#REF!</v>
      </c>
      <c r="BW20" s="74" t="e">
        <f t="shared" ca="1" si="36"/>
        <v>#REF!</v>
      </c>
      <c r="BX20" s="74" t="e">
        <f t="shared" ca="1" si="36"/>
        <v>#REF!</v>
      </c>
      <c r="BY20" s="74" t="e">
        <f t="shared" ca="1" si="36"/>
        <v>#REF!</v>
      </c>
      <c r="BZ20" s="74" t="e">
        <f t="shared" ca="1" si="36"/>
        <v>#REF!</v>
      </c>
      <c r="CA20" s="74" t="e">
        <f t="shared" ca="1" si="36"/>
        <v>#REF!</v>
      </c>
      <c r="CB20" s="74" t="e">
        <f t="shared" ca="1" si="36"/>
        <v>#REF!</v>
      </c>
      <c r="CC20" s="74" t="e">
        <f t="shared" ca="1" si="36"/>
        <v>#REF!</v>
      </c>
      <c r="CD20" s="74" t="e">
        <f t="shared" ca="1" si="36"/>
        <v>#REF!</v>
      </c>
      <c r="CE20" s="74" t="e">
        <f t="shared" ca="1" si="36"/>
        <v>#REF!</v>
      </c>
      <c r="CF20" s="74" t="e">
        <f t="shared" ca="1" si="36"/>
        <v>#REF!</v>
      </c>
      <c r="CG20" s="74" t="e">
        <f t="shared" ca="1" si="36"/>
        <v>#REF!</v>
      </c>
      <c r="CH20" s="74" t="e">
        <f t="shared" ca="1" si="36"/>
        <v>#REF!</v>
      </c>
      <c r="CI20" s="74" t="e">
        <f t="shared" ca="1" si="36"/>
        <v>#REF!</v>
      </c>
      <c r="CJ20" s="74" t="e">
        <f t="shared" ca="1" si="36"/>
        <v>#REF!</v>
      </c>
      <c r="CK20" s="74" t="e">
        <f t="shared" ca="1" si="36"/>
        <v>#REF!</v>
      </c>
      <c r="CL20" s="74" t="e">
        <f t="shared" ca="1" si="37"/>
        <v>#REF!</v>
      </c>
      <c r="CM20" s="74" t="e">
        <f t="shared" ca="1" si="37"/>
        <v>#REF!</v>
      </c>
      <c r="CN20" s="74" t="e">
        <f t="shared" ca="1" si="37"/>
        <v>#REF!</v>
      </c>
      <c r="CO20" s="74" t="e">
        <f t="shared" ca="1" si="37"/>
        <v>#REF!</v>
      </c>
      <c r="CP20" s="74" t="e">
        <f t="shared" ca="1" si="37"/>
        <v>#REF!</v>
      </c>
      <c r="CQ20" s="74" t="e">
        <f t="shared" ca="1" si="37"/>
        <v>#REF!</v>
      </c>
      <c r="CR20" s="74" t="e">
        <f t="shared" ca="1" si="37"/>
        <v>#REF!</v>
      </c>
      <c r="CS20" s="74" t="e">
        <f t="shared" ca="1" si="37"/>
        <v>#REF!</v>
      </c>
      <c r="CT20" s="74" t="e">
        <f t="shared" ca="1" si="37"/>
        <v>#REF!</v>
      </c>
      <c r="CU20" s="74" t="e">
        <f t="shared" ca="1" si="37"/>
        <v>#REF!</v>
      </c>
      <c r="CV20" s="74" t="e">
        <f t="shared" ca="1" si="37"/>
        <v>#REF!</v>
      </c>
      <c r="CW20" s="74" t="e">
        <f t="shared" ca="1" si="37"/>
        <v>#REF!</v>
      </c>
      <c r="CX20" s="74" t="e">
        <f t="shared" ca="1" si="37"/>
        <v>#REF!</v>
      </c>
      <c r="CY20" s="74" t="e">
        <f t="shared" ca="1" si="37"/>
        <v>#REF!</v>
      </c>
      <c r="CZ20" s="74" t="e">
        <f t="shared" ca="1" si="37"/>
        <v>#REF!</v>
      </c>
      <c r="DA20" s="74" t="e">
        <f t="shared" ca="1" si="37"/>
        <v>#REF!</v>
      </c>
      <c r="DB20" s="74" t="e">
        <f t="shared" ca="1" si="38"/>
        <v>#REF!</v>
      </c>
      <c r="DC20" s="74" t="e">
        <f t="shared" ca="1" si="38"/>
        <v>#REF!</v>
      </c>
      <c r="DD20" s="74" t="e">
        <f t="shared" ca="1" si="38"/>
        <v>#REF!</v>
      </c>
      <c r="DE20" s="74" t="e">
        <f t="shared" ca="1" si="38"/>
        <v>#REF!</v>
      </c>
      <c r="DF20" s="74" t="e">
        <f t="shared" ca="1" si="38"/>
        <v>#REF!</v>
      </c>
      <c r="DG20" s="74" t="e">
        <f t="shared" ca="1" si="38"/>
        <v>#REF!</v>
      </c>
      <c r="DH20" s="74" t="e">
        <f t="shared" ca="1" si="38"/>
        <v>#REF!</v>
      </c>
      <c r="DI20" s="74" t="e">
        <f t="shared" ca="1" si="38"/>
        <v>#REF!</v>
      </c>
      <c r="DJ20" s="74" t="e">
        <f t="shared" ca="1" si="38"/>
        <v>#REF!</v>
      </c>
      <c r="DK20" s="74" t="e">
        <f t="shared" ca="1" si="38"/>
        <v>#REF!</v>
      </c>
      <c r="DL20" s="74" t="e">
        <f t="shared" ca="1" si="38"/>
        <v>#REF!</v>
      </c>
      <c r="DM20" s="74" t="e">
        <f t="shared" ca="1" si="38"/>
        <v>#REF!</v>
      </c>
      <c r="DN20" s="74" t="e">
        <f t="shared" ca="1" si="38"/>
        <v>#REF!</v>
      </c>
      <c r="DO20" s="74" t="e">
        <f t="shared" ca="1" si="38"/>
        <v>#REF!</v>
      </c>
      <c r="DP20" s="74" t="e">
        <f t="shared" ca="1" si="38"/>
        <v>#REF!</v>
      </c>
      <c r="DQ20" s="74" t="e">
        <f t="shared" ca="1" si="38"/>
        <v>#REF!</v>
      </c>
      <c r="DR20" s="74" t="e">
        <f t="shared" ca="1" si="39"/>
        <v>#REF!</v>
      </c>
      <c r="DS20" s="74" t="e">
        <f t="shared" ca="1" si="39"/>
        <v>#REF!</v>
      </c>
      <c r="DT20" s="74" t="e">
        <f t="shared" ca="1" si="39"/>
        <v>#REF!</v>
      </c>
      <c r="DU20" s="74" t="e">
        <f t="shared" ca="1" si="39"/>
        <v>#REF!</v>
      </c>
      <c r="DV20" s="74" t="e">
        <f t="shared" ca="1" si="39"/>
        <v>#REF!</v>
      </c>
      <c r="DW20" s="74" t="e">
        <f t="shared" ca="1" si="39"/>
        <v>#REF!</v>
      </c>
      <c r="DX20" s="74" t="e">
        <f t="shared" ca="1" si="39"/>
        <v>#REF!</v>
      </c>
      <c r="DY20" s="74" t="e">
        <f t="shared" ca="1" si="39"/>
        <v>#REF!</v>
      </c>
      <c r="DZ20" s="74" t="e">
        <f t="shared" ca="1" si="39"/>
        <v>#REF!</v>
      </c>
      <c r="EA20" s="74" t="e">
        <f t="shared" ca="1" si="39"/>
        <v>#REF!</v>
      </c>
      <c r="EB20" s="74" t="e">
        <f t="shared" ca="1" si="39"/>
        <v>#REF!</v>
      </c>
      <c r="EC20" s="74" t="e">
        <f t="shared" ca="1" si="39"/>
        <v>#REF!</v>
      </c>
      <c r="ED20" s="74" t="e">
        <f t="shared" ca="1" si="39"/>
        <v>#REF!</v>
      </c>
      <c r="EE20" s="74" t="e">
        <f t="shared" ca="1" si="39"/>
        <v>#REF!</v>
      </c>
      <c r="EF20" s="74" t="e">
        <f t="shared" ca="1" si="39"/>
        <v>#REF!</v>
      </c>
      <c r="EG20" s="74" t="e">
        <f t="shared" ca="1" si="39"/>
        <v>#REF!</v>
      </c>
      <c r="EH20" s="74" t="e">
        <f t="shared" ca="1" si="40"/>
        <v>#REF!</v>
      </c>
      <c r="EI20" s="74" t="e">
        <f t="shared" ca="1" si="40"/>
        <v>#REF!</v>
      </c>
      <c r="EJ20" s="74" t="e">
        <f t="shared" ca="1" si="40"/>
        <v>#REF!</v>
      </c>
      <c r="EK20" s="74" t="e">
        <f t="shared" ca="1" si="40"/>
        <v>#REF!</v>
      </c>
      <c r="EL20" s="74" t="e">
        <f t="shared" ca="1" si="40"/>
        <v>#REF!</v>
      </c>
      <c r="EM20" s="74" t="e">
        <f t="shared" ca="1" si="40"/>
        <v>#REF!</v>
      </c>
      <c r="EN20" s="74" t="e">
        <f t="shared" ca="1" si="40"/>
        <v>#REF!</v>
      </c>
      <c r="EO20" s="74" t="e">
        <f t="shared" ca="1" si="40"/>
        <v>#REF!</v>
      </c>
      <c r="EP20" s="74" t="e">
        <f t="shared" ca="1" si="40"/>
        <v>#REF!</v>
      </c>
      <c r="EQ20" s="74" t="e">
        <f t="shared" ca="1" si="40"/>
        <v>#REF!</v>
      </c>
      <c r="ER20" s="74" t="e">
        <f t="shared" ca="1" si="40"/>
        <v>#REF!</v>
      </c>
      <c r="ES20" s="74" t="e">
        <f t="shared" ca="1" si="40"/>
        <v>#REF!</v>
      </c>
      <c r="ET20" s="74" t="e">
        <f t="shared" ca="1" si="40"/>
        <v>#REF!</v>
      </c>
      <c r="EU20" s="74" t="e">
        <f t="shared" ca="1" si="40"/>
        <v>#REF!</v>
      </c>
      <c r="EV20" s="74" t="e">
        <f t="shared" ca="1" si="40"/>
        <v>#REF!</v>
      </c>
      <c r="EW20" s="74" t="e">
        <f t="shared" ca="1" si="40"/>
        <v>#REF!</v>
      </c>
      <c r="EX20" s="74" t="e">
        <f t="shared" ca="1" si="41"/>
        <v>#REF!</v>
      </c>
      <c r="EY20" s="74" t="e">
        <f t="shared" ca="1" si="41"/>
        <v>#REF!</v>
      </c>
      <c r="EZ20" s="74" t="e">
        <f t="shared" ca="1" si="41"/>
        <v>#REF!</v>
      </c>
      <c r="FA20" s="74" t="e">
        <f t="shared" ca="1" si="41"/>
        <v>#REF!</v>
      </c>
      <c r="FB20" s="74" t="e">
        <f t="shared" ca="1" si="41"/>
        <v>#REF!</v>
      </c>
      <c r="FC20" s="74" t="e">
        <f t="shared" ca="1" si="41"/>
        <v>#REF!</v>
      </c>
      <c r="FD20" s="74" t="e">
        <f t="shared" ca="1" si="41"/>
        <v>#REF!</v>
      </c>
      <c r="FE20" s="74" t="e">
        <f t="shared" ca="1" si="41"/>
        <v>#REF!</v>
      </c>
      <c r="FF20" s="74" t="e">
        <f t="shared" ca="1" si="41"/>
        <v>#REF!</v>
      </c>
      <c r="FG20" s="74" t="e">
        <f t="shared" ca="1" si="41"/>
        <v>#REF!</v>
      </c>
      <c r="FH20" s="74" t="e">
        <f t="shared" ca="1" si="41"/>
        <v>#REF!</v>
      </c>
      <c r="FI20" s="74" t="e">
        <f t="shared" ca="1" si="41"/>
        <v>#REF!</v>
      </c>
      <c r="FJ20" s="74" t="e">
        <f t="shared" ca="1" si="41"/>
        <v>#REF!</v>
      </c>
      <c r="FK20" s="74" t="e">
        <f t="shared" ca="1" si="41"/>
        <v>#REF!</v>
      </c>
      <c r="FL20" s="74" t="e">
        <f t="shared" ca="1" si="41"/>
        <v>#REF!</v>
      </c>
      <c r="FM20" s="74" t="e">
        <f t="shared" ca="1" si="41"/>
        <v>#REF!</v>
      </c>
      <c r="FN20" s="74" t="e">
        <f t="shared" ca="1" si="42"/>
        <v>#REF!</v>
      </c>
      <c r="FO20" s="74" t="e">
        <f t="shared" ca="1" si="42"/>
        <v>#REF!</v>
      </c>
      <c r="FP20" s="74" t="e">
        <f t="shared" ca="1" si="42"/>
        <v>#REF!</v>
      </c>
      <c r="FQ20" s="74" t="e">
        <f t="shared" ca="1" si="42"/>
        <v>#REF!</v>
      </c>
      <c r="FR20" s="74" t="e">
        <f t="shared" ca="1" si="42"/>
        <v>#REF!</v>
      </c>
      <c r="FS20" s="74" t="e">
        <f t="shared" ca="1" si="42"/>
        <v>#REF!</v>
      </c>
      <c r="FT20" s="74" t="e">
        <f t="shared" ca="1" si="42"/>
        <v>#REF!</v>
      </c>
      <c r="FU20" s="74" t="e">
        <f t="shared" ca="1" si="42"/>
        <v>#REF!</v>
      </c>
      <c r="FV20" s="74" t="e">
        <f t="shared" ca="1" si="42"/>
        <v>#REF!</v>
      </c>
      <c r="FW20" s="74" t="e">
        <f t="shared" ca="1" si="42"/>
        <v>#REF!</v>
      </c>
      <c r="FX20" s="74" t="e">
        <f t="shared" ca="1" si="42"/>
        <v>#REF!</v>
      </c>
      <c r="FY20" s="74" t="e">
        <f t="shared" ca="1" si="42"/>
        <v>#REF!</v>
      </c>
      <c r="FZ20" s="74" t="e">
        <f t="shared" ca="1" si="42"/>
        <v>#REF!</v>
      </c>
      <c r="GA20" s="74" t="e">
        <f t="shared" ca="1" si="42"/>
        <v>#REF!</v>
      </c>
      <c r="GB20" s="74" t="e">
        <f t="shared" ca="1" si="42"/>
        <v>#REF!</v>
      </c>
      <c r="GC20" s="74" t="e">
        <f t="shared" ca="1" si="42"/>
        <v>#REF!</v>
      </c>
      <c r="GD20" s="74" t="e">
        <f t="shared" ca="1" si="43"/>
        <v>#REF!</v>
      </c>
      <c r="GE20" s="74" t="e">
        <f t="shared" ca="1" si="43"/>
        <v>#REF!</v>
      </c>
      <c r="GF20" s="74" t="e">
        <f t="shared" ca="1" si="43"/>
        <v>#REF!</v>
      </c>
      <c r="GG20" s="74" t="e">
        <f t="shared" ca="1" si="43"/>
        <v>#REF!</v>
      </c>
      <c r="GH20" s="74" t="e">
        <f t="shared" ca="1" si="43"/>
        <v>#REF!</v>
      </c>
      <c r="GI20" s="74" t="e">
        <f t="shared" ca="1" si="43"/>
        <v>#REF!</v>
      </c>
      <c r="GJ20" s="74" t="e">
        <f t="shared" ca="1" si="43"/>
        <v>#REF!</v>
      </c>
      <c r="GK20" s="74" t="e">
        <f t="shared" ca="1" si="43"/>
        <v>#REF!</v>
      </c>
      <c r="GL20" s="74" t="e">
        <f t="shared" ca="1" si="43"/>
        <v>#REF!</v>
      </c>
      <c r="GM20" s="74" t="e">
        <f t="shared" ca="1" si="43"/>
        <v>#REF!</v>
      </c>
      <c r="GN20" s="74" t="e">
        <f t="shared" ca="1" si="43"/>
        <v>#REF!</v>
      </c>
      <c r="GO20" s="74" t="e">
        <f t="shared" ca="1" si="43"/>
        <v>#REF!</v>
      </c>
      <c r="GP20" s="74" t="e">
        <f t="shared" ca="1" si="43"/>
        <v>#REF!</v>
      </c>
      <c r="GQ20" s="74" t="e">
        <f t="shared" ca="1" si="43"/>
        <v>#REF!</v>
      </c>
      <c r="GR20" s="74" t="e">
        <f t="shared" ca="1" si="43"/>
        <v>#REF!</v>
      </c>
      <c r="GS20" s="74" t="e">
        <f t="shared" ca="1" si="43"/>
        <v>#REF!</v>
      </c>
      <c r="GT20" s="74" t="e">
        <f t="shared" ca="1" si="44"/>
        <v>#REF!</v>
      </c>
      <c r="GU20" s="74" t="e">
        <f t="shared" ca="1" si="44"/>
        <v>#REF!</v>
      </c>
      <c r="GV20" s="74" t="e">
        <f t="shared" ca="1" si="44"/>
        <v>#REF!</v>
      </c>
      <c r="GW20" s="74" t="e">
        <f t="shared" ca="1" si="44"/>
        <v>#REF!</v>
      </c>
      <c r="GX20" s="74" t="e">
        <f t="shared" ca="1" si="44"/>
        <v>#REF!</v>
      </c>
      <c r="GY20" s="74" t="e">
        <f t="shared" ca="1" si="44"/>
        <v>#REF!</v>
      </c>
      <c r="GZ20" s="74" t="e">
        <f t="shared" ca="1" si="44"/>
        <v>#REF!</v>
      </c>
      <c r="HA20" s="74" t="e">
        <f t="shared" ca="1" si="44"/>
        <v>#REF!</v>
      </c>
      <c r="HB20" s="74" t="e">
        <f t="shared" ca="1" si="44"/>
        <v>#REF!</v>
      </c>
      <c r="HC20" s="74" t="e">
        <f t="shared" ca="1" si="44"/>
        <v>#REF!</v>
      </c>
      <c r="HD20" s="74" t="e">
        <f t="shared" ca="1" si="44"/>
        <v>#REF!</v>
      </c>
      <c r="HE20" s="74" t="e">
        <f t="shared" ca="1" si="44"/>
        <v>#REF!</v>
      </c>
      <c r="HF20" s="74" t="e">
        <f t="shared" ca="1" si="44"/>
        <v>#REF!</v>
      </c>
      <c r="HG20" s="74" t="e">
        <f t="shared" ca="1" si="44"/>
        <v>#REF!</v>
      </c>
      <c r="HH20" s="74" t="e">
        <f t="shared" ca="1" si="44"/>
        <v>#REF!</v>
      </c>
      <c r="HI20" s="74" t="e">
        <f t="shared" ca="1" si="44"/>
        <v>#REF!</v>
      </c>
      <c r="HJ20" s="74" t="e">
        <f t="shared" ca="1" si="45"/>
        <v>#REF!</v>
      </c>
      <c r="HK20" s="74" t="e">
        <f t="shared" ca="1" si="45"/>
        <v>#REF!</v>
      </c>
      <c r="HL20" s="74" t="e">
        <f t="shared" ca="1" si="45"/>
        <v>#REF!</v>
      </c>
      <c r="HM20" s="74" t="e">
        <f t="shared" ca="1" si="45"/>
        <v>#REF!</v>
      </c>
      <c r="HN20" s="74" t="e">
        <f t="shared" ca="1" si="45"/>
        <v>#REF!</v>
      </c>
      <c r="HO20" s="74" t="e">
        <f t="shared" ca="1" si="45"/>
        <v>#REF!</v>
      </c>
      <c r="HP20" s="74" t="e">
        <f t="shared" ca="1" si="45"/>
        <v>#REF!</v>
      </c>
      <c r="HQ20" s="74" t="e">
        <f t="shared" ca="1" si="45"/>
        <v>#REF!</v>
      </c>
      <c r="HR20" s="74" t="e">
        <f t="shared" ca="1" si="45"/>
        <v>#REF!</v>
      </c>
      <c r="HS20" s="74" t="e">
        <f t="shared" ca="1" si="45"/>
        <v>#REF!</v>
      </c>
      <c r="HT20" s="74" t="e">
        <f t="shared" ca="1" si="45"/>
        <v>#REF!</v>
      </c>
      <c r="HU20" s="74" t="e">
        <f t="shared" ca="1" si="45"/>
        <v>#REF!</v>
      </c>
      <c r="HV20" s="74" t="e">
        <f t="shared" ca="1" si="45"/>
        <v>#REF!</v>
      </c>
      <c r="HW20" s="74" t="e">
        <f t="shared" ca="1" si="45"/>
        <v>#REF!</v>
      </c>
      <c r="HX20" s="74" t="e">
        <f t="shared" ca="1" si="45"/>
        <v>#REF!</v>
      </c>
      <c r="HY20" s="74" t="e">
        <f t="shared" ca="1" si="45"/>
        <v>#REF!</v>
      </c>
      <c r="HZ20" s="74" t="e">
        <f t="shared" ca="1" si="46"/>
        <v>#REF!</v>
      </c>
      <c r="IA20" s="74" t="e">
        <f t="shared" ca="1" si="46"/>
        <v>#REF!</v>
      </c>
      <c r="IB20" s="74" t="e">
        <f t="shared" ca="1" si="46"/>
        <v>#REF!</v>
      </c>
      <c r="IC20" s="74" t="e">
        <f t="shared" ca="1" si="46"/>
        <v>#REF!</v>
      </c>
      <c r="ID20" s="74" t="e">
        <f t="shared" ca="1" si="46"/>
        <v>#REF!</v>
      </c>
      <c r="IE20" s="74" t="e">
        <f t="shared" ca="1" si="46"/>
        <v>#REF!</v>
      </c>
      <c r="IF20" s="74" t="e">
        <f t="shared" ca="1" si="46"/>
        <v>#REF!</v>
      </c>
      <c r="IG20" s="74" t="e">
        <f t="shared" ca="1" si="46"/>
        <v>#REF!</v>
      </c>
      <c r="IH20" s="74" t="e">
        <f t="shared" ca="1" si="46"/>
        <v>#REF!</v>
      </c>
      <c r="II20" s="74" t="e">
        <f t="shared" ca="1" si="46"/>
        <v>#REF!</v>
      </c>
      <c r="IJ20" s="74" t="e">
        <f t="shared" ca="1" si="46"/>
        <v>#REF!</v>
      </c>
      <c r="IK20" s="74" t="e">
        <f t="shared" ca="1" si="46"/>
        <v>#REF!</v>
      </c>
      <c r="IL20" s="74" t="e">
        <f t="shared" ca="1" si="46"/>
        <v>#REF!</v>
      </c>
      <c r="IM20" s="74" t="e">
        <f t="shared" ca="1" si="46"/>
        <v>#REF!</v>
      </c>
      <c r="IN20" s="74" t="e">
        <f t="shared" ca="1" si="46"/>
        <v>#REF!</v>
      </c>
      <c r="IO20" s="74" t="e">
        <f t="shared" ca="1" si="46"/>
        <v>#REF!</v>
      </c>
      <c r="IP20" s="74" t="e">
        <f t="shared" ca="1" si="47"/>
        <v>#REF!</v>
      </c>
      <c r="IQ20" s="74" t="e">
        <f t="shared" ca="1" si="47"/>
        <v>#REF!</v>
      </c>
      <c r="IR20" s="74" t="e">
        <f t="shared" ca="1" si="47"/>
        <v>#REF!</v>
      </c>
      <c r="IS20" s="74" t="e">
        <f t="shared" ca="1" si="47"/>
        <v>#REF!</v>
      </c>
      <c r="IT20" s="74" t="e">
        <f t="shared" ca="1" si="47"/>
        <v>#REF!</v>
      </c>
      <c r="IU20" s="74" t="e">
        <f t="shared" ca="1" si="47"/>
        <v>#REF!</v>
      </c>
      <c r="IV20" s="74" t="e">
        <f t="shared" ca="1" si="47"/>
        <v>#REF!</v>
      </c>
      <c r="IW20" s="74" t="e">
        <f t="shared" ca="1" si="47"/>
        <v>#REF!</v>
      </c>
      <c r="IX20" s="74" t="e">
        <f t="shared" ca="1" si="47"/>
        <v>#REF!</v>
      </c>
      <c r="IY20" s="74" t="e">
        <f t="shared" ca="1" si="47"/>
        <v>#REF!</v>
      </c>
      <c r="IZ20" s="74" t="e">
        <f t="shared" ca="1" si="47"/>
        <v>#REF!</v>
      </c>
      <c r="JA20" s="74" t="e">
        <f t="shared" ca="1" si="47"/>
        <v>#REF!</v>
      </c>
      <c r="JB20" s="74" t="e">
        <f t="shared" ca="1" si="47"/>
        <v>#REF!</v>
      </c>
      <c r="JC20" s="74" t="e">
        <f t="shared" ca="1" si="47"/>
        <v>#REF!</v>
      </c>
      <c r="JD20" s="74" t="e">
        <f t="shared" ca="1" si="47"/>
        <v>#REF!</v>
      </c>
      <c r="JE20" s="74" t="e">
        <f t="shared" ca="1" si="47"/>
        <v>#REF!</v>
      </c>
      <c r="JF20" s="74" t="e">
        <f t="shared" ca="1" si="48"/>
        <v>#REF!</v>
      </c>
      <c r="JG20" s="74" t="e">
        <f t="shared" ca="1" si="48"/>
        <v>#REF!</v>
      </c>
      <c r="JH20" s="74" t="e">
        <f t="shared" ca="1" si="48"/>
        <v>#REF!</v>
      </c>
      <c r="JI20" s="74" t="e">
        <f t="shared" ca="1" si="48"/>
        <v>#REF!</v>
      </c>
      <c r="JJ20" s="74" t="e">
        <f t="shared" ca="1" si="48"/>
        <v>#REF!</v>
      </c>
      <c r="JK20" s="74" t="e">
        <f t="shared" ca="1" si="48"/>
        <v>#REF!</v>
      </c>
      <c r="JL20" s="74" t="e">
        <f t="shared" ca="1" si="48"/>
        <v>#REF!</v>
      </c>
      <c r="JM20" s="74" t="e">
        <f t="shared" ca="1" si="48"/>
        <v>#REF!</v>
      </c>
      <c r="JN20" s="74" t="e">
        <f t="shared" ca="1" si="48"/>
        <v>#REF!</v>
      </c>
      <c r="JO20" s="74" t="e">
        <f t="shared" ca="1" si="48"/>
        <v>#REF!</v>
      </c>
      <c r="JP20" s="74" t="e">
        <f t="shared" ca="1" si="48"/>
        <v>#REF!</v>
      </c>
      <c r="JQ20" s="74" t="e">
        <f t="shared" ca="1" si="48"/>
        <v>#REF!</v>
      </c>
      <c r="JR20" s="74" t="e">
        <f t="shared" ca="1" si="48"/>
        <v>#REF!</v>
      </c>
      <c r="JS20" s="74" t="e">
        <f t="shared" ca="1" si="48"/>
        <v>#REF!</v>
      </c>
      <c r="JT20" s="74" t="e">
        <f t="shared" ca="1" si="48"/>
        <v>#REF!</v>
      </c>
      <c r="JU20" s="74" t="e">
        <f t="shared" ca="1" si="48"/>
        <v>#REF!</v>
      </c>
      <c r="JV20" s="74" t="e">
        <f t="shared" ca="1" si="49"/>
        <v>#REF!</v>
      </c>
      <c r="JW20" s="74" t="e">
        <f t="shared" ca="1" si="49"/>
        <v>#REF!</v>
      </c>
      <c r="JX20" s="74" t="e">
        <f t="shared" ca="1" si="49"/>
        <v>#REF!</v>
      </c>
      <c r="JY20" s="74" t="e">
        <f t="shared" ca="1" si="49"/>
        <v>#REF!</v>
      </c>
      <c r="JZ20" s="74" t="e">
        <f t="shared" ca="1" si="49"/>
        <v>#REF!</v>
      </c>
      <c r="KA20" s="74" t="e">
        <f t="shared" ca="1" si="49"/>
        <v>#REF!</v>
      </c>
      <c r="KB20" s="74" t="e">
        <f t="shared" ca="1" si="49"/>
        <v>#REF!</v>
      </c>
      <c r="KC20" s="74" t="e">
        <f t="shared" ca="1" si="49"/>
        <v>#REF!</v>
      </c>
      <c r="KD20" s="74" t="e">
        <f t="shared" ca="1" si="49"/>
        <v>#REF!</v>
      </c>
      <c r="KE20" s="74" t="e">
        <f t="shared" ca="1" si="49"/>
        <v>#REF!</v>
      </c>
      <c r="KF20" s="74" t="e">
        <f t="shared" ca="1" si="49"/>
        <v>#REF!</v>
      </c>
      <c r="KG20" s="74" t="e">
        <f t="shared" ca="1" si="49"/>
        <v>#REF!</v>
      </c>
      <c r="KH20" s="74" t="e">
        <f t="shared" ca="1" si="49"/>
        <v>#REF!</v>
      </c>
      <c r="KI20" s="74" t="e">
        <f t="shared" ca="1" si="49"/>
        <v>#REF!</v>
      </c>
      <c r="KJ20" s="74" t="e">
        <f t="shared" ca="1" si="49"/>
        <v>#REF!</v>
      </c>
      <c r="KK20" s="74" t="e">
        <f t="shared" ca="1" si="49"/>
        <v>#REF!</v>
      </c>
      <c r="KL20" s="74" t="e">
        <f t="shared" ca="1" si="50"/>
        <v>#REF!</v>
      </c>
      <c r="KM20" s="74" t="e">
        <f t="shared" ca="1" si="50"/>
        <v>#REF!</v>
      </c>
      <c r="KN20" s="74" t="e">
        <f t="shared" ca="1" si="50"/>
        <v>#REF!</v>
      </c>
      <c r="KO20" s="74" t="e">
        <f t="shared" ca="1" si="50"/>
        <v>#REF!</v>
      </c>
      <c r="KP20" s="74" t="e">
        <f t="shared" ca="1" si="50"/>
        <v>#REF!</v>
      </c>
      <c r="KQ20" s="74" t="e">
        <f t="shared" ca="1" si="50"/>
        <v>#REF!</v>
      </c>
      <c r="KR20" s="74" t="e">
        <f t="shared" ca="1" si="50"/>
        <v>#REF!</v>
      </c>
      <c r="KS20" s="74" t="e">
        <f t="shared" ca="1" si="50"/>
        <v>#REF!</v>
      </c>
      <c r="KT20" s="74" t="e">
        <f t="shared" ca="1" si="50"/>
        <v>#REF!</v>
      </c>
      <c r="KU20" s="74" t="e">
        <f t="shared" ca="1" si="50"/>
        <v>#REF!</v>
      </c>
      <c r="KV20" s="74" t="e">
        <f t="shared" ca="1" si="50"/>
        <v>#REF!</v>
      </c>
      <c r="KW20" s="74" t="e">
        <f t="shared" ca="1" si="50"/>
        <v>#REF!</v>
      </c>
      <c r="KX20" s="74" t="e">
        <f t="shared" ca="1" si="50"/>
        <v>#REF!</v>
      </c>
      <c r="KY20" s="74" t="e">
        <f t="shared" ca="1" si="50"/>
        <v>#REF!</v>
      </c>
      <c r="KZ20" s="74" t="e">
        <f t="shared" ca="1" si="50"/>
        <v>#REF!</v>
      </c>
      <c r="LA20" s="74" t="e">
        <f t="shared" ca="1" si="50"/>
        <v>#REF!</v>
      </c>
      <c r="LB20" s="74" t="e">
        <f t="shared" ca="1" si="51"/>
        <v>#REF!</v>
      </c>
      <c r="LC20" s="74" t="e">
        <f t="shared" ca="1" si="51"/>
        <v>#REF!</v>
      </c>
      <c r="LD20" s="74" t="e">
        <f t="shared" ca="1" si="51"/>
        <v>#REF!</v>
      </c>
      <c r="LE20" s="74" t="e">
        <f t="shared" ca="1" si="51"/>
        <v>#REF!</v>
      </c>
      <c r="LF20" s="74" t="e">
        <f t="shared" ca="1" si="51"/>
        <v>#REF!</v>
      </c>
      <c r="LG20" s="74" t="e">
        <f t="shared" ca="1" si="51"/>
        <v>#REF!</v>
      </c>
      <c r="LH20" s="74" t="e">
        <f t="shared" ca="1" si="51"/>
        <v>#REF!</v>
      </c>
      <c r="LI20" s="74" t="e">
        <f t="shared" ca="1" si="51"/>
        <v>#REF!</v>
      </c>
      <c r="LJ20" s="74" t="e">
        <f t="shared" ca="1" si="51"/>
        <v>#REF!</v>
      </c>
      <c r="LK20" s="74" t="e">
        <f t="shared" ca="1" si="51"/>
        <v>#REF!</v>
      </c>
      <c r="LL20" s="74" t="e">
        <f t="shared" ca="1" si="51"/>
        <v>#REF!</v>
      </c>
      <c r="LM20" s="74" t="e">
        <f t="shared" ca="1" si="51"/>
        <v>#REF!</v>
      </c>
      <c r="LN20" s="74" t="e">
        <f t="shared" ca="1" si="51"/>
        <v>#REF!</v>
      </c>
      <c r="LO20" s="74" t="e">
        <f t="shared" ca="1" si="51"/>
        <v>#REF!</v>
      </c>
      <c r="LP20" s="74" t="e">
        <f t="shared" ca="1" si="51"/>
        <v>#REF!</v>
      </c>
      <c r="LQ20" s="74" t="e">
        <f t="shared" ca="1" si="51"/>
        <v>#REF!</v>
      </c>
      <c r="LR20" s="74" t="e">
        <f t="shared" ca="1" si="52"/>
        <v>#REF!</v>
      </c>
      <c r="LS20" s="74" t="e">
        <f t="shared" ca="1" si="52"/>
        <v>#REF!</v>
      </c>
      <c r="LT20" s="74" t="e">
        <f t="shared" ca="1" si="52"/>
        <v>#REF!</v>
      </c>
      <c r="LU20" s="74" t="e">
        <f t="shared" ca="1" si="52"/>
        <v>#REF!</v>
      </c>
      <c r="LV20" s="74" t="e">
        <f t="shared" ca="1" si="52"/>
        <v>#REF!</v>
      </c>
      <c r="LW20" s="74" t="e">
        <f t="shared" ca="1" si="52"/>
        <v>#REF!</v>
      </c>
      <c r="LX20" s="74" t="e">
        <f t="shared" ca="1" si="52"/>
        <v>#REF!</v>
      </c>
      <c r="LY20" s="74" t="e">
        <f t="shared" ca="1" si="52"/>
        <v>#REF!</v>
      </c>
      <c r="LZ20" s="74" t="e">
        <f t="shared" ca="1" si="52"/>
        <v>#REF!</v>
      </c>
      <c r="MA20" s="74" t="e">
        <f t="shared" ca="1" si="52"/>
        <v>#REF!</v>
      </c>
      <c r="MB20" s="74" t="e">
        <f t="shared" ca="1" si="52"/>
        <v>#REF!</v>
      </c>
      <c r="MC20" s="74" t="e">
        <f t="shared" ca="1" si="52"/>
        <v>#REF!</v>
      </c>
      <c r="MD20" s="74" t="e">
        <f t="shared" ca="1" si="52"/>
        <v>#REF!</v>
      </c>
      <c r="ME20" s="74" t="e">
        <f t="shared" ca="1" si="52"/>
        <v>#REF!</v>
      </c>
      <c r="MF20" s="74" t="e">
        <f t="shared" ca="1" si="52"/>
        <v>#REF!</v>
      </c>
      <c r="MG20" s="74" t="e">
        <f t="shared" ca="1" si="52"/>
        <v>#REF!</v>
      </c>
      <c r="MH20" s="74" t="e">
        <f t="shared" ca="1" si="53"/>
        <v>#REF!</v>
      </c>
      <c r="MI20" s="74" t="e">
        <f t="shared" ca="1" si="53"/>
        <v>#REF!</v>
      </c>
      <c r="MJ20" s="74" t="e">
        <f t="shared" ca="1" si="53"/>
        <v>#REF!</v>
      </c>
      <c r="MK20" s="74" t="e">
        <f t="shared" ca="1" si="53"/>
        <v>#REF!</v>
      </c>
      <c r="ML20" s="74" t="e">
        <f t="shared" ca="1" si="53"/>
        <v>#REF!</v>
      </c>
      <c r="MM20" s="74" t="e">
        <f t="shared" ca="1" si="53"/>
        <v>#REF!</v>
      </c>
      <c r="MN20" s="74" t="e">
        <f t="shared" ca="1" si="53"/>
        <v>#REF!</v>
      </c>
      <c r="MO20" s="74" t="e">
        <f t="shared" ca="1" si="53"/>
        <v>#REF!</v>
      </c>
      <c r="MP20" s="74" t="e">
        <f t="shared" ca="1" si="53"/>
        <v>#REF!</v>
      </c>
      <c r="MQ20" s="74" t="e">
        <f t="shared" ca="1" si="53"/>
        <v>#REF!</v>
      </c>
      <c r="MR20" s="74" t="e">
        <f t="shared" ca="1" si="53"/>
        <v>#REF!</v>
      </c>
      <c r="MS20" s="74" t="e">
        <f t="shared" ca="1" si="53"/>
        <v>#REF!</v>
      </c>
      <c r="MT20" s="74" t="e">
        <f t="shared" ca="1" si="53"/>
        <v>#REF!</v>
      </c>
      <c r="MU20" s="74" t="e">
        <f t="shared" ca="1" si="53"/>
        <v>#REF!</v>
      </c>
      <c r="MV20" s="74" t="e">
        <f t="shared" ca="1" si="53"/>
        <v>#REF!</v>
      </c>
      <c r="MW20" s="74" t="e">
        <f t="shared" ca="1" si="53"/>
        <v>#REF!</v>
      </c>
      <c r="MX20" s="74" t="e">
        <f t="shared" ca="1" si="54"/>
        <v>#REF!</v>
      </c>
      <c r="MY20" s="74" t="e">
        <f t="shared" ca="1" si="54"/>
        <v>#REF!</v>
      </c>
      <c r="MZ20" s="74" t="e">
        <f t="shared" ca="1" si="54"/>
        <v>#REF!</v>
      </c>
      <c r="NA20" s="74" t="e">
        <f t="shared" ca="1" si="54"/>
        <v>#REF!</v>
      </c>
      <c r="NB20" s="74" t="e">
        <f t="shared" ca="1" si="54"/>
        <v>#REF!</v>
      </c>
      <c r="NC20" s="74" t="e">
        <f t="shared" ca="1" si="54"/>
        <v>#REF!</v>
      </c>
      <c r="ND20" s="74" t="e">
        <f t="shared" ca="1" si="54"/>
        <v>#REF!</v>
      </c>
      <c r="NE20" s="74" t="e">
        <f t="shared" ca="1" si="54"/>
        <v>#REF!</v>
      </c>
      <c r="NF20" s="74" t="e">
        <f t="shared" ca="1" si="54"/>
        <v>#REF!</v>
      </c>
      <c r="NG20" s="74" t="e">
        <f t="shared" ca="1" si="54"/>
        <v>#REF!</v>
      </c>
      <c r="NH20" s="74" t="e">
        <f t="shared" ca="1" si="54"/>
        <v>#REF!</v>
      </c>
      <c r="NI20" s="74" t="e">
        <f t="shared" ca="1" si="54"/>
        <v>#REF!</v>
      </c>
      <c r="NJ20" s="74" t="e">
        <f t="shared" ca="1" si="54"/>
        <v>#REF!</v>
      </c>
      <c r="NK20" s="74" t="e">
        <f t="shared" ca="1" si="54"/>
        <v>#REF!</v>
      </c>
      <c r="NL20" s="74" t="e">
        <f t="shared" ca="1" si="54"/>
        <v>#REF!</v>
      </c>
      <c r="NM20" s="74" t="e">
        <f t="shared" ca="1" si="54"/>
        <v>#REF!</v>
      </c>
      <c r="NN20" s="74" t="e">
        <f t="shared" ca="1" si="55"/>
        <v>#REF!</v>
      </c>
      <c r="NO20" s="74" t="e">
        <f t="shared" ca="1" si="55"/>
        <v>#REF!</v>
      </c>
      <c r="NP20" s="74" t="e">
        <f t="shared" ca="1" si="55"/>
        <v>#REF!</v>
      </c>
      <c r="NQ20" s="74" t="e">
        <f t="shared" ca="1" si="55"/>
        <v>#REF!</v>
      </c>
      <c r="NR20" s="74" t="e">
        <f t="shared" ca="1" si="55"/>
        <v>#REF!</v>
      </c>
      <c r="NS20" s="74" t="e">
        <f t="shared" ca="1" si="55"/>
        <v>#REF!</v>
      </c>
      <c r="NT20" s="74" t="e">
        <f t="shared" ca="1" si="55"/>
        <v>#REF!</v>
      </c>
      <c r="NU20" s="74" t="e">
        <f t="shared" ca="1" si="55"/>
        <v>#REF!</v>
      </c>
      <c r="NV20" s="74" t="e">
        <f t="shared" ca="1" si="55"/>
        <v>#REF!</v>
      </c>
      <c r="NW20" s="74" t="e">
        <f t="shared" ca="1" si="55"/>
        <v>#REF!</v>
      </c>
      <c r="NX20" s="74" t="e">
        <f t="shared" ca="1" si="55"/>
        <v>#REF!</v>
      </c>
      <c r="NY20" s="74" t="e">
        <f t="shared" ca="1" si="55"/>
        <v>#REF!</v>
      </c>
      <c r="NZ20" s="74" t="e">
        <f t="shared" ca="1" si="55"/>
        <v>#REF!</v>
      </c>
      <c r="OA20" s="74" t="e">
        <f t="shared" ca="1" si="55"/>
        <v>#REF!</v>
      </c>
      <c r="OB20" s="74" t="e">
        <f t="shared" ca="1" si="55"/>
        <v>#REF!</v>
      </c>
      <c r="OC20" s="74" t="e">
        <f t="shared" ca="1" si="55"/>
        <v>#REF!</v>
      </c>
      <c r="OD20" s="74" t="e">
        <f t="shared" ca="1" si="56"/>
        <v>#REF!</v>
      </c>
      <c r="OE20" s="74" t="e">
        <f t="shared" ca="1" si="56"/>
        <v>#REF!</v>
      </c>
      <c r="OF20" s="74" t="e">
        <f t="shared" ca="1" si="56"/>
        <v>#REF!</v>
      </c>
      <c r="OG20" s="74" t="e">
        <f t="shared" ca="1" si="56"/>
        <v>#REF!</v>
      </c>
      <c r="OH20" s="74" t="e">
        <f t="shared" ca="1" si="56"/>
        <v>#REF!</v>
      </c>
      <c r="OI20" s="74" t="e">
        <f t="shared" ca="1" si="56"/>
        <v>#REF!</v>
      </c>
      <c r="OJ20" s="74" t="e">
        <f t="shared" ca="1" si="56"/>
        <v>#REF!</v>
      </c>
      <c r="OK20" s="74" t="e">
        <f t="shared" ca="1" si="56"/>
        <v>#REF!</v>
      </c>
      <c r="OL20" s="74" t="e">
        <f t="shared" ca="1" si="56"/>
        <v>#REF!</v>
      </c>
      <c r="OM20" s="74" t="e">
        <f t="shared" ca="1" si="56"/>
        <v>#REF!</v>
      </c>
      <c r="ON20" s="74" t="e">
        <f t="shared" ca="1" si="56"/>
        <v>#REF!</v>
      </c>
      <c r="OO20" s="74" t="e">
        <f t="shared" ca="1" si="56"/>
        <v>#REF!</v>
      </c>
      <c r="OP20" s="74" t="e">
        <f t="shared" ca="1" si="56"/>
        <v>#REF!</v>
      </c>
      <c r="OQ20" s="74" t="e">
        <f t="shared" ca="1" si="56"/>
        <v>#REF!</v>
      </c>
      <c r="OR20" s="74" t="e">
        <f t="shared" ca="1" si="56"/>
        <v>#REF!</v>
      </c>
      <c r="OS20" s="74" t="e">
        <f t="shared" ca="1" si="56"/>
        <v>#REF!</v>
      </c>
      <c r="OT20" s="74" t="e">
        <f t="shared" ca="1" si="57"/>
        <v>#REF!</v>
      </c>
      <c r="OU20" s="74" t="e">
        <f t="shared" ca="1" si="57"/>
        <v>#REF!</v>
      </c>
      <c r="OV20" s="74" t="e">
        <f t="shared" ca="1" si="57"/>
        <v>#REF!</v>
      </c>
      <c r="OW20" s="74" t="e">
        <f t="shared" ca="1" si="57"/>
        <v>#REF!</v>
      </c>
      <c r="OX20" s="74" t="e">
        <f t="shared" ca="1" si="57"/>
        <v>#REF!</v>
      </c>
      <c r="OY20" s="74" t="e">
        <f t="shared" ca="1" si="57"/>
        <v>#REF!</v>
      </c>
      <c r="OZ20" s="74" t="e">
        <f t="shared" ca="1" si="57"/>
        <v>#REF!</v>
      </c>
      <c r="PA20" s="74" t="e">
        <f t="shared" ca="1" si="57"/>
        <v>#REF!</v>
      </c>
      <c r="PB20" s="74" t="e">
        <f t="shared" ca="1" si="57"/>
        <v>#REF!</v>
      </c>
      <c r="PC20" s="74" t="e">
        <f t="shared" ca="1" si="57"/>
        <v>#REF!</v>
      </c>
      <c r="PD20" s="74" t="e">
        <f t="shared" ca="1" si="57"/>
        <v>#REF!</v>
      </c>
      <c r="PE20" s="74" t="e">
        <f t="shared" ca="1" si="57"/>
        <v>#REF!</v>
      </c>
      <c r="PF20" s="74" t="e">
        <f t="shared" ca="1" si="57"/>
        <v>#REF!</v>
      </c>
      <c r="PG20" s="74" t="e">
        <f t="shared" ca="1" si="57"/>
        <v>#REF!</v>
      </c>
      <c r="PH20" s="74" t="e">
        <f t="shared" ca="1" si="57"/>
        <v>#REF!</v>
      </c>
      <c r="PI20" s="74" t="e">
        <f t="shared" ca="1" si="57"/>
        <v>#REF!</v>
      </c>
      <c r="PJ20" s="74" t="e">
        <f t="shared" ca="1" si="58"/>
        <v>#REF!</v>
      </c>
      <c r="PK20" s="74" t="e">
        <f t="shared" ca="1" si="58"/>
        <v>#REF!</v>
      </c>
      <c r="PL20" s="74" t="e">
        <f t="shared" ca="1" si="58"/>
        <v>#REF!</v>
      </c>
      <c r="PM20" s="74" t="e">
        <f t="shared" ca="1" si="58"/>
        <v>#REF!</v>
      </c>
      <c r="PN20" s="74" t="e">
        <f t="shared" ca="1" si="58"/>
        <v>#REF!</v>
      </c>
      <c r="PO20" s="74" t="e">
        <f t="shared" ca="1" si="58"/>
        <v>#REF!</v>
      </c>
      <c r="PP20" s="74" t="e">
        <f t="shared" ca="1" si="58"/>
        <v>#REF!</v>
      </c>
      <c r="PQ20" s="74" t="e">
        <f t="shared" ca="1" si="58"/>
        <v>#REF!</v>
      </c>
      <c r="PR20" s="74" t="e">
        <f t="shared" ca="1" si="58"/>
        <v>#REF!</v>
      </c>
      <c r="PS20" s="74" t="e">
        <f t="shared" ca="1" si="58"/>
        <v>#REF!</v>
      </c>
      <c r="PT20" s="74" t="e">
        <f t="shared" ca="1" si="58"/>
        <v>#REF!</v>
      </c>
      <c r="PU20" s="74" t="e">
        <f t="shared" ca="1" si="58"/>
        <v>#REF!</v>
      </c>
      <c r="PV20" s="74" t="e">
        <f t="shared" ca="1" si="58"/>
        <v>#REF!</v>
      </c>
      <c r="PW20" s="74" t="e">
        <f t="shared" ca="1" si="58"/>
        <v>#REF!</v>
      </c>
      <c r="PX20" s="74" t="e">
        <f t="shared" ca="1" si="58"/>
        <v>#REF!</v>
      </c>
      <c r="PY20" s="74" t="e">
        <f t="shared" ca="1" si="58"/>
        <v>#REF!</v>
      </c>
      <c r="PZ20" s="74" t="e">
        <f t="shared" ca="1" si="59"/>
        <v>#REF!</v>
      </c>
      <c r="QA20" s="74" t="e">
        <f t="shared" ca="1" si="59"/>
        <v>#REF!</v>
      </c>
      <c r="QB20" s="74" t="e">
        <f t="shared" ca="1" si="59"/>
        <v>#REF!</v>
      </c>
      <c r="QC20" s="74" t="e">
        <f t="shared" ca="1" si="59"/>
        <v>#REF!</v>
      </c>
      <c r="QD20" s="74" t="e">
        <f t="shared" ca="1" si="59"/>
        <v>#REF!</v>
      </c>
      <c r="QE20" s="74" t="e">
        <f t="shared" ca="1" si="59"/>
        <v>#REF!</v>
      </c>
      <c r="QF20" s="74" t="e">
        <f t="shared" ca="1" si="59"/>
        <v>#REF!</v>
      </c>
      <c r="QG20" s="74" t="e">
        <f t="shared" ca="1" si="59"/>
        <v>#REF!</v>
      </c>
      <c r="QH20" s="74" t="e">
        <f t="shared" ca="1" si="59"/>
        <v>#REF!</v>
      </c>
      <c r="QI20" s="74" t="e">
        <f t="shared" ca="1" si="59"/>
        <v>#REF!</v>
      </c>
      <c r="QJ20" s="74" t="e">
        <f t="shared" ca="1" si="59"/>
        <v>#REF!</v>
      </c>
      <c r="QK20" s="74" t="e">
        <f t="shared" ca="1" si="59"/>
        <v>#REF!</v>
      </c>
      <c r="QL20" s="74" t="e">
        <f t="shared" ca="1" si="59"/>
        <v>#REF!</v>
      </c>
      <c r="QM20" s="74" t="e">
        <f t="shared" ca="1" si="59"/>
        <v>#REF!</v>
      </c>
      <c r="QN20" s="74" t="e">
        <f t="shared" ca="1" si="59"/>
        <v>#REF!</v>
      </c>
      <c r="QO20" s="74" t="e">
        <f t="shared" ca="1" si="59"/>
        <v>#REF!</v>
      </c>
      <c r="QP20" s="74" t="e">
        <f t="shared" ca="1" si="60"/>
        <v>#REF!</v>
      </c>
      <c r="QQ20" s="74" t="e">
        <f t="shared" ca="1" si="60"/>
        <v>#REF!</v>
      </c>
      <c r="QR20" s="74" t="e">
        <f t="shared" ca="1" si="60"/>
        <v>#REF!</v>
      </c>
      <c r="QS20" s="74" t="e">
        <f t="shared" ca="1" si="60"/>
        <v>#REF!</v>
      </c>
      <c r="QT20" s="74" t="e">
        <f t="shared" ca="1" si="60"/>
        <v>#REF!</v>
      </c>
      <c r="QU20" s="74" t="e">
        <f t="shared" ca="1" si="60"/>
        <v>#REF!</v>
      </c>
      <c r="QV20" s="74" t="e">
        <f t="shared" ca="1" si="60"/>
        <v>#REF!</v>
      </c>
      <c r="QW20" s="74" t="e">
        <f t="shared" ca="1" si="60"/>
        <v>#REF!</v>
      </c>
      <c r="QX20" s="74" t="e">
        <f t="shared" ca="1" si="60"/>
        <v>#REF!</v>
      </c>
      <c r="QY20" s="74" t="e">
        <f t="shared" ca="1" si="60"/>
        <v>#REF!</v>
      </c>
      <c r="QZ20" s="74" t="e">
        <f t="shared" ca="1" si="60"/>
        <v>#REF!</v>
      </c>
      <c r="RA20" s="74" t="e">
        <f t="shared" ca="1" si="60"/>
        <v>#REF!</v>
      </c>
      <c r="RB20" s="74" t="e">
        <f t="shared" ca="1" si="60"/>
        <v>#REF!</v>
      </c>
      <c r="RC20" s="74" t="e">
        <f t="shared" ca="1" si="60"/>
        <v>#REF!</v>
      </c>
      <c r="RD20" s="74" t="e">
        <f t="shared" ca="1" si="60"/>
        <v>#REF!</v>
      </c>
      <c r="RE20" s="74" t="e">
        <f t="shared" ca="1" si="60"/>
        <v>#REF!</v>
      </c>
      <c r="RF20" s="74" t="e">
        <f t="shared" ca="1" si="61"/>
        <v>#REF!</v>
      </c>
      <c r="RG20" s="74" t="e">
        <f t="shared" ca="1" si="61"/>
        <v>#REF!</v>
      </c>
      <c r="RH20" s="74" t="e">
        <f t="shared" ca="1" si="61"/>
        <v>#REF!</v>
      </c>
      <c r="RI20" s="74" t="e">
        <f t="shared" ca="1" si="61"/>
        <v>#REF!</v>
      </c>
      <c r="RJ20" s="74" t="e">
        <f t="shared" ca="1" si="61"/>
        <v>#REF!</v>
      </c>
      <c r="RK20" s="74" t="e">
        <f t="shared" ca="1" si="61"/>
        <v>#REF!</v>
      </c>
      <c r="RL20" s="74" t="e">
        <f t="shared" ca="1" si="61"/>
        <v>#REF!</v>
      </c>
      <c r="RM20" s="74" t="e">
        <f t="shared" ca="1" si="61"/>
        <v>#REF!</v>
      </c>
      <c r="RN20" s="74" t="e">
        <f t="shared" ca="1" si="61"/>
        <v>#REF!</v>
      </c>
      <c r="RO20" s="74" t="e">
        <f t="shared" ca="1" si="61"/>
        <v>#REF!</v>
      </c>
      <c r="RP20" s="74" t="e">
        <f t="shared" ca="1" si="61"/>
        <v>#REF!</v>
      </c>
      <c r="RQ20" s="74" t="e">
        <f t="shared" ca="1" si="61"/>
        <v>#REF!</v>
      </c>
      <c r="RR20" s="74" t="e">
        <f t="shared" ca="1" si="61"/>
        <v>#REF!</v>
      </c>
      <c r="RS20" s="74" t="e">
        <f t="shared" ca="1" si="61"/>
        <v>#REF!</v>
      </c>
      <c r="RT20" s="74" t="e">
        <f t="shared" ca="1" si="61"/>
        <v>#REF!</v>
      </c>
      <c r="RU20" s="74" t="e">
        <f t="shared" ca="1" si="61"/>
        <v>#REF!</v>
      </c>
      <c r="RV20" s="74" t="e">
        <f t="shared" ca="1" si="62"/>
        <v>#REF!</v>
      </c>
      <c r="RW20" s="74" t="e">
        <f t="shared" ca="1" si="62"/>
        <v>#REF!</v>
      </c>
      <c r="RX20" s="74" t="e">
        <f t="shared" ca="1" si="62"/>
        <v>#REF!</v>
      </c>
      <c r="RY20" s="74" t="e">
        <f t="shared" ca="1" si="62"/>
        <v>#REF!</v>
      </c>
      <c r="RZ20" s="74" t="e">
        <f t="shared" ca="1" si="62"/>
        <v>#REF!</v>
      </c>
      <c r="SA20" s="74" t="e">
        <f t="shared" ca="1" si="62"/>
        <v>#REF!</v>
      </c>
      <c r="SB20" s="74" t="e">
        <f t="shared" ca="1" si="62"/>
        <v>#REF!</v>
      </c>
      <c r="SC20" s="74" t="e">
        <f t="shared" ca="1" si="62"/>
        <v>#REF!</v>
      </c>
      <c r="SD20" s="74" t="e">
        <f t="shared" ca="1" si="62"/>
        <v>#REF!</v>
      </c>
      <c r="SE20" s="74" t="e">
        <f t="shared" ca="1" si="62"/>
        <v>#REF!</v>
      </c>
      <c r="SF20" s="74" t="e">
        <f t="shared" ca="1" si="62"/>
        <v>#REF!</v>
      </c>
      <c r="SG20" s="74" t="e">
        <f t="shared" ca="1" si="62"/>
        <v>#REF!</v>
      </c>
      <c r="SH20" s="74" t="e">
        <f t="shared" ca="1" si="62"/>
        <v>#REF!</v>
      </c>
      <c r="SI20" s="74" t="e">
        <f t="shared" ca="1" si="62"/>
        <v>#REF!</v>
      </c>
      <c r="SJ20" s="74" t="e">
        <f t="shared" ca="1" si="62"/>
        <v>#REF!</v>
      </c>
      <c r="SK20" s="74" t="e">
        <f t="shared" ca="1" si="62"/>
        <v>#REF!</v>
      </c>
      <c r="SL20" s="74" t="e">
        <f t="shared" ca="1" si="63"/>
        <v>#REF!</v>
      </c>
      <c r="SM20" s="74" t="e">
        <f t="shared" ca="1" si="63"/>
        <v>#REF!</v>
      </c>
      <c r="SN20" s="74" t="e">
        <f t="shared" ca="1" si="63"/>
        <v>#REF!</v>
      </c>
      <c r="SO20" s="74" t="e">
        <f t="shared" ca="1" si="63"/>
        <v>#REF!</v>
      </c>
      <c r="SP20" s="74" t="e">
        <f t="shared" ca="1" si="63"/>
        <v>#REF!</v>
      </c>
      <c r="SQ20" s="74" t="e">
        <f t="shared" ca="1" si="63"/>
        <v>#REF!</v>
      </c>
      <c r="SR20" s="74" t="e">
        <f t="shared" ca="1" si="63"/>
        <v>#REF!</v>
      </c>
      <c r="SS20" s="74" t="e">
        <f t="shared" ca="1" si="63"/>
        <v>#REF!</v>
      </c>
      <c r="ST20" s="74" t="e">
        <f t="shared" ca="1" si="63"/>
        <v>#REF!</v>
      </c>
      <c r="SU20" s="74" t="e">
        <f t="shared" ca="1" si="63"/>
        <v>#REF!</v>
      </c>
      <c r="SV20" s="74" t="e">
        <f t="shared" ca="1" si="63"/>
        <v>#REF!</v>
      </c>
      <c r="SW20" s="74" t="e">
        <f t="shared" ca="1" si="63"/>
        <v>#REF!</v>
      </c>
      <c r="SX20" s="74" t="e">
        <f t="shared" ca="1" si="63"/>
        <v>#REF!</v>
      </c>
      <c r="SY20" s="74" t="e">
        <f t="shared" ca="1" si="63"/>
        <v>#REF!</v>
      </c>
      <c r="SZ20" s="74" t="e">
        <f t="shared" ca="1" si="63"/>
        <v>#REF!</v>
      </c>
      <c r="TA20" s="74" t="e">
        <f t="shared" ca="1" si="63"/>
        <v>#REF!</v>
      </c>
      <c r="TB20" s="74" t="e">
        <f t="shared" ca="1" si="64"/>
        <v>#REF!</v>
      </c>
      <c r="TC20" s="74" t="e">
        <f t="shared" ca="1" si="64"/>
        <v>#REF!</v>
      </c>
      <c r="TD20" s="74" t="e">
        <f t="shared" ca="1" si="64"/>
        <v>#REF!</v>
      </c>
      <c r="TE20" s="74" t="e">
        <f t="shared" ca="1" si="64"/>
        <v>#REF!</v>
      </c>
      <c r="TF20" s="74" t="e">
        <f t="shared" ca="1" si="64"/>
        <v>#REF!</v>
      </c>
      <c r="TG20" s="74" t="e">
        <f t="shared" ca="1" si="64"/>
        <v>#REF!</v>
      </c>
      <c r="TH20" s="74" t="e">
        <f t="shared" ca="1" si="64"/>
        <v>#REF!</v>
      </c>
      <c r="TI20" s="74" t="e">
        <f t="shared" ca="1" si="64"/>
        <v>#REF!</v>
      </c>
      <c r="TJ20" s="74" t="e">
        <f t="shared" ca="1" si="64"/>
        <v>#REF!</v>
      </c>
      <c r="TK20" s="74" t="e">
        <f t="shared" ca="1" si="64"/>
        <v>#REF!</v>
      </c>
      <c r="TL20" s="74" t="e">
        <f t="shared" ca="1" si="64"/>
        <v>#REF!</v>
      </c>
      <c r="TM20" s="74" t="e">
        <f t="shared" ca="1" si="64"/>
        <v>#REF!</v>
      </c>
      <c r="TN20" s="74" t="e">
        <f t="shared" ca="1" si="64"/>
        <v>#REF!</v>
      </c>
      <c r="TO20" s="74" t="e">
        <f t="shared" ca="1" si="64"/>
        <v>#REF!</v>
      </c>
      <c r="TP20" s="74" t="e">
        <f t="shared" ca="1" si="64"/>
        <v>#REF!</v>
      </c>
      <c r="TQ20" s="74" t="e">
        <f t="shared" ca="1" si="64"/>
        <v>#REF!</v>
      </c>
      <c r="TR20" s="74" t="e">
        <f t="shared" ca="1" si="65"/>
        <v>#REF!</v>
      </c>
      <c r="TS20" s="74" t="e">
        <f t="shared" ca="1" si="65"/>
        <v>#REF!</v>
      </c>
      <c r="TT20" s="74" t="e">
        <f t="shared" ca="1" si="65"/>
        <v>#REF!</v>
      </c>
      <c r="TU20" s="74" t="e">
        <f t="shared" ca="1" si="65"/>
        <v>#REF!</v>
      </c>
      <c r="TV20" s="74" t="e">
        <f t="shared" ca="1" si="65"/>
        <v>#REF!</v>
      </c>
      <c r="TW20" s="74" t="e">
        <f t="shared" ca="1" si="65"/>
        <v>#REF!</v>
      </c>
      <c r="TX20" s="74" t="e">
        <f t="shared" ca="1" si="65"/>
        <v>#REF!</v>
      </c>
      <c r="TY20" s="74" t="e">
        <f t="shared" ca="1" si="65"/>
        <v>#REF!</v>
      </c>
      <c r="TZ20" s="74" t="e">
        <f t="shared" ca="1" si="65"/>
        <v>#REF!</v>
      </c>
      <c r="UA20" s="74" t="e">
        <f t="shared" ca="1" si="65"/>
        <v>#REF!</v>
      </c>
      <c r="UB20" s="74" t="e">
        <f t="shared" ca="1" si="65"/>
        <v>#REF!</v>
      </c>
      <c r="UC20" s="74" t="e">
        <f t="shared" ca="1" si="65"/>
        <v>#REF!</v>
      </c>
      <c r="UD20" s="74" t="e">
        <f t="shared" ca="1" si="65"/>
        <v>#REF!</v>
      </c>
      <c r="UE20" s="74" t="e">
        <f t="shared" ca="1" si="65"/>
        <v>#REF!</v>
      </c>
      <c r="UF20" s="74" t="e">
        <f t="shared" ca="1" si="65"/>
        <v>#REF!</v>
      </c>
      <c r="UG20" s="74" t="e">
        <f t="shared" ca="1" si="65"/>
        <v>#REF!</v>
      </c>
      <c r="UH20" s="74" t="e">
        <f t="shared" ca="1" si="66"/>
        <v>#REF!</v>
      </c>
      <c r="UI20" s="74" t="e">
        <f t="shared" ca="1" si="66"/>
        <v>#REF!</v>
      </c>
      <c r="UJ20" s="74" t="e">
        <f t="shared" ca="1" si="66"/>
        <v>#REF!</v>
      </c>
      <c r="UK20" s="74" t="e">
        <f t="shared" ca="1" si="66"/>
        <v>#REF!</v>
      </c>
      <c r="UL20" s="74" t="e">
        <f t="shared" ca="1" si="66"/>
        <v>#REF!</v>
      </c>
      <c r="UM20" s="74" t="e">
        <f t="shared" ca="1" si="66"/>
        <v>#REF!</v>
      </c>
      <c r="UN20" s="74" t="e">
        <f t="shared" ca="1" si="66"/>
        <v>#REF!</v>
      </c>
      <c r="UO20" s="74" t="e">
        <f t="shared" ca="1" si="66"/>
        <v>#REF!</v>
      </c>
      <c r="UP20" s="74" t="e">
        <f t="shared" ca="1" si="66"/>
        <v>#REF!</v>
      </c>
      <c r="UQ20" s="74" t="e">
        <f t="shared" ca="1" si="66"/>
        <v>#REF!</v>
      </c>
      <c r="UR20" s="74" t="e">
        <f t="shared" ca="1" si="66"/>
        <v>#REF!</v>
      </c>
      <c r="US20" s="74" t="e">
        <f t="shared" ca="1" si="66"/>
        <v>#REF!</v>
      </c>
      <c r="UT20" s="74" t="e">
        <f t="shared" ca="1" si="66"/>
        <v>#REF!</v>
      </c>
      <c r="UU20" s="74" t="e">
        <f t="shared" ca="1" si="66"/>
        <v>#REF!</v>
      </c>
      <c r="UV20" s="74" t="e">
        <f t="shared" ca="1" si="66"/>
        <v>#REF!</v>
      </c>
      <c r="UW20" s="74" t="e">
        <f t="shared" ca="1" si="66"/>
        <v>#REF!</v>
      </c>
      <c r="UX20" s="74" t="e">
        <f t="shared" ca="1" si="67"/>
        <v>#REF!</v>
      </c>
      <c r="UY20" s="74" t="e">
        <f t="shared" ca="1" si="67"/>
        <v>#REF!</v>
      </c>
      <c r="UZ20" s="74" t="e">
        <f t="shared" ca="1" si="67"/>
        <v>#REF!</v>
      </c>
      <c r="VA20" s="74" t="e">
        <f t="shared" ca="1" si="67"/>
        <v>#REF!</v>
      </c>
      <c r="VB20" s="74" t="e">
        <f t="shared" ca="1" si="67"/>
        <v>#REF!</v>
      </c>
      <c r="VC20" s="74" t="e">
        <f t="shared" ca="1" si="67"/>
        <v>#REF!</v>
      </c>
      <c r="VD20" s="74" t="e">
        <f t="shared" ca="1" si="67"/>
        <v>#REF!</v>
      </c>
      <c r="VE20" s="74" t="e">
        <f t="shared" ca="1" si="67"/>
        <v>#REF!</v>
      </c>
      <c r="VF20" s="74" t="e">
        <f t="shared" ca="1" si="67"/>
        <v>#REF!</v>
      </c>
      <c r="VG20" s="74" t="e">
        <f t="shared" ca="1" si="67"/>
        <v>#REF!</v>
      </c>
      <c r="VH20" s="74" t="e">
        <f t="shared" ca="1" si="67"/>
        <v>#REF!</v>
      </c>
      <c r="VI20" s="74" t="e">
        <f t="shared" ca="1" si="67"/>
        <v>#REF!</v>
      </c>
      <c r="VJ20" s="74" t="e">
        <f t="shared" ca="1" si="67"/>
        <v>#REF!</v>
      </c>
      <c r="VK20" s="74" t="e">
        <f t="shared" ca="1" si="67"/>
        <v>#REF!</v>
      </c>
      <c r="VL20" s="74" t="e">
        <f t="shared" ca="1" si="67"/>
        <v>#REF!</v>
      </c>
      <c r="VM20" s="74" t="e">
        <f t="shared" ca="1" si="67"/>
        <v>#REF!</v>
      </c>
      <c r="VN20" s="74" t="e">
        <f t="shared" ca="1" si="68"/>
        <v>#REF!</v>
      </c>
      <c r="VO20" s="74" t="e">
        <f t="shared" ca="1" si="68"/>
        <v>#REF!</v>
      </c>
      <c r="VP20" s="74" t="e">
        <f t="shared" ca="1" si="68"/>
        <v>#REF!</v>
      </c>
      <c r="VQ20" s="74" t="e">
        <f t="shared" ca="1" si="68"/>
        <v>#REF!</v>
      </c>
      <c r="VR20" s="74" t="e">
        <f t="shared" ca="1" si="68"/>
        <v>#REF!</v>
      </c>
      <c r="VS20" s="74" t="e">
        <f t="shared" ca="1" si="68"/>
        <v>#REF!</v>
      </c>
    </row>
    <row r="21" spans="1:591" s="17" customFormat="1" ht="16.2" customHeight="1" x14ac:dyDescent="0.3">
      <c r="A21" s="81"/>
      <c r="B21" s="118"/>
      <c r="C21" s="19"/>
      <c r="D21" s="19"/>
      <c r="E21" s="27"/>
      <c r="F21" s="26"/>
      <c r="G21" s="26">
        <f>Milestones43524[[#This Row],[Start]]+Milestones43524[[#This Row],[Days]]</f>
        <v>0</v>
      </c>
      <c r="H21" s="25"/>
      <c r="I21" s="19"/>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c r="KM21" s="18"/>
      <c r="KN21" s="18"/>
      <c r="KO21" s="18"/>
      <c r="KP21" s="18"/>
      <c r="KQ21" s="18"/>
      <c r="KR21" s="18"/>
      <c r="KS21" s="18"/>
      <c r="KT21" s="18"/>
      <c r="KU21" s="18"/>
      <c r="KV21" s="18"/>
      <c r="KW21" s="18"/>
      <c r="KX21" s="18"/>
      <c r="KY21" s="18"/>
      <c r="KZ21" s="18"/>
      <c r="LA21" s="18"/>
      <c r="LB21" s="18"/>
      <c r="LC21" s="18"/>
      <c r="LD21" s="18"/>
      <c r="LE21" s="18"/>
      <c r="LF21" s="18"/>
      <c r="LG21" s="18"/>
      <c r="LH21" s="18"/>
      <c r="LI21" s="18"/>
      <c r="LJ21" s="18"/>
      <c r="LK21" s="18"/>
      <c r="LL21" s="18"/>
      <c r="LM21" s="18"/>
      <c r="LN21" s="18"/>
      <c r="LO21" s="18"/>
      <c r="LP21" s="18"/>
      <c r="LQ21" s="18"/>
      <c r="LR21" s="18"/>
      <c r="LS21" s="18"/>
      <c r="LT21" s="18"/>
      <c r="LU21" s="18"/>
      <c r="LV21" s="18"/>
      <c r="LW21" s="18"/>
      <c r="LX21" s="18"/>
      <c r="LY21" s="18"/>
      <c r="LZ21" s="18"/>
      <c r="MA21" s="18"/>
      <c r="MB21" s="18"/>
      <c r="MC21" s="18"/>
      <c r="MD21" s="18"/>
      <c r="ME21" s="18"/>
      <c r="MF21" s="18"/>
      <c r="MG21" s="18"/>
      <c r="MH21" s="18"/>
      <c r="MI21" s="18"/>
      <c r="MJ21" s="18"/>
      <c r="MK21" s="18"/>
      <c r="ML21" s="18"/>
      <c r="MM21" s="18"/>
      <c r="MN21" s="18"/>
      <c r="MO21" s="18"/>
      <c r="MP21" s="18"/>
      <c r="MQ21" s="18"/>
      <c r="MR21" s="18"/>
      <c r="MS21" s="18"/>
      <c r="MT21" s="18"/>
      <c r="MU21" s="18"/>
      <c r="MV21" s="18"/>
      <c r="MW21" s="18"/>
      <c r="MX21" s="18"/>
      <c r="MY21" s="18"/>
      <c r="MZ21" s="18"/>
      <c r="NA21" s="18"/>
      <c r="NB21" s="18"/>
      <c r="NC21" s="18"/>
      <c r="ND21" s="18"/>
      <c r="NE21" s="18"/>
      <c r="NF21" s="18"/>
      <c r="NG21" s="18"/>
      <c r="NH21" s="18"/>
      <c r="NI21" s="18"/>
      <c r="NJ21" s="18"/>
      <c r="NK21" s="18"/>
      <c r="NL21" s="18"/>
      <c r="NM21" s="18"/>
      <c r="NN21" s="18"/>
      <c r="NO21" s="18"/>
      <c r="NP21" s="18"/>
      <c r="NQ21" s="18"/>
      <c r="NR21" s="18"/>
      <c r="NS21" s="18"/>
      <c r="NT21" s="18"/>
      <c r="NU21" s="18"/>
      <c r="NV21" s="18"/>
      <c r="NW21" s="18"/>
      <c r="NX21" s="18"/>
      <c r="NY21" s="18"/>
      <c r="NZ21" s="18"/>
      <c r="OA21" s="18"/>
      <c r="OB21" s="18"/>
      <c r="OC21" s="18"/>
      <c r="OD21" s="18"/>
      <c r="OE21" s="18"/>
      <c r="OF21" s="18"/>
      <c r="OG21" s="18"/>
      <c r="OH21" s="18"/>
      <c r="OI21" s="18"/>
      <c r="OJ21" s="18"/>
      <c r="OK21" s="18"/>
      <c r="OL21" s="18"/>
      <c r="OM21" s="18"/>
      <c r="ON21" s="18"/>
      <c r="OO21" s="18"/>
      <c r="OP21" s="18"/>
      <c r="OQ21" s="18"/>
      <c r="OR21" s="18"/>
      <c r="OS21" s="18"/>
      <c r="OT21" s="18"/>
      <c r="OU21" s="18"/>
      <c r="OV21" s="18"/>
      <c r="OW21" s="18"/>
      <c r="OX21" s="18"/>
      <c r="OY21" s="18"/>
      <c r="OZ21" s="18"/>
      <c r="PA21" s="18"/>
      <c r="PB21" s="18"/>
      <c r="PC21" s="18"/>
      <c r="PD21" s="18"/>
      <c r="PE21" s="18"/>
      <c r="PF21" s="18"/>
      <c r="PG21" s="18"/>
      <c r="PH21" s="18"/>
      <c r="PI21" s="18"/>
      <c r="PJ21" s="18"/>
      <c r="PK21" s="18"/>
      <c r="PL21" s="18"/>
      <c r="PM21" s="18"/>
      <c r="PN21" s="18"/>
      <c r="PO21" s="18"/>
      <c r="PP21" s="18"/>
      <c r="PQ21" s="18"/>
      <c r="PR21" s="18"/>
      <c r="PS21" s="18"/>
      <c r="PT21" s="18"/>
      <c r="PU21" s="18"/>
      <c r="PV21" s="18"/>
      <c r="PW21" s="18"/>
      <c r="PX21" s="18"/>
      <c r="PY21" s="18"/>
      <c r="PZ21" s="18"/>
      <c r="QA21" s="18"/>
      <c r="QB21" s="18"/>
      <c r="QC21" s="18"/>
      <c r="QD21" s="18"/>
      <c r="QE21" s="18"/>
      <c r="QF21" s="18"/>
      <c r="QG21" s="18"/>
      <c r="QH21" s="18"/>
      <c r="QI21" s="18"/>
      <c r="QJ21" s="18"/>
      <c r="QK21" s="18"/>
      <c r="QL21" s="18"/>
      <c r="QM21" s="18"/>
      <c r="QN21" s="18"/>
      <c r="QO21" s="18"/>
      <c r="QP21" s="18"/>
      <c r="QQ21" s="18"/>
      <c r="QR21" s="18"/>
      <c r="QS21" s="18"/>
      <c r="QT21" s="18"/>
      <c r="QU21" s="18"/>
      <c r="QV21" s="18"/>
      <c r="QW21" s="18"/>
      <c r="QX21" s="18"/>
      <c r="QY21" s="18"/>
      <c r="QZ21" s="18"/>
      <c r="RA21" s="18"/>
      <c r="RB21" s="18"/>
      <c r="RC21" s="18"/>
      <c r="RD21" s="18"/>
      <c r="RE21" s="18"/>
      <c r="RF21" s="18"/>
      <c r="RG21" s="18"/>
      <c r="RH21" s="18"/>
      <c r="RI21" s="18"/>
      <c r="RJ21" s="18"/>
      <c r="RK21" s="18"/>
      <c r="RL21" s="18"/>
      <c r="RM21" s="18"/>
      <c r="RN21" s="18"/>
      <c r="RO21" s="18"/>
      <c r="RP21" s="18"/>
      <c r="RQ21" s="18"/>
      <c r="RR21" s="18"/>
      <c r="RS21" s="18"/>
      <c r="RT21" s="18"/>
      <c r="RU21" s="18"/>
      <c r="RV21" s="18"/>
      <c r="RW21" s="18"/>
      <c r="RX21" s="18"/>
      <c r="RY21" s="18"/>
      <c r="RZ21" s="18"/>
      <c r="SA21" s="18"/>
      <c r="SB21" s="18"/>
      <c r="SC21" s="18"/>
      <c r="SD21" s="18"/>
      <c r="SE21" s="18"/>
      <c r="SF21" s="18"/>
      <c r="SG21" s="18"/>
      <c r="SH21" s="18"/>
      <c r="SI21" s="18"/>
      <c r="SJ21" s="18"/>
      <c r="SK21" s="18"/>
      <c r="SL21" s="18"/>
      <c r="SM21" s="18"/>
      <c r="SN21" s="18"/>
      <c r="SO21" s="18"/>
      <c r="SP21" s="18"/>
      <c r="SQ21" s="18"/>
      <c r="SR21" s="18"/>
      <c r="SS21" s="18"/>
      <c r="ST21" s="18"/>
      <c r="SU21" s="18"/>
      <c r="SV21" s="18"/>
      <c r="SW21" s="18"/>
      <c r="SX21" s="18"/>
      <c r="SY21" s="18"/>
      <c r="SZ21" s="18"/>
      <c r="TA21" s="18"/>
      <c r="TB21" s="18"/>
      <c r="TC21" s="18"/>
      <c r="TD21" s="18"/>
      <c r="TE21" s="18"/>
      <c r="TF21" s="18"/>
      <c r="TG21" s="18"/>
      <c r="TH21" s="18"/>
      <c r="TI21" s="18"/>
      <c r="TJ21" s="18"/>
      <c r="TK21" s="18"/>
      <c r="TL21" s="18"/>
      <c r="TM21" s="18"/>
      <c r="TN21" s="18"/>
      <c r="TO21" s="18"/>
      <c r="TP21" s="18"/>
      <c r="TQ21" s="18"/>
      <c r="TR21" s="18"/>
      <c r="TS21" s="18"/>
      <c r="TT21" s="18"/>
      <c r="TU21" s="18"/>
      <c r="TV21" s="18"/>
      <c r="TW21" s="18"/>
      <c r="TX21" s="18"/>
      <c r="TY21" s="18"/>
      <c r="TZ21" s="18"/>
      <c r="UA21" s="18"/>
      <c r="UB21" s="18"/>
      <c r="UC21" s="18"/>
      <c r="UD21" s="18"/>
      <c r="UE21" s="18"/>
      <c r="UF21" s="18"/>
      <c r="UG21" s="18"/>
      <c r="UH21" s="18"/>
      <c r="UI21" s="18"/>
      <c r="UJ21" s="18"/>
      <c r="UK21" s="18"/>
      <c r="UL21" s="18"/>
      <c r="UM21" s="18"/>
      <c r="UN21" s="18"/>
      <c r="UO21" s="18"/>
      <c r="UP21" s="18"/>
      <c r="UQ21" s="18"/>
      <c r="UR21" s="18"/>
      <c r="US21" s="18"/>
      <c r="UT21" s="18"/>
      <c r="UU21" s="18"/>
      <c r="UV21" s="18"/>
      <c r="UW21" s="18"/>
      <c r="UX21" s="18"/>
      <c r="UY21" s="18"/>
      <c r="UZ21" s="18"/>
      <c r="VA21" s="18"/>
      <c r="VB21" s="18"/>
      <c r="VC21" s="18"/>
      <c r="VD21" s="18"/>
      <c r="VE21" s="18"/>
      <c r="VF21" s="18"/>
      <c r="VG21" s="18"/>
      <c r="VH21" s="18"/>
      <c r="VI21" s="18"/>
      <c r="VJ21" s="18"/>
      <c r="VK21" s="18"/>
      <c r="VL21" s="18"/>
      <c r="VM21" s="18"/>
      <c r="VN21" s="18"/>
      <c r="VO21" s="18"/>
      <c r="VP21" s="18"/>
      <c r="VQ21" s="18"/>
      <c r="VR21" s="18"/>
      <c r="VS21" s="18"/>
    </row>
    <row r="22" spans="1:591" s="17" customFormat="1" ht="16.2" customHeight="1" x14ac:dyDescent="0.3">
      <c r="A22" s="81"/>
      <c r="B22" s="118"/>
      <c r="C22" s="19"/>
      <c r="D22" s="19"/>
      <c r="E22" s="27"/>
      <c r="F22" s="26"/>
      <c r="G22" s="26">
        <f>Milestones43524[[#This Row],[Start]]+Milestones43524[[#This Row],[Days]]</f>
        <v>0</v>
      </c>
      <c r="H22" s="25"/>
      <c r="I22" s="19"/>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c r="KM22" s="18"/>
      <c r="KN22" s="18"/>
      <c r="KO22" s="18"/>
      <c r="KP22" s="18"/>
      <c r="KQ22" s="18"/>
      <c r="KR22" s="18"/>
      <c r="KS22" s="18"/>
      <c r="KT22" s="18"/>
      <c r="KU22" s="18"/>
      <c r="KV22" s="18"/>
      <c r="KW22" s="18"/>
      <c r="KX22" s="18"/>
      <c r="KY22" s="18"/>
      <c r="KZ22" s="18"/>
      <c r="LA22" s="18"/>
      <c r="LB22" s="18"/>
      <c r="LC22" s="18"/>
      <c r="LD22" s="18"/>
      <c r="LE22" s="18"/>
      <c r="LF22" s="18"/>
      <c r="LG22" s="18"/>
      <c r="LH22" s="18"/>
      <c r="LI22" s="18"/>
      <c r="LJ22" s="18"/>
      <c r="LK22" s="18"/>
      <c r="LL22" s="18"/>
      <c r="LM22" s="18"/>
      <c r="LN22" s="18"/>
      <c r="LO22" s="18"/>
      <c r="LP22" s="18"/>
      <c r="LQ22" s="18"/>
      <c r="LR22" s="18"/>
      <c r="LS22" s="18"/>
      <c r="LT22" s="18"/>
      <c r="LU22" s="18"/>
      <c r="LV22" s="18"/>
      <c r="LW22" s="18"/>
      <c r="LX22" s="18"/>
      <c r="LY22" s="18"/>
      <c r="LZ22" s="18"/>
      <c r="MA22" s="18"/>
      <c r="MB22" s="18"/>
      <c r="MC22" s="18"/>
      <c r="MD22" s="18"/>
      <c r="ME22" s="18"/>
      <c r="MF22" s="18"/>
      <c r="MG22" s="18"/>
      <c r="MH22" s="18"/>
      <c r="MI22" s="18"/>
      <c r="MJ22" s="18"/>
      <c r="MK22" s="18"/>
      <c r="ML22" s="18"/>
      <c r="MM22" s="18"/>
      <c r="MN22" s="18"/>
      <c r="MO22" s="18"/>
      <c r="MP22" s="18"/>
      <c r="MQ22" s="18"/>
      <c r="MR22" s="18"/>
      <c r="MS22" s="18"/>
      <c r="MT22" s="18"/>
      <c r="MU22" s="18"/>
      <c r="MV22" s="18"/>
      <c r="MW22" s="18"/>
      <c r="MX22" s="18"/>
      <c r="MY22" s="18"/>
      <c r="MZ22" s="18"/>
      <c r="NA22" s="18"/>
      <c r="NB22" s="18"/>
      <c r="NC22" s="18"/>
      <c r="ND22" s="18"/>
      <c r="NE22" s="18"/>
      <c r="NF22" s="18"/>
      <c r="NG22" s="18"/>
      <c r="NH22" s="18"/>
      <c r="NI22" s="18"/>
      <c r="NJ22" s="18"/>
      <c r="NK22" s="18"/>
      <c r="NL22" s="18"/>
      <c r="NM22" s="18"/>
      <c r="NN22" s="18"/>
      <c r="NO22" s="18"/>
      <c r="NP22" s="18"/>
      <c r="NQ22" s="18"/>
      <c r="NR22" s="18"/>
      <c r="NS22" s="18"/>
      <c r="NT22" s="18"/>
      <c r="NU22" s="18"/>
      <c r="NV22" s="18"/>
      <c r="NW22" s="18"/>
      <c r="NX22" s="18"/>
      <c r="NY22" s="18"/>
      <c r="NZ22" s="18"/>
      <c r="OA22" s="18"/>
      <c r="OB22" s="18"/>
      <c r="OC22" s="18"/>
      <c r="OD22" s="18"/>
      <c r="OE22" s="18"/>
      <c r="OF22" s="18"/>
      <c r="OG22" s="18"/>
      <c r="OH22" s="18"/>
      <c r="OI22" s="18"/>
      <c r="OJ22" s="18"/>
      <c r="OK22" s="18"/>
      <c r="OL22" s="18"/>
      <c r="OM22" s="18"/>
      <c r="ON22" s="18"/>
      <c r="OO22" s="18"/>
      <c r="OP22" s="18"/>
      <c r="OQ22" s="18"/>
      <c r="OR22" s="18"/>
      <c r="OS22" s="18"/>
      <c r="OT22" s="18"/>
      <c r="OU22" s="18"/>
      <c r="OV22" s="18"/>
      <c r="OW22" s="18"/>
      <c r="OX22" s="18"/>
      <c r="OY22" s="18"/>
      <c r="OZ22" s="18"/>
      <c r="PA22" s="18"/>
      <c r="PB22" s="18"/>
      <c r="PC22" s="18"/>
      <c r="PD22" s="18"/>
      <c r="PE22" s="18"/>
      <c r="PF22" s="18"/>
      <c r="PG22" s="18"/>
      <c r="PH22" s="18"/>
      <c r="PI22" s="18"/>
      <c r="PJ22" s="18"/>
      <c r="PK22" s="18"/>
      <c r="PL22" s="18"/>
      <c r="PM22" s="18"/>
      <c r="PN22" s="18"/>
      <c r="PO22" s="18"/>
      <c r="PP22" s="18"/>
      <c r="PQ22" s="18"/>
      <c r="PR22" s="18"/>
      <c r="PS22" s="18"/>
      <c r="PT22" s="18"/>
      <c r="PU22" s="18"/>
      <c r="PV22" s="18"/>
      <c r="PW22" s="18"/>
      <c r="PX22" s="18"/>
      <c r="PY22" s="18"/>
      <c r="PZ22" s="18"/>
      <c r="QA22" s="18"/>
      <c r="QB22" s="18"/>
      <c r="QC22" s="18"/>
      <c r="QD22" s="18"/>
      <c r="QE22" s="18"/>
      <c r="QF22" s="18"/>
      <c r="QG22" s="18"/>
      <c r="QH22" s="18"/>
      <c r="QI22" s="18"/>
      <c r="QJ22" s="18"/>
      <c r="QK22" s="18"/>
      <c r="QL22" s="18"/>
      <c r="QM22" s="18"/>
      <c r="QN22" s="18"/>
      <c r="QO22" s="18"/>
      <c r="QP22" s="18"/>
      <c r="QQ22" s="18"/>
      <c r="QR22" s="18"/>
      <c r="QS22" s="18"/>
      <c r="QT22" s="18"/>
      <c r="QU22" s="18"/>
      <c r="QV22" s="18"/>
      <c r="QW22" s="18"/>
      <c r="QX22" s="18"/>
      <c r="QY22" s="18"/>
      <c r="QZ22" s="18"/>
      <c r="RA22" s="18"/>
      <c r="RB22" s="18"/>
      <c r="RC22" s="18"/>
      <c r="RD22" s="18"/>
      <c r="RE22" s="18"/>
      <c r="RF22" s="18"/>
      <c r="RG22" s="18"/>
      <c r="RH22" s="18"/>
      <c r="RI22" s="18"/>
      <c r="RJ22" s="18"/>
      <c r="RK22" s="18"/>
      <c r="RL22" s="18"/>
      <c r="RM22" s="18"/>
      <c r="RN22" s="18"/>
      <c r="RO22" s="18"/>
      <c r="RP22" s="18"/>
      <c r="RQ22" s="18"/>
      <c r="RR22" s="18"/>
      <c r="RS22" s="18"/>
      <c r="RT22" s="18"/>
      <c r="RU22" s="18"/>
      <c r="RV22" s="18"/>
      <c r="RW22" s="18"/>
      <c r="RX22" s="18"/>
      <c r="RY22" s="18"/>
      <c r="RZ22" s="18"/>
      <c r="SA22" s="18"/>
      <c r="SB22" s="18"/>
      <c r="SC22" s="18"/>
      <c r="SD22" s="18"/>
      <c r="SE22" s="18"/>
      <c r="SF22" s="18"/>
      <c r="SG22" s="18"/>
      <c r="SH22" s="18"/>
      <c r="SI22" s="18"/>
      <c r="SJ22" s="18"/>
      <c r="SK22" s="18"/>
      <c r="SL22" s="18"/>
      <c r="SM22" s="18"/>
      <c r="SN22" s="18"/>
      <c r="SO22" s="18"/>
      <c r="SP22" s="18"/>
      <c r="SQ22" s="18"/>
      <c r="SR22" s="18"/>
      <c r="SS22" s="18"/>
      <c r="ST22" s="18"/>
      <c r="SU22" s="18"/>
      <c r="SV22" s="18"/>
      <c r="SW22" s="18"/>
      <c r="SX22" s="18"/>
      <c r="SY22" s="18"/>
      <c r="SZ22" s="18"/>
      <c r="TA22" s="18"/>
      <c r="TB22" s="18"/>
      <c r="TC22" s="18"/>
      <c r="TD22" s="18"/>
      <c r="TE22" s="18"/>
      <c r="TF22" s="18"/>
      <c r="TG22" s="18"/>
      <c r="TH22" s="18"/>
      <c r="TI22" s="18"/>
      <c r="TJ22" s="18"/>
      <c r="TK22" s="18"/>
      <c r="TL22" s="18"/>
      <c r="TM22" s="18"/>
      <c r="TN22" s="18"/>
      <c r="TO22" s="18"/>
      <c r="TP22" s="18"/>
      <c r="TQ22" s="18"/>
      <c r="TR22" s="18"/>
      <c r="TS22" s="18"/>
      <c r="TT22" s="18"/>
      <c r="TU22" s="18"/>
      <c r="TV22" s="18"/>
      <c r="TW22" s="18"/>
      <c r="TX22" s="18"/>
      <c r="TY22" s="18"/>
      <c r="TZ22" s="18"/>
      <c r="UA22" s="18"/>
      <c r="UB22" s="18"/>
      <c r="UC22" s="18"/>
      <c r="UD22" s="18"/>
      <c r="UE22" s="18"/>
      <c r="UF22" s="18"/>
      <c r="UG22" s="18"/>
      <c r="UH22" s="18"/>
      <c r="UI22" s="18"/>
      <c r="UJ22" s="18"/>
      <c r="UK22" s="18"/>
      <c r="UL22" s="18"/>
      <c r="UM22" s="18"/>
      <c r="UN22" s="18"/>
      <c r="UO22" s="18"/>
      <c r="UP22" s="18"/>
      <c r="UQ22" s="18"/>
      <c r="UR22" s="18"/>
      <c r="US22" s="18"/>
      <c r="UT22" s="18"/>
      <c r="UU22" s="18"/>
      <c r="UV22" s="18"/>
      <c r="UW22" s="18"/>
      <c r="UX22" s="18"/>
      <c r="UY22" s="18"/>
      <c r="UZ22" s="18"/>
      <c r="VA22" s="18"/>
      <c r="VB22" s="18"/>
      <c r="VC22" s="18"/>
      <c r="VD22" s="18"/>
      <c r="VE22" s="18"/>
      <c r="VF22" s="18"/>
      <c r="VG22" s="18"/>
      <c r="VH22" s="18"/>
      <c r="VI22" s="18"/>
      <c r="VJ22" s="18"/>
      <c r="VK22" s="18"/>
      <c r="VL22" s="18"/>
      <c r="VM22" s="18"/>
      <c r="VN22" s="18"/>
      <c r="VO22" s="18"/>
      <c r="VP22" s="18"/>
      <c r="VQ22" s="18"/>
      <c r="VR22" s="18"/>
      <c r="VS22" s="18"/>
    </row>
    <row r="23" spans="1:591" s="17" customFormat="1" ht="16.2" customHeight="1" x14ac:dyDescent="0.3">
      <c r="A23" s="81"/>
      <c r="B23" s="118"/>
      <c r="C23" s="19"/>
      <c r="D23" s="19"/>
      <c r="E23" s="27"/>
      <c r="F23" s="26"/>
      <c r="G23" s="26">
        <f>Milestones43524[[#This Row],[Start]]+Milestones43524[[#This Row],[Days]]</f>
        <v>0</v>
      </c>
      <c r="H23" s="25"/>
      <c r="I23" s="19"/>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c r="KM23" s="18"/>
      <c r="KN23" s="18"/>
      <c r="KO23" s="18"/>
      <c r="KP23" s="18"/>
      <c r="KQ23" s="18"/>
      <c r="KR23" s="18"/>
      <c r="KS23" s="18"/>
      <c r="KT23" s="18"/>
      <c r="KU23" s="18"/>
      <c r="KV23" s="18"/>
      <c r="KW23" s="18"/>
      <c r="KX23" s="18"/>
      <c r="KY23" s="18"/>
      <c r="KZ23" s="18"/>
      <c r="LA23" s="18"/>
      <c r="LB23" s="18"/>
      <c r="LC23" s="18"/>
      <c r="LD23" s="18"/>
      <c r="LE23" s="18"/>
      <c r="LF23" s="18"/>
      <c r="LG23" s="18"/>
      <c r="LH23" s="18"/>
      <c r="LI23" s="18"/>
      <c r="LJ23" s="18"/>
      <c r="LK23" s="18"/>
      <c r="LL23" s="18"/>
      <c r="LM23" s="18"/>
      <c r="LN23" s="18"/>
      <c r="LO23" s="18"/>
      <c r="LP23" s="18"/>
      <c r="LQ23" s="18"/>
      <c r="LR23" s="18"/>
      <c r="LS23" s="18"/>
      <c r="LT23" s="18"/>
      <c r="LU23" s="18"/>
      <c r="LV23" s="18"/>
      <c r="LW23" s="18"/>
      <c r="LX23" s="18"/>
      <c r="LY23" s="18"/>
      <c r="LZ23" s="18"/>
      <c r="MA23" s="18"/>
      <c r="MB23" s="18"/>
      <c r="MC23" s="18"/>
      <c r="MD23" s="18"/>
      <c r="ME23" s="18"/>
      <c r="MF23" s="18"/>
      <c r="MG23" s="18"/>
      <c r="MH23" s="18"/>
      <c r="MI23" s="18"/>
      <c r="MJ23" s="18"/>
      <c r="MK23" s="18"/>
      <c r="ML23" s="18"/>
      <c r="MM23" s="18"/>
      <c r="MN23" s="18"/>
      <c r="MO23" s="18"/>
      <c r="MP23" s="18"/>
      <c r="MQ23" s="18"/>
      <c r="MR23" s="18"/>
      <c r="MS23" s="18"/>
      <c r="MT23" s="18"/>
      <c r="MU23" s="18"/>
      <c r="MV23" s="18"/>
      <c r="MW23" s="18"/>
      <c r="MX23" s="18"/>
      <c r="MY23" s="18"/>
      <c r="MZ23" s="18"/>
      <c r="NA23" s="18"/>
      <c r="NB23" s="18"/>
      <c r="NC23" s="18"/>
      <c r="ND23" s="18"/>
      <c r="NE23" s="18"/>
      <c r="NF23" s="18"/>
      <c r="NG23" s="18"/>
      <c r="NH23" s="18"/>
      <c r="NI23" s="18"/>
      <c r="NJ23" s="18"/>
      <c r="NK23" s="18"/>
      <c r="NL23" s="18"/>
      <c r="NM23" s="18"/>
      <c r="NN23" s="18"/>
      <c r="NO23" s="18"/>
      <c r="NP23" s="18"/>
      <c r="NQ23" s="18"/>
      <c r="NR23" s="18"/>
      <c r="NS23" s="18"/>
      <c r="NT23" s="18"/>
      <c r="NU23" s="18"/>
      <c r="NV23" s="18"/>
      <c r="NW23" s="18"/>
      <c r="NX23" s="18"/>
      <c r="NY23" s="18"/>
      <c r="NZ23" s="18"/>
      <c r="OA23" s="18"/>
      <c r="OB23" s="18"/>
      <c r="OC23" s="18"/>
      <c r="OD23" s="18"/>
      <c r="OE23" s="18"/>
      <c r="OF23" s="18"/>
      <c r="OG23" s="18"/>
      <c r="OH23" s="18"/>
      <c r="OI23" s="18"/>
      <c r="OJ23" s="18"/>
      <c r="OK23" s="18"/>
      <c r="OL23" s="18"/>
      <c r="OM23" s="18"/>
      <c r="ON23" s="18"/>
      <c r="OO23" s="18"/>
      <c r="OP23" s="18"/>
      <c r="OQ23" s="18"/>
      <c r="OR23" s="18"/>
      <c r="OS23" s="18"/>
      <c r="OT23" s="18"/>
      <c r="OU23" s="18"/>
      <c r="OV23" s="18"/>
      <c r="OW23" s="18"/>
      <c r="OX23" s="18"/>
      <c r="OY23" s="18"/>
      <c r="OZ23" s="18"/>
      <c r="PA23" s="18"/>
      <c r="PB23" s="18"/>
      <c r="PC23" s="18"/>
      <c r="PD23" s="18"/>
      <c r="PE23" s="18"/>
      <c r="PF23" s="18"/>
      <c r="PG23" s="18"/>
      <c r="PH23" s="18"/>
      <c r="PI23" s="18"/>
      <c r="PJ23" s="18"/>
      <c r="PK23" s="18"/>
      <c r="PL23" s="18"/>
      <c r="PM23" s="18"/>
      <c r="PN23" s="18"/>
      <c r="PO23" s="18"/>
      <c r="PP23" s="18"/>
      <c r="PQ23" s="18"/>
      <c r="PR23" s="18"/>
      <c r="PS23" s="18"/>
      <c r="PT23" s="18"/>
      <c r="PU23" s="18"/>
      <c r="PV23" s="18"/>
      <c r="PW23" s="18"/>
      <c r="PX23" s="18"/>
      <c r="PY23" s="18"/>
      <c r="PZ23" s="18"/>
      <c r="QA23" s="18"/>
      <c r="QB23" s="18"/>
      <c r="QC23" s="18"/>
      <c r="QD23" s="18"/>
      <c r="QE23" s="18"/>
      <c r="QF23" s="18"/>
      <c r="QG23" s="18"/>
      <c r="QH23" s="18"/>
      <c r="QI23" s="18"/>
      <c r="QJ23" s="18"/>
      <c r="QK23" s="18"/>
      <c r="QL23" s="18"/>
      <c r="QM23" s="18"/>
      <c r="QN23" s="18"/>
      <c r="QO23" s="18"/>
      <c r="QP23" s="18"/>
      <c r="QQ23" s="18"/>
      <c r="QR23" s="18"/>
      <c r="QS23" s="18"/>
      <c r="QT23" s="18"/>
      <c r="QU23" s="18"/>
      <c r="QV23" s="18"/>
      <c r="QW23" s="18"/>
      <c r="QX23" s="18"/>
      <c r="QY23" s="18"/>
      <c r="QZ23" s="18"/>
      <c r="RA23" s="18"/>
      <c r="RB23" s="18"/>
      <c r="RC23" s="18"/>
      <c r="RD23" s="18"/>
      <c r="RE23" s="18"/>
      <c r="RF23" s="18"/>
      <c r="RG23" s="18"/>
      <c r="RH23" s="18"/>
      <c r="RI23" s="18"/>
      <c r="RJ23" s="18"/>
      <c r="RK23" s="18"/>
      <c r="RL23" s="18"/>
      <c r="RM23" s="18"/>
      <c r="RN23" s="18"/>
      <c r="RO23" s="18"/>
      <c r="RP23" s="18"/>
      <c r="RQ23" s="18"/>
      <c r="RR23" s="18"/>
      <c r="RS23" s="18"/>
      <c r="RT23" s="18"/>
      <c r="RU23" s="18"/>
      <c r="RV23" s="18"/>
      <c r="RW23" s="18"/>
      <c r="RX23" s="18"/>
      <c r="RY23" s="18"/>
      <c r="RZ23" s="18"/>
      <c r="SA23" s="18"/>
      <c r="SB23" s="18"/>
      <c r="SC23" s="18"/>
      <c r="SD23" s="18"/>
      <c r="SE23" s="18"/>
      <c r="SF23" s="18"/>
      <c r="SG23" s="18"/>
      <c r="SH23" s="18"/>
      <c r="SI23" s="18"/>
      <c r="SJ23" s="18"/>
      <c r="SK23" s="18"/>
      <c r="SL23" s="18"/>
      <c r="SM23" s="18"/>
      <c r="SN23" s="18"/>
      <c r="SO23" s="18"/>
      <c r="SP23" s="18"/>
      <c r="SQ23" s="18"/>
      <c r="SR23" s="18"/>
      <c r="SS23" s="18"/>
      <c r="ST23" s="18"/>
      <c r="SU23" s="18"/>
      <c r="SV23" s="18"/>
      <c r="SW23" s="18"/>
      <c r="SX23" s="18"/>
      <c r="SY23" s="18"/>
      <c r="SZ23" s="18"/>
      <c r="TA23" s="18"/>
      <c r="TB23" s="18"/>
      <c r="TC23" s="18"/>
      <c r="TD23" s="18"/>
      <c r="TE23" s="18"/>
      <c r="TF23" s="18"/>
      <c r="TG23" s="18"/>
      <c r="TH23" s="18"/>
      <c r="TI23" s="18"/>
      <c r="TJ23" s="18"/>
      <c r="TK23" s="18"/>
      <c r="TL23" s="18"/>
      <c r="TM23" s="18"/>
      <c r="TN23" s="18"/>
      <c r="TO23" s="18"/>
      <c r="TP23" s="18"/>
      <c r="TQ23" s="18"/>
      <c r="TR23" s="18"/>
      <c r="TS23" s="18"/>
      <c r="TT23" s="18"/>
      <c r="TU23" s="18"/>
      <c r="TV23" s="18"/>
      <c r="TW23" s="18"/>
      <c r="TX23" s="18"/>
      <c r="TY23" s="18"/>
      <c r="TZ23" s="18"/>
      <c r="UA23" s="18"/>
      <c r="UB23" s="18"/>
      <c r="UC23" s="18"/>
      <c r="UD23" s="18"/>
      <c r="UE23" s="18"/>
      <c r="UF23" s="18"/>
      <c r="UG23" s="18"/>
      <c r="UH23" s="18"/>
      <c r="UI23" s="18"/>
      <c r="UJ23" s="18"/>
      <c r="UK23" s="18"/>
      <c r="UL23" s="18"/>
      <c r="UM23" s="18"/>
      <c r="UN23" s="18"/>
      <c r="UO23" s="18"/>
      <c r="UP23" s="18"/>
      <c r="UQ23" s="18"/>
      <c r="UR23" s="18"/>
      <c r="US23" s="18"/>
      <c r="UT23" s="18"/>
      <c r="UU23" s="18"/>
      <c r="UV23" s="18"/>
      <c r="UW23" s="18"/>
      <c r="UX23" s="18"/>
      <c r="UY23" s="18"/>
      <c r="UZ23" s="18"/>
      <c r="VA23" s="18"/>
      <c r="VB23" s="18"/>
      <c r="VC23" s="18"/>
      <c r="VD23" s="18"/>
      <c r="VE23" s="18"/>
      <c r="VF23" s="18"/>
      <c r="VG23" s="18"/>
      <c r="VH23" s="18"/>
      <c r="VI23" s="18"/>
      <c r="VJ23" s="18"/>
      <c r="VK23" s="18"/>
      <c r="VL23" s="18"/>
      <c r="VM23" s="18"/>
      <c r="VN23" s="18"/>
      <c r="VO23" s="18"/>
      <c r="VP23" s="18"/>
      <c r="VQ23" s="18"/>
      <c r="VR23" s="18"/>
      <c r="VS23" s="18"/>
    </row>
    <row r="24" spans="1:591" s="17" customFormat="1" ht="16.2" customHeight="1" x14ac:dyDescent="0.3">
      <c r="A24" s="81"/>
      <c r="B24" s="118"/>
      <c r="C24" s="19"/>
      <c r="D24" s="19"/>
      <c r="E24" s="27"/>
      <c r="F24" s="26"/>
      <c r="G24" s="26">
        <f>Milestones43524[[#This Row],[Start]]+Milestones43524[[#This Row],[Days]]</f>
        <v>0</v>
      </c>
      <c r="H24" s="25"/>
      <c r="I24" s="19"/>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c r="KM24" s="18"/>
      <c r="KN24" s="18"/>
      <c r="KO24" s="18"/>
      <c r="KP24" s="18"/>
      <c r="KQ24" s="18"/>
      <c r="KR24" s="18"/>
      <c r="KS24" s="18"/>
      <c r="KT24" s="18"/>
      <c r="KU24" s="18"/>
      <c r="KV24" s="18"/>
      <c r="KW24" s="18"/>
      <c r="KX24" s="18"/>
      <c r="KY24" s="18"/>
      <c r="KZ24" s="18"/>
      <c r="LA24" s="18"/>
      <c r="LB24" s="18"/>
      <c r="LC24" s="18"/>
      <c r="LD24" s="18"/>
      <c r="LE24" s="18"/>
      <c r="LF24" s="18"/>
      <c r="LG24" s="18"/>
      <c r="LH24" s="18"/>
      <c r="LI24" s="18"/>
      <c r="LJ24" s="18"/>
      <c r="LK24" s="18"/>
      <c r="LL24" s="18"/>
      <c r="LM24" s="18"/>
      <c r="LN24" s="18"/>
      <c r="LO24" s="18"/>
      <c r="LP24" s="18"/>
      <c r="LQ24" s="18"/>
      <c r="LR24" s="18"/>
      <c r="LS24" s="18"/>
      <c r="LT24" s="18"/>
      <c r="LU24" s="18"/>
      <c r="LV24" s="18"/>
      <c r="LW24" s="18"/>
      <c r="LX24" s="18"/>
      <c r="LY24" s="18"/>
      <c r="LZ24" s="18"/>
      <c r="MA24" s="18"/>
      <c r="MB24" s="18"/>
      <c r="MC24" s="18"/>
      <c r="MD24" s="18"/>
      <c r="ME24" s="18"/>
      <c r="MF24" s="18"/>
      <c r="MG24" s="18"/>
      <c r="MH24" s="18"/>
      <c r="MI24" s="18"/>
      <c r="MJ24" s="18"/>
      <c r="MK24" s="18"/>
      <c r="ML24" s="18"/>
      <c r="MM24" s="18"/>
      <c r="MN24" s="18"/>
      <c r="MO24" s="18"/>
      <c r="MP24" s="18"/>
      <c r="MQ24" s="18"/>
      <c r="MR24" s="18"/>
      <c r="MS24" s="18"/>
      <c r="MT24" s="18"/>
      <c r="MU24" s="18"/>
      <c r="MV24" s="18"/>
      <c r="MW24" s="18"/>
      <c r="MX24" s="18"/>
      <c r="MY24" s="18"/>
      <c r="MZ24" s="18"/>
      <c r="NA24" s="18"/>
      <c r="NB24" s="18"/>
      <c r="NC24" s="18"/>
      <c r="ND24" s="18"/>
      <c r="NE24" s="18"/>
      <c r="NF24" s="18"/>
      <c r="NG24" s="18"/>
      <c r="NH24" s="18"/>
      <c r="NI24" s="18"/>
      <c r="NJ24" s="18"/>
      <c r="NK24" s="18"/>
      <c r="NL24" s="18"/>
      <c r="NM24" s="18"/>
      <c r="NN24" s="18"/>
      <c r="NO24" s="18"/>
      <c r="NP24" s="18"/>
      <c r="NQ24" s="18"/>
      <c r="NR24" s="18"/>
      <c r="NS24" s="18"/>
      <c r="NT24" s="18"/>
      <c r="NU24" s="18"/>
      <c r="NV24" s="18"/>
      <c r="NW24" s="18"/>
      <c r="NX24" s="18"/>
      <c r="NY24" s="18"/>
      <c r="NZ24" s="18"/>
      <c r="OA24" s="18"/>
      <c r="OB24" s="18"/>
      <c r="OC24" s="18"/>
      <c r="OD24" s="18"/>
      <c r="OE24" s="18"/>
      <c r="OF24" s="18"/>
      <c r="OG24" s="18"/>
      <c r="OH24" s="18"/>
      <c r="OI24" s="18"/>
      <c r="OJ24" s="18"/>
      <c r="OK24" s="18"/>
      <c r="OL24" s="18"/>
      <c r="OM24" s="18"/>
      <c r="ON24" s="18"/>
      <c r="OO24" s="18"/>
      <c r="OP24" s="18"/>
      <c r="OQ24" s="18"/>
      <c r="OR24" s="18"/>
      <c r="OS24" s="18"/>
      <c r="OT24" s="18"/>
      <c r="OU24" s="18"/>
      <c r="OV24" s="18"/>
      <c r="OW24" s="18"/>
      <c r="OX24" s="18"/>
      <c r="OY24" s="18"/>
      <c r="OZ24" s="18"/>
      <c r="PA24" s="18"/>
      <c r="PB24" s="18"/>
      <c r="PC24" s="18"/>
      <c r="PD24" s="18"/>
      <c r="PE24" s="18"/>
      <c r="PF24" s="18"/>
      <c r="PG24" s="18"/>
      <c r="PH24" s="18"/>
      <c r="PI24" s="18"/>
      <c r="PJ24" s="18"/>
      <c r="PK24" s="18"/>
      <c r="PL24" s="18"/>
      <c r="PM24" s="18"/>
      <c r="PN24" s="18"/>
      <c r="PO24" s="18"/>
      <c r="PP24" s="18"/>
      <c r="PQ24" s="18"/>
      <c r="PR24" s="18"/>
      <c r="PS24" s="18"/>
      <c r="PT24" s="18"/>
      <c r="PU24" s="18"/>
      <c r="PV24" s="18"/>
      <c r="PW24" s="18"/>
      <c r="PX24" s="18"/>
      <c r="PY24" s="18"/>
      <c r="PZ24" s="18"/>
      <c r="QA24" s="18"/>
      <c r="QB24" s="18"/>
      <c r="QC24" s="18"/>
      <c r="QD24" s="18"/>
      <c r="QE24" s="18"/>
      <c r="QF24" s="18"/>
      <c r="QG24" s="18"/>
      <c r="QH24" s="18"/>
      <c r="QI24" s="18"/>
      <c r="QJ24" s="18"/>
      <c r="QK24" s="18"/>
      <c r="QL24" s="18"/>
      <c r="QM24" s="18"/>
      <c r="QN24" s="18"/>
      <c r="QO24" s="18"/>
      <c r="QP24" s="18"/>
      <c r="QQ24" s="18"/>
      <c r="QR24" s="18"/>
      <c r="QS24" s="18"/>
      <c r="QT24" s="18"/>
      <c r="QU24" s="18"/>
      <c r="QV24" s="18"/>
      <c r="QW24" s="18"/>
      <c r="QX24" s="18"/>
      <c r="QY24" s="18"/>
      <c r="QZ24" s="18"/>
      <c r="RA24" s="18"/>
      <c r="RB24" s="18"/>
      <c r="RC24" s="18"/>
      <c r="RD24" s="18"/>
      <c r="RE24" s="18"/>
      <c r="RF24" s="18"/>
      <c r="RG24" s="18"/>
      <c r="RH24" s="18"/>
      <c r="RI24" s="18"/>
      <c r="RJ24" s="18"/>
      <c r="RK24" s="18"/>
      <c r="RL24" s="18"/>
      <c r="RM24" s="18"/>
      <c r="RN24" s="18"/>
      <c r="RO24" s="18"/>
      <c r="RP24" s="18"/>
      <c r="RQ24" s="18"/>
      <c r="RR24" s="18"/>
      <c r="RS24" s="18"/>
      <c r="RT24" s="18"/>
      <c r="RU24" s="18"/>
      <c r="RV24" s="18"/>
      <c r="RW24" s="18"/>
      <c r="RX24" s="18"/>
      <c r="RY24" s="18"/>
      <c r="RZ24" s="18"/>
      <c r="SA24" s="18"/>
      <c r="SB24" s="18"/>
      <c r="SC24" s="18"/>
      <c r="SD24" s="18"/>
      <c r="SE24" s="18"/>
      <c r="SF24" s="18"/>
      <c r="SG24" s="18"/>
      <c r="SH24" s="18"/>
      <c r="SI24" s="18"/>
      <c r="SJ24" s="18"/>
      <c r="SK24" s="18"/>
      <c r="SL24" s="18"/>
      <c r="SM24" s="18"/>
      <c r="SN24" s="18"/>
      <c r="SO24" s="18"/>
      <c r="SP24" s="18"/>
      <c r="SQ24" s="18"/>
      <c r="SR24" s="18"/>
      <c r="SS24" s="18"/>
      <c r="ST24" s="18"/>
      <c r="SU24" s="18"/>
      <c r="SV24" s="18"/>
      <c r="SW24" s="18"/>
      <c r="SX24" s="18"/>
      <c r="SY24" s="18"/>
      <c r="SZ24" s="18"/>
      <c r="TA24" s="18"/>
      <c r="TB24" s="18"/>
      <c r="TC24" s="18"/>
      <c r="TD24" s="18"/>
      <c r="TE24" s="18"/>
      <c r="TF24" s="18"/>
      <c r="TG24" s="18"/>
      <c r="TH24" s="18"/>
      <c r="TI24" s="18"/>
      <c r="TJ24" s="18"/>
      <c r="TK24" s="18"/>
      <c r="TL24" s="18"/>
      <c r="TM24" s="18"/>
      <c r="TN24" s="18"/>
      <c r="TO24" s="18"/>
      <c r="TP24" s="18"/>
      <c r="TQ24" s="18"/>
      <c r="TR24" s="18"/>
      <c r="TS24" s="18"/>
      <c r="TT24" s="18"/>
      <c r="TU24" s="18"/>
      <c r="TV24" s="18"/>
      <c r="TW24" s="18"/>
      <c r="TX24" s="18"/>
      <c r="TY24" s="18"/>
      <c r="TZ24" s="18"/>
      <c r="UA24" s="18"/>
      <c r="UB24" s="18"/>
      <c r="UC24" s="18"/>
      <c r="UD24" s="18"/>
      <c r="UE24" s="18"/>
      <c r="UF24" s="18"/>
      <c r="UG24" s="18"/>
      <c r="UH24" s="18"/>
      <c r="UI24" s="18"/>
      <c r="UJ24" s="18"/>
      <c r="UK24" s="18"/>
      <c r="UL24" s="18"/>
      <c r="UM24" s="18"/>
      <c r="UN24" s="18"/>
      <c r="UO24" s="18"/>
      <c r="UP24" s="18"/>
      <c r="UQ24" s="18"/>
      <c r="UR24" s="18"/>
      <c r="US24" s="18"/>
      <c r="UT24" s="18"/>
      <c r="UU24" s="18"/>
      <c r="UV24" s="18"/>
      <c r="UW24" s="18"/>
      <c r="UX24" s="18"/>
      <c r="UY24" s="18"/>
      <c r="UZ24" s="18"/>
      <c r="VA24" s="18"/>
      <c r="VB24" s="18"/>
      <c r="VC24" s="18"/>
      <c r="VD24" s="18"/>
      <c r="VE24" s="18"/>
      <c r="VF24" s="18"/>
      <c r="VG24" s="18"/>
      <c r="VH24" s="18"/>
      <c r="VI24" s="18"/>
      <c r="VJ24" s="18"/>
      <c r="VK24" s="18"/>
      <c r="VL24" s="18"/>
      <c r="VM24" s="18"/>
      <c r="VN24" s="18"/>
      <c r="VO24" s="18"/>
      <c r="VP24" s="18"/>
      <c r="VQ24" s="18"/>
      <c r="VR24" s="18"/>
      <c r="VS24" s="18"/>
    </row>
    <row r="25" spans="1:591" s="17" customFormat="1" ht="16.2" customHeight="1" x14ac:dyDescent="0.3">
      <c r="A25" s="81"/>
      <c r="B25" s="118"/>
      <c r="C25" s="19"/>
      <c r="D25" s="19"/>
      <c r="E25" s="27"/>
      <c r="F25" s="26"/>
      <c r="G25" s="26">
        <f>Milestones43524[[#This Row],[Start]]+Milestones43524[[#This Row],[Days]]</f>
        <v>0</v>
      </c>
      <c r="H25" s="25"/>
      <c r="I25" s="19"/>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c r="QQ25" s="18"/>
      <c r="QR25" s="18"/>
      <c r="QS25" s="18"/>
      <c r="QT25" s="18"/>
      <c r="QU25" s="18"/>
      <c r="QV25" s="18"/>
      <c r="QW25" s="18"/>
      <c r="QX25" s="18"/>
      <c r="QY25" s="18"/>
      <c r="QZ25" s="18"/>
      <c r="RA25" s="18"/>
      <c r="RB25" s="18"/>
      <c r="RC25" s="18"/>
      <c r="RD25" s="18"/>
      <c r="RE25" s="18"/>
      <c r="RF25" s="18"/>
      <c r="RG25" s="18"/>
      <c r="RH25" s="18"/>
      <c r="RI25" s="18"/>
      <c r="RJ25" s="18"/>
      <c r="RK25" s="18"/>
      <c r="RL25" s="18"/>
      <c r="RM25" s="18"/>
      <c r="RN25" s="18"/>
      <c r="RO25" s="18"/>
      <c r="RP25" s="18"/>
      <c r="RQ25" s="18"/>
      <c r="RR25" s="18"/>
      <c r="RS25" s="18"/>
      <c r="RT25" s="18"/>
      <c r="RU25" s="18"/>
      <c r="RV25" s="18"/>
      <c r="RW25" s="18"/>
      <c r="RX25" s="18"/>
      <c r="RY25" s="18"/>
      <c r="RZ25" s="18"/>
      <c r="SA25" s="18"/>
      <c r="SB25" s="18"/>
      <c r="SC25" s="18"/>
      <c r="SD25" s="18"/>
      <c r="SE25" s="18"/>
      <c r="SF25" s="18"/>
      <c r="SG25" s="18"/>
      <c r="SH25" s="18"/>
      <c r="SI25" s="18"/>
      <c r="SJ25" s="18"/>
      <c r="SK25" s="18"/>
      <c r="SL25" s="18"/>
      <c r="SM25" s="18"/>
      <c r="SN25" s="18"/>
      <c r="SO25" s="18"/>
      <c r="SP25" s="18"/>
      <c r="SQ25" s="18"/>
      <c r="SR25" s="18"/>
      <c r="SS25" s="18"/>
      <c r="ST25" s="18"/>
      <c r="SU25" s="18"/>
      <c r="SV25" s="18"/>
      <c r="SW25" s="18"/>
      <c r="SX25" s="18"/>
      <c r="SY25" s="18"/>
      <c r="SZ25" s="18"/>
      <c r="TA25" s="18"/>
      <c r="TB25" s="18"/>
      <c r="TC25" s="18"/>
      <c r="TD25" s="18"/>
      <c r="TE25" s="18"/>
      <c r="TF25" s="18"/>
      <c r="TG25" s="18"/>
      <c r="TH25" s="18"/>
      <c r="TI25" s="18"/>
      <c r="TJ25" s="18"/>
      <c r="TK25" s="18"/>
      <c r="TL25" s="18"/>
      <c r="TM25" s="18"/>
      <c r="TN25" s="18"/>
      <c r="TO25" s="18"/>
      <c r="TP25" s="18"/>
      <c r="TQ25" s="18"/>
      <c r="TR25" s="18"/>
      <c r="TS25" s="18"/>
      <c r="TT25" s="18"/>
      <c r="TU25" s="18"/>
      <c r="TV25" s="18"/>
      <c r="TW25" s="18"/>
      <c r="TX25" s="18"/>
      <c r="TY25" s="18"/>
      <c r="TZ25" s="18"/>
      <c r="UA25" s="18"/>
      <c r="UB25" s="18"/>
      <c r="UC25" s="18"/>
      <c r="UD25" s="18"/>
      <c r="UE25" s="18"/>
      <c r="UF25" s="18"/>
      <c r="UG25" s="18"/>
      <c r="UH25" s="18"/>
      <c r="UI25" s="18"/>
      <c r="UJ25" s="18"/>
      <c r="UK25" s="18"/>
      <c r="UL25" s="18"/>
      <c r="UM25" s="18"/>
      <c r="UN25" s="18"/>
      <c r="UO25" s="18"/>
      <c r="UP25" s="18"/>
      <c r="UQ25" s="18"/>
      <c r="UR25" s="18"/>
      <c r="US25" s="18"/>
      <c r="UT25" s="18"/>
      <c r="UU25" s="18"/>
      <c r="UV25" s="18"/>
      <c r="UW25" s="18"/>
      <c r="UX25" s="18"/>
      <c r="UY25" s="18"/>
      <c r="UZ25" s="18"/>
      <c r="VA25" s="18"/>
      <c r="VB25" s="18"/>
      <c r="VC25" s="18"/>
      <c r="VD25" s="18"/>
      <c r="VE25" s="18"/>
      <c r="VF25" s="18"/>
      <c r="VG25" s="18"/>
      <c r="VH25" s="18"/>
      <c r="VI25" s="18"/>
      <c r="VJ25" s="18"/>
      <c r="VK25" s="18"/>
      <c r="VL25" s="18"/>
      <c r="VM25" s="18"/>
      <c r="VN25" s="18"/>
      <c r="VO25" s="18"/>
      <c r="VP25" s="18"/>
      <c r="VQ25" s="18"/>
      <c r="VR25" s="18"/>
      <c r="VS25" s="18"/>
    </row>
    <row r="26" spans="1:591" s="17" customFormat="1" ht="16.2" customHeight="1" x14ac:dyDescent="0.3">
      <c r="A26" s="81"/>
      <c r="B26" s="118"/>
      <c r="C26" s="19"/>
      <c r="D26" s="19"/>
      <c r="E26" s="27"/>
      <c r="F26" s="26"/>
      <c r="G26" s="26">
        <f>Milestones43524[[#This Row],[Start]]+Milestones43524[[#This Row],[Days]]</f>
        <v>0</v>
      </c>
      <c r="H26" s="25"/>
      <c r="I26" s="19"/>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c r="QQ26" s="18"/>
      <c r="QR26" s="18"/>
      <c r="QS26" s="18"/>
      <c r="QT26" s="18"/>
      <c r="QU26" s="18"/>
      <c r="QV26" s="18"/>
      <c r="QW26" s="18"/>
      <c r="QX26" s="18"/>
      <c r="QY26" s="18"/>
      <c r="QZ26" s="18"/>
      <c r="RA26" s="18"/>
      <c r="RB26" s="18"/>
      <c r="RC26" s="18"/>
      <c r="RD26" s="18"/>
      <c r="RE26" s="18"/>
      <c r="RF26" s="18"/>
      <c r="RG26" s="18"/>
      <c r="RH26" s="18"/>
      <c r="RI26" s="18"/>
      <c r="RJ26" s="18"/>
      <c r="RK26" s="18"/>
      <c r="RL26" s="18"/>
      <c r="RM26" s="18"/>
      <c r="RN26" s="18"/>
      <c r="RO26" s="18"/>
      <c r="RP26" s="18"/>
      <c r="RQ26" s="18"/>
      <c r="RR26" s="18"/>
      <c r="RS26" s="18"/>
      <c r="RT26" s="18"/>
      <c r="RU26" s="18"/>
      <c r="RV26" s="18"/>
      <c r="RW26" s="18"/>
      <c r="RX26" s="18"/>
      <c r="RY26" s="18"/>
      <c r="RZ26" s="18"/>
      <c r="SA26" s="18"/>
      <c r="SB26" s="18"/>
      <c r="SC26" s="18"/>
      <c r="SD26" s="18"/>
      <c r="SE26" s="18"/>
      <c r="SF26" s="18"/>
      <c r="SG26" s="18"/>
      <c r="SH26" s="18"/>
      <c r="SI26" s="18"/>
      <c r="SJ26" s="18"/>
      <c r="SK26" s="18"/>
      <c r="SL26" s="18"/>
      <c r="SM26" s="18"/>
      <c r="SN26" s="18"/>
      <c r="SO26" s="18"/>
      <c r="SP26" s="18"/>
      <c r="SQ26" s="18"/>
      <c r="SR26" s="18"/>
      <c r="SS26" s="18"/>
      <c r="ST26" s="18"/>
      <c r="SU26" s="18"/>
      <c r="SV26" s="18"/>
      <c r="SW26" s="18"/>
      <c r="SX26" s="18"/>
      <c r="SY26" s="18"/>
      <c r="SZ26" s="18"/>
      <c r="TA26" s="18"/>
      <c r="TB26" s="18"/>
      <c r="TC26" s="18"/>
      <c r="TD26" s="18"/>
      <c r="TE26" s="18"/>
      <c r="TF26" s="18"/>
      <c r="TG26" s="18"/>
      <c r="TH26" s="18"/>
      <c r="TI26" s="18"/>
      <c r="TJ26" s="18"/>
      <c r="TK26" s="18"/>
      <c r="TL26" s="18"/>
      <c r="TM26" s="18"/>
      <c r="TN26" s="18"/>
      <c r="TO26" s="18"/>
      <c r="TP26" s="18"/>
      <c r="TQ26" s="18"/>
      <c r="TR26" s="18"/>
      <c r="TS26" s="18"/>
      <c r="TT26" s="18"/>
      <c r="TU26" s="18"/>
      <c r="TV26" s="18"/>
      <c r="TW26" s="18"/>
      <c r="TX26" s="18"/>
      <c r="TY26" s="18"/>
      <c r="TZ26" s="18"/>
      <c r="UA26" s="18"/>
      <c r="UB26" s="18"/>
      <c r="UC26" s="18"/>
      <c r="UD26" s="18"/>
      <c r="UE26" s="18"/>
      <c r="UF26" s="18"/>
      <c r="UG26" s="18"/>
      <c r="UH26" s="18"/>
      <c r="UI26" s="18"/>
      <c r="UJ26" s="18"/>
      <c r="UK26" s="18"/>
      <c r="UL26" s="18"/>
      <c r="UM26" s="18"/>
      <c r="UN26" s="18"/>
      <c r="UO26" s="18"/>
      <c r="UP26" s="18"/>
      <c r="UQ26" s="18"/>
      <c r="UR26" s="18"/>
      <c r="US26" s="18"/>
      <c r="UT26" s="18"/>
      <c r="UU26" s="18"/>
      <c r="UV26" s="18"/>
      <c r="UW26" s="18"/>
      <c r="UX26" s="18"/>
      <c r="UY26" s="18"/>
      <c r="UZ26" s="18"/>
      <c r="VA26" s="18"/>
      <c r="VB26" s="18"/>
      <c r="VC26" s="18"/>
      <c r="VD26" s="18"/>
      <c r="VE26" s="18"/>
      <c r="VF26" s="18"/>
      <c r="VG26" s="18"/>
      <c r="VH26" s="18"/>
      <c r="VI26" s="18"/>
      <c r="VJ26" s="18"/>
      <c r="VK26" s="18"/>
      <c r="VL26" s="18"/>
      <c r="VM26" s="18"/>
      <c r="VN26" s="18"/>
      <c r="VO26" s="18"/>
      <c r="VP26" s="18"/>
      <c r="VQ26" s="18"/>
      <c r="VR26" s="18"/>
      <c r="VS26" s="18"/>
    </row>
    <row r="27" spans="1:591" s="17" customFormat="1" ht="16.2" customHeight="1" x14ac:dyDescent="0.3">
      <c r="A27" s="81"/>
      <c r="B27" s="118"/>
      <c r="C27" s="19"/>
      <c r="D27" s="19"/>
      <c r="E27" s="27"/>
      <c r="F27" s="26"/>
      <c r="G27" s="26">
        <f>Milestones43524[[#This Row],[Start]]+Milestones43524[[#This Row],[Days]]</f>
        <v>0</v>
      </c>
      <c r="H27" s="25"/>
      <c r="I27" s="19"/>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c r="QQ27" s="18"/>
      <c r="QR27" s="18"/>
      <c r="QS27" s="18"/>
      <c r="QT27" s="18"/>
      <c r="QU27" s="18"/>
      <c r="QV27" s="18"/>
      <c r="QW27" s="18"/>
      <c r="QX27" s="18"/>
      <c r="QY27" s="18"/>
      <c r="QZ27" s="18"/>
      <c r="RA27" s="18"/>
      <c r="RB27" s="18"/>
      <c r="RC27" s="18"/>
      <c r="RD27" s="18"/>
      <c r="RE27" s="18"/>
      <c r="RF27" s="18"/>
      <c r="RG27" s="18"/>
      <c r="RH27" s="18"/>
      <c r="RI27" s="18"/>
      <c r="RJ27" s="18"/>
      <c r="RK27" s="18"/>
      <c r="RL27" s="18"/>
      <c r="RM27" s="18"/>
      <c r="RN27" s="18"/>
      <c r="RO27" s="18"/>
      <c r="RP27" s="18"/>
      <c r="RQ27" s="18"/>
      <c r="RR27" s="18"/>
      <c r="RS27" s="18"/>
      <c r="RT27" s="18"/>
      <c r="RU27" s="18"/>
      <c r="RV27" s="18"/>
      <c r="RW27" s="18"/>
      <c r="RX27" s="18"/>
      <c r="RY27" s="18"/>
      <c r="RZ27" s="18"/>
      <c r="SA27" s="18"/>
      <c r="SB27" s="18"/>
      <c r="SC27" s="18"/>
      <c r="SD27" s="18"/>
      <c r="SE27" s="18"/>
      <c r="SF27" s="18"/>
      <c r="SG27" s="18"/>
      <c r="SH27" s="18"/>
      <c r="SI27" s="18"/>
      <c r="SJ27" s="18"/>
      <c r="SK27" s="18"/>
      <c r="SL27" s="18"/>
      <c r="SM27" s="18"/>
      <c r="SN27" s="18"/>
      <c r="SO27" s="18"/>
      <c r="SP27" s="18"/>
      <c r="SQ27" s="18"/>
      <c r="SR27" s="18"/>
      <c r="SS27" s="18"/>
      <c r="ST27" s="18"/>
      <c r="SU27" s="18"/>
      <c r="SV27" s="18"/>
      <c r="SW27" s="18"/>
      <c r="SX27" s="18"/>
      <c r="SY27" s="18"/>
      <c r="SZ27" s="18"/>
      <c r="TA27" s="18"/>
      <c r="TB27" s="18"/>
      <c r="TC27" s="18"/>
      <c r="TD27" s="18"/>
      <c r="TE27" s="18"/>
      <c r="TF27" s="18"/>
      <c r="TG27" s="18"/>
      <c r="TH27" s="18"/>
      <c r="TI27" s="18"/>
      <c r="TJ27" s="18"/>
      <c r="TK27" s="18"/>
      <c r="TL27" s="18"/>
      <c r="TM27" s="18"/>
      <c r="TN27" s="18"/>
      <c r="TO27" s="18"/>
      <c r="TP27" s="18"/>
      <c r="TQ27" s="18"/>
      <c r="TR27" s="18"/>
      <c r="TS27" s="18"/>
      <c r="TT27" s="18"/>
      <c r="TU27" s="18"/>
      <c r="TV27" s="18"/>
      <c r="TW27" s="18"/>
      <c r="TX27" s="18"/>
      <c r="TY27" s="18"/>
      <c r="TZ27" s="18"/>
      <c r="UA27" s="18"/>
      <c r="UB27" s="18"/>
      <c r="UC27" s="18"/>
      <c r="UD27" s="18"/>
      <c r="UE27" s="18"/>
      <c r="UF27" s="18"/>
      <c r="UG27" s="18"/>
      <c r="UH27" s="18"/>
      <c r="UI27" s="18"/>
      <c r="UJ27" s="18"/>
      <c r="UK27" s="18"/>
      <c r="UL27" s="18"/>
      <c r="UM27" s="18"/>
      <c r="UN27" s="18"/>
      <c r="UO27" s="18"/>
      <c r="UP27" s="18"/>
      <c r="UQ27" s="18"/>
      <c r="UR27" s="18"/>
      <c r="US27" s="18"/>
      <c r="UT27" s="18"/>
      <c r="UU27" s="18"/>
      <c r="UV27" s="18"/>
      <c r="UW27" s="18"/>
      <c r="UX27" s="18"/>
      <c r="UY27" s="18"/>
      <c r="UZ27" s="18"/>
      <c r="VA27" s="18"/>
      <c r="VB27" s="18"/>
      <c r="VC27" s="18"/>
      <c r="VD27" s="18"/>
      <c r="VE27" s="18"/>
      <c r="VF27" s="18"/>
      <c r="VG27" s="18"/>
      <c r="VH27" s="18"/>
      <c r="VI27" s="18"/>
      <c r="VJ27" s="18"/>
      <c r="VK27" s="18"/>
      <c r="VL27" s="18"/>
      <c r="VM27" s="18"/>
      <c r="VN27" s="18"/>
      <c r="VO27" s="18"/>
      <c r="VP27" s="18"/>
      <c r="VQ27" s="18"/>
      <c r="VR27" s="18"/>
      <c r="VS27" s="18"/>
    </row>
    <row r="28" spans="1:591" s="17" customFormat="1" ht="16.2" customHeight="1" x14ac:dyDescent="0.3">
      <c r="A28" s="81"/>
      <c r="B28" s="118"/>
      <c r="C28" s="19"/>
      <c r="D28" s="19"/>
      <c r="E28" s="27"/>
      <c r="F28" s="26"/>
      <c r="G28" s="26">
        <f>Milestones43524[[#This Row],[Start]]+Milestones43524[[#This Row],[Days]]</f>
        <v>0</v>
      </c>
      <c r="H28" s="25"/>
      <c r="I28" s="19"/>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c r="QQ28" s="18"/>
      <c r="QR28" s="18"/>
      <c r="QS28" s="18"/>
      <c r="QT28" s="18"/>
      <c r="QU28" s="18"/>
      <c r="QV28" s="18"/>
      <c r="QW28" s="18"/>
      <c r="QX28" s="18"/>
      <c r="QY28" s="18"/>
      <c r="QZ28" s="18"/>
      <c r="RA28" s="18"/>
      <c r="RB28" s="18"/>
      <c r="RC28" s="18"/>
      <c r="RD28" s="18"/>
      <c r="RE28" s="18"/>
      <c r="RF28" s="18"/>
      <c r="RG28" s="18"/>
      <c r="RH28" s="18"/>
      <c r="RI28" s="18"/>
      <c r="RJ28" s="18"/>
      <c r="RK28" s="18"/>
      <c r="RL28" s="18"/>
      <c r="RM28" s="18"/>
      <c r="RN28" s="18"/>
      <c r="RO28" s="18"/>
      <c r="RP28" s="18"/>
      <c r="RQ28" s="18"/>
      <c r="RR28" s="18"/>
      <c r="RS28" s="18"/>
      <c r="RT28" s="18"/>
      <c r="RU28" s="18"/>
      <c r="RV28" s="18"/>
      <c r="RW28" s="18"/>
      <c r="RX28" s="18"/>
      <c r="RY28" s="18"/>
      <c r="RZ28" s="18"/>
      <c r="SA28" s="18"/>
      <c r="SB28" s="18"/>
      <c r="SC28" s="18"/>
      <c r="SD28" s="18"/>
      <c r="SE28" s="18"/>
      <c r="SF28" s="18"/>
      <c r="SG28" s="18"/>
      <c r="SH28" s="18"/>
      <c r="SI28" s="18"/>
      <c r="SJ28" s="18"/>
      <c r="SK28" s="18"/>
      <c r="SL28" s="18"/>
      <c r="SM28" s="18"/>
      <c r="SN28" s="18"/>
      <c r="SO28" s="18"/>
      <c r="SP28" s="18"/>
      <c r="SQ28" s="18"/>
      <c r="SR28" s="18"/>
      <c r="SS28" s="18"/>
      <c r="ST28" s="18"/>
      <c r="SU28" s="18"/>
      <c r="SV28" s="18"/>
      <c r="SW28" s="18"/>
      <c r="SX28" s="18"/>
      <c r="SY28" s="18"/>
      <c r="SZ28" s="18"/>
      <c r="TA28" s="18"/>
      <c r="TB28" s="18"/>
      <c r="TC28" s="18"/>
      <c r="TD28" s="18"/>
      <c r="TE28" s="18"/>
      <c r="TF28" s="18"/>
      <c r="TG28" s="18"/>
      <c r="TH28" s="18"/>
      <c r="TI28" s="18"/>
      <c r="TJ28" s="18"/>
      <c r="TK28" s="18"/>
      <c r="TL28" s="18"/>
      <c r="TM28" s="18"/>
      <c r="TN28" s="18"/>
      <c r="TO28" s="18"/>
      <c r="TP28" s="18"/>
      <c r="TQ28" s="18"/>
      <c r="TR28" s="18"/>
      <c r="TS28" s="18"/>
      <c r="TT28" s="18"/>
      <c r="TU28" s="18"/>
      <c r="TV28" s="18"/>
      <c r="TW28" s="18"/>
      <c r="TX28" s="18"/>
      <c r="TY28" s="18"/>
      <c r="TZ28" s="18"/>
      <c r="UA28" s="18"/>
      <c r="UB28" s="18"/>
      <c r="UC28" s="18"/>
      <c r="UD28" s="18"/>
      <c r="UE28" s="18"/>
      <c r="UF28" s="18"/>
      <c r="UG28" s="18"/>
      <c r="UH28" s="18"/>
      <c r="UI28" s="18"/>
      <c r="UJ28" s="18"/>
      <c r="UK28" s="18"/>
      <c r="UL28" s="18"/>
      <c r="UM28" s="18"/>
      <c r="UN28" s="18"/>
      <c r="UO28" s="18"/>
      <c r="UP28" s="18"/>
      <c r="UQ28" s="18"/>
      <c r="UR28" s="18"/>
      <c r="US28" s="18"/>
      <c r="UT28" s="18"/>
      <c r="UU28" s="18"/>
      <c r="UV28" s="18"/>
      <c r="UW28" s="18"/>
      <c r="UX28" s="18"/>
      <c r="UY28" s="18"/>
      <c r="UZ28" s="18"/>
      <c r="VA28" s="18"/>
      <c r="VB28" s="18"/>
      <c r="VC28" s="18"/>
      <c r="VD28" s="18"/>
      <c r="VE28" s="18"/>
      <c r="VF28" s="18"/>
      <c r="VG28" s="18"/>
      <c r="VH28" s="18"/>
      <c r="VI28" s="18"/>
      <c r="VJ28" s="18"/>
      <c r="VK28" s="18"/>
      <c r="VL28" s="18"/>
      <c r="VM28" s="18"/>
      <c r="VN28" s="18"/>
      <c r="VO28" s="18"/>
      <c r="VP28" s="18"/>
      <c r="VQ28" s="18"/>
      <c r="VR28" s="18"/>
      <c r="VS28" s="18"/>
    </row>
    <row r="29" spans="1:591" s="17" customFormat="1" ht="16.2" customHeight="1" x14ac:dyDescent="0.3">
      <c r="A29" s="81"/>
      <c r="B29" s="118"/>
      <c r="C29" s="19"/>
      <c r="D29" s="19"/>
      <c r="E29" s="27"/>
      <c r="F29" s="26"/>
      <c r="G29" s="26">
        <f>Milestones43524[[#This Row],[Start]]+Milestones43524[[#This Row],[Days]]</f>
        <v>0</v>
      </c>
      <c r="H29" s="25"/>
      <c r="I29" s="19"/>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c r="QQ29" s="18"/>
      <c r="QR29" s="18"/>
      <c r="QS29" s="18"/>
      <c r="QT29" s="18"/>
      <c r="QU29" s="18"/>
      <c r="QV29" s="18"/>
      <c r="QW29" s="18"/>
      <c r="QX29" s="18"/>
      <c r="QY29" s="18"/>
      <c r="QZ29" s="18"/>
      <c r="RA29" s="18"/>
      <c r="RB29" s="18"/>
      <c r="RC29" s="18"/>
      <c r="RD29" s="18"/>
      <c r="RE29" s="18"/>
      <c r="RF29" s="18"/>
      <c r="RG29" s="18"/>
      <c r="RH29" s="18"/>
      <c r="RI29" s="18"/>
      <c r="RJ29" s="18"/>
      <c r="RK29" s="18"/>
      <c r="RL29" s="18"/>
      <c r="RM29" s="18"/>
      <c r="RN29" s="18"/>
      <c r="RO29" s="18"/>
      <c r="RP29" s="18"/>
      <c r="RQ29" s="18"/>
      <c r="RR29" s="18"/>
      <c r="RS29" s="18"/>
      <c r="RT29" s="18"/>
      <c r="RU29" s="18"/>
      <c r="RV29" s="18"/>
      <c r="RW29" s="18"/>
      <c r="RX29" s="18"/>
      <c r="RY29" s="18"/>
      <c r="RZ29" s="18"/>
      <c r="SA29" s="18"/>
      <c r="SB29" s="18"/>
      <c r="SC29" s="18"/>
      <c r="SD29" s="18"/>
      <c r="SE29" s="18"/>
      <c r="SF29" s="18"/>
      <c r="SG29" s="18"/>
      <c r="SH29" s="18"/>
      <c r="SI29" s="18"/>
      <c r="SJ29" s="18"/>
      <c r="SK29" s="18"/>
      <c r="SL29" s="18"/>
      <c r="SM29" s="18"/>
      <c r="SN29" s="18"/>
      <c r="SO29" s="18"/>
      <c r="SP29" s="18"/>
      <c r="SQ29" s="18"/>
      <c r="SR29" s="18"/>
      <c r="SS29" s="18"/>
      <c r="ST29" s="18"/>
      <c r="SU29" s="18"/>
      <c r="SV29" s="18"/>
      <c r="SW29" s="18"/>
      <c r="SX29" s="18"/>
      <c r="SY29" s="18"/>
      <c r="SZ29" s="18"/>
      <c r="TA29" s="18"/>
      <c r="TB29" s="18"/>
      <c r="TC29" s="18"/>
      <c r="TD29" s="18"/>
      <c r="TE29" s="18"/>
      <c r="TF29" s="18"/>
      <c r="TG29" s="18"/>
      <c r="TH29" s="18"/>
      <c r="TI29" s="18"/>
      <c r="TJ29" s="18"/>
      <c r="TK29" s="18"/>
      <c r="TL29" s="18"/>
      <c r="TM29" s="18"/>
      <c r="TN29" s="18"/>
      <c r="TO29" s="18"/>
      <c r="TP29" s="18"/>
      <c r="TQ29" s="18"/>
      <c r="TR29" s="18"/>
      <c r="TS29" s="18"/>
      <c r="TT29" s="18"/>
      <c r="TU29" s="18"/>
      <c r="TV29" s="18"/>
      <c r="TW29" s="18"/>
      <c r="TX29" s="18"/>
      <c r="TY29" s="18"/>
      <c r="TZ29" s="18"/>
      <c r="UA29" s="18"/>
      <c r="UB29" s="18"/>
      <c r="UC29" s="18"/>
      <c r="UD29" s="18"/>
      <c r="UE29" s="18"/>
      <c r="UF29" s="18"/>
      <c r="UG29" s="18"/>
      <c r="UH29" s="18"/>
      <c r="UI29" s="18"/>
      <c r="UJ29" s="18"/>
      <c r="UK29" s="18"/>
      <c r="UL29" s="18"/>
      <c r="UM29" s="18"/>
      <c r="UN29" s="18"/>
      <c r="UO29" s="18"/>
      <c r="UP29" s="18"/>
      <c r="UQ29" s="18"/>
      <c r="UR29" s="18"/>
      <c r="US29" s="18"/>
      <c r="UT29" s="18"/>
      <c r="UU29" s="18"/>
      <c r="UV29" s="18"/>
      <c r="UW29" s="18"/>
      <c r="UX29" s="18"/>
      <c r="UY29" s="18"/>
      <c r="UZ29" s="18"/>
      <c r="VA29" s="18"/>
      <c r="VB29" s="18"/>
      <c r="VC29" s="18"/>
      <c r="VD29" s="18"/>
      <c r="VE29" s="18"/>
      <c r="VF29" s="18"/>
      <c r="VG29" s="18"/>
      <c r="VH29" s="18"/>
      <c r="VI29" s="18"/>
      <c r="VJ29" s="18"/>
      <c r="VK29" s="18"/>
      <c r="VL29" s="18"/>
      <c r="VM29" s="18"/>
      <c r="VN29" s="18"/>
      <c r="VO29" s="18"/>
      <c r="VP29" s="18"/>
      <c r="VQ29" s="18"/>
      <c r="VR29" s="18"/>
      <c r="VS29" s="18"/>
    </row>
    <row r="30" spans="1:591" s="80" customFormat="1" ht="21.6" customHeight="1" x14ac:dyDescent="0.3">
      <c r="A30" s="82"/>
      <c r="B30" s="84" t="str">
        <f>'CoS Tracker'!B10</f>
        <v>0801S</v>
      </c>
      <c r="C30" s="76"/>
      <c r="D30" s="76"/>
      <c r="E30" s="77"/>
      <c r="F30" s="78"/>
      <c r="G30" s="78"/>
      <c r="H30" s="79"/>
      <c r="I30" s="76"/>
      <c r="J30" s="76" t="str">
        <f t="shared" ref="J30:S44" ca="1" si="69">IF(AND($C30="Goal",J$7&gt;=$F30,J$7&lt;=$F30+$H30-1),2,IF(AND($C30="Milestone",J$7&gt;=$F30,J$7&lt;=$F30+$H30-1),1,""))</f>
        <v/>
      </c>
      <c r="K30" s="76" t="str">
        <f t="shared" ca="1" si="69"/>
        <v/>
      </c>
      <c r="L30" s="76" t="str">
        <f t="shared" ca="1" si="69"/>
        <v/>
      </c>
      <c r="M30" s="76" t="str">
        <f t="shared" ca="1" si="69"/>
        <v/>
      </c>
      <c r="N30" s="76" t="str">
        <f t="shared" ca="1" si="69"/>
        <v/>
      </c>
      <c r="O30" s="76" t="str">
        <f t="shared" ca="1" si="69"/>
        <v/>
      </c>
      <c r="P30" s="76" t="str">
        <f t="shared" ca="1" si="69"/>
        <v/>
      </c>
      <c r="Q30" s="76" t="str">
        <f t="shared" ca="1" si="69"/>
        <v/>
      </c>
      <c r="R30" s="76" t="str">
        <f t="shared" ca="1" si="69"/>
        <v/>
      </c>
      <c r="S30" s="76" t="str">
        <f t="shared" ca="1" si="69"/>
        <v/>
      </c>
      <c r="T30" s="76" t="str">
        <f t="shared" ref="T30:AC44" ca="1" si="70">IF(AND($C30="Goal",T$7&gt;=$F30,T$7&lt;=$F30+$H30-1),2,IF(AND($C30="Milestone",T$7&gt;=$F30,T$7&lt;=$F30+$H30-1),1,""))</f>
        <v/>
      </c>
      <c r="U30" s="76" t="str">
        <f t="shared" ca="1" si="70"/>
        <v/>
      </c>
      <c r="V30" s="76" t="str">
        <f t="shared" ca="1" si="70"/>
        <v/>
      </c>
      <c r="W30" s="76" t="str">
        <f t="shared" ca="1" si="70"/>
        <v/>
      </c>
      <c r="X30" s="76" t="str">
        <f t="shared" ca="1" si="70"/>
        <v/>
      </c>
      <c r="Y30" s="76" t="str">
        <f t="shared" ca="1" si="70"/>
        <v/>
      </c>
      <c r="Z30" s="76" t="str">
        <f t="shared" ca="1" si="70"/>
        <v/>
      </c>
      <c r="AA30" s="76" t="str">
        <f t="shared" ca="1" si="70"/>
        <v/>
      </c>
      <c r="AB30" s="76" t="str">
        <f t="shared" ca="1" si="70"/>
        <v/>
      </c>
      <c r="AC30" s="76" t="str">
        <f t="shared" ca="1" si="70"/>
        <v/>
      </c>
      <c r="AD30" s="76" t="str">
        <f t="shared" ref="AD30:AM44" ca="1" si="71">IF(AND($C30="Goal",AD$7&gt;=$F30,AD$7&lt;=$F30+$H30-1),2,IF(AND($C30="Milestone",AD$7&gt;=$F30,AD$7&lt;=$F30+$H30-1),1,""))</f>
        <v/>
      </c>
      <c r="AE30" s="76" t="str">
        <f t="shared" ca="1" si="71"/>
        <v/>
      </c>
      <c r="AF30" s="76" t="str">
        <f t="shared" ca="1" si="71"/>
        <v/>
      </c>
      <c r="AG30" s="76" t="str">
        <f t="shared" ca="1" si="71"/>
        <v/>
      </c>
      <c r="AH30" s="76" t="str">
        <f t="shared" ca="1" si="71"/>
        <v/>
      </c>
      <c r="AI30" s="76" t="str">
        <f t="shared" ca="1" si="71"/>
        <v/>
      </c>
      <c r="AJ30" s="76" t="str">
        <f t="shared" ca="1" si="71"/>
        <v/>
      </c>
      <c r="AK30" s="76" t="str">
        <f t="shared" ca="1" si="71"/>
        <v/>
      </c>
      <c r="AL30" s="76" t="str">
        <f t="shared" ca="1" si="71"/>
        <v/>
      </c>
      <c r="AM30" s="76" t="str">
        <f t="shared" ca="1" si="71"/>
        <v/>
      </c>
      <c r="AN30" s="76" t="str">
        <f t="shared" ref="AN30:AW44" ca="1" si="72">IF(AND($C30="Goal",AN$7&gt;=$F30,AN$7&lt;=$F30+$H30-1),2,IF(AND($C30="Milestone",AN$7&gt;=$F30,AN$7&lt;=$F30+$H30-1),1,""))</f>
        <v/>
      </c>
      <c r="AO30" s="76" t="str">
        <f t="shared" ca="1" si="72"/>
        <v/>
      </c>
      <c r="AP30" s="76" t="str">
        <f t="shared" ca="1" si="72"/>
        <v/>
      </c>
      <c r="AQ30" s="76" t="str">
        <f t="shared" ca="1" si="72"/>
        <v/>
      </c>
      <c r="AR30" s="76" t="str">
        <f t="shared" ca="1" si="72"/>
        <v/>
      </c>
      <c r="AS30" s="76" t="str">
        <f t="shared" ca="1" si="72"/>
        <v/>
      </c>
      <c r="AT30" s="76" t="str">
        <f t="shared" ca="1" si="72"/>
        <v/>
      </c>
      <c r="AU30" s="76" t="str">
        <f t="shared" ca="1" si="72"/>
        <v/>
      </c>
      <c r="AV30" s="76" t="str">
        <f t="shared" ca="1" si="72"/>
        <v/>
      </c>
      <c r="AW30" s="76" t="str">
        <f t="shared" ca="1" si="72"/>
        <v/>
      </c>
      <c r="AX30" s="76" t="str">
        <f t="shared" ref="AX30:BG44" ca="1" si="73">IF(AND($C30="Goal",AX$7&gt;=$F30,AX$7&lt;=$F30+$H30-1),2,IF(AND($C30="Milestone",AX$7&gt;=$F30,AX$7&lt;=$F30+$H30-1),1,""))</f>
        <v/>
      </c>
      <c r="AY30" s="76" t="str">
        <f t="shared" ca="1" si="73"/>
        <v/>
      </c>
      <c r="AZ30" s="76" t="str">
        <f t="shared" ca="1" si="73"/>
        <v/>
      </c>
      <c r="BA30" s="76" t="str">
        <f t="shared" ca="1" si="73"/>
        <v/>
      </c>
      <c r="BB30" s="76" t="str">
        <f t="shared" ca="1" si="73"/>
        <v/>
      </c>
      <c r="BC30" s="76" t="str">
        <f t="shared" ca="1" si="73"/>
        <v/>
      </c>
      <c r="BD30" s="76" t="str">
        <f t="shared" ca="1" si="73"/>
        <v/>
      </c>
      <c r="BE30" s="76" t="str">
        <f t="shared" ca="1" si="73"/>
        <v/>
      </c>
      <c r="BF30" s="76" t="str">
        <f t="shared" ca="1" si="73"/>
        <v/>
      </c>
      <c r="BG30" s="76" t="str">
        <f t="shared" ca="1" si="73"/>
        <v/>
      </c>
      <c r="BH30" s="76" t="str">
        <f t="shared" ref="BH30:BQ44" ca="1" si="74">IF(AND($C30="Goal",BH$7&gt;=$F30,BH$7&lt;=$F30+$H30-1),2,IF(AND($C30="Milestone",BH$7&gt;=$F30,BH$7&lt;=$F30+$H30-1),1,""))</f>
        <v/>
      </c>
      <c r="BI30" s="76" t="str">
        <f t="shared" ca="1" si="74"/>
        <v/>
      </c>
      <c r="BJ30" s="76" t="str">
        <f t="shared" ca="1" si="74"/>
        <v/>
      </c>
      <c r="BK30" s="76" t="str">
        <f t="shared" ca="1" si="74"/>
        <v/>
      </c>
      <c r="BL30" s="76" t="str">
        <f t="shared" ca="1" si="74"/>
        <v/>
      </c>
      <c r="BM30" s="76" t="str">
        <f t="shared" ca="1" si="74"/>
        <v/>
      </c>
      <c r="BN30" s="76" t="str">
        <f t="shared" ca="1" si="74"/>
        <v/>
      </c>
      <c r="BO30" s="76" t="str">
        <f t="shared" ca="1" si="74"/>
        <v/>
      </c>
      <c r="BP30" s="76" t="str">
        <f t="shared" ca="1" si="74"/>
        <v/>
      </c>
      <c r="BQ30" s="76" t="str">
        <f t="shared" ca="1" si="74"/>
        <v/>
      </c>
      <c r="BR30" s="76" t="str">
        <f t="shared" ref="BR30:CA44" ca="1" si="75">IF(AND($C30="Goal",BR$7&gt;=$F30,BR$7&lt;=$F30+$H30-1),2,IF(AND($C30="Milestone",BR$7&gt;=$F30,BR$7&lt;=$F30+$H30-1),1,""))</f>
        <v/>
      </c>
      <c r="BS30" s="76" t="str">
        <f t="shared" ca="1" si="75"/>
        <v/>
      </c>
      <c r="BT30" s="76" t="str">
        <f t="shared" ca="1" si="75"/>
        <v/>
      </c>
      <c r="BU30" s="76" t="str">
        <f t="shared" ca="1" si="75"/>
        <v/>
      </c>
      <c r="BV30" s="76" t="str">
        <f t="shared" ca="1" si="75"/>
        <v/>
      </c>
      <c r="BW30" s="76" t="str">
        <f t="shared" ca="1" si="75"/>
        <v/>
      </c>
      <c r="BX30" s="76" t="str">
        <f t="shared" ca="1" si="75"/>
        <v/>
      </c>
      <c r="BY30" s="76" t="str">
        <f t="shared" ca="1" si="75"/>
        <v/>
      </c>
      <c r="BZ30" s="76" t="str">
        <f t="shared" ca="1" si="75"/>
        <v/>
      </c>
      <c r="CA30" s="76" t="str">
        <f t="shared" ca="1" si="75"/>
        <v/>
      </c>
      <c r="CB30" s="76" t="str">
        <f t="shared" ref="CB30:CK44" ca="1" si="76">IF(AND($C30="Goal",CB$7&gt;=$F30,CB$7&lt;=$F30+$H30-1),2,IF(AND($C30="Milestone",CB$7&gt;=$F30,CB$7&lt;=$F30+$H30-1),1,""))</f>
        <v/>
      </c>
      <c r="CC30" s="76" t="str">
        <f t="shared" ca="1" si="76"/>
        <v/>
      </c>
      <c r="CD30" s="76" t="str">
        <f t="shared" ca="1" si="76"/>
        <v/>
      </c>
      <c r="CE30" s="76" t="str">
        <f t="shared" ca="1" si="76"/>
        <v/>
      </c>
      <c r="CF30" s="76" t="str">
        <f t="shared" ca="1" si="76"/>
        <v/>
      </c>
      <c r="CG30" s="76" t="str">
        <f t="shared" ca="1" si="76"/>
        <v/>
      </c>
      <c r="CH30" s="76" t="str">
        <f t="shared" ca="1" si="76"/>
        <v/>
      </c>
      <c r="CI30" s="76" t="str">
        <f t="shared" ca="1" si="76"/>
        <v/>
      </c>
      <c r="CJ30" s="76" t="str">
        <f t="shared" ca="1" si="76"/>
        <v/>
      </c>
      <c r="CK30" s="76" t="str">
        <f t="shared" ca="1" si="76"/>
        <v/>
      </c>
      <c r="CL30" s="76" t="str">
        <f t="shared" ref="CL30:CU44" ca="1" si="77">IF(AND($C30="Goal",CL$7&gt;=$F30,CL$7&lt;=$F30+$H30-1),2,IF(AND($C30="Milestone",CL$7&gt;=$F30,CL$7&lt;=$F30+$H30-1),1,""))</f>
        <v/>
      </c>
      <c r="CM30" s="76" t="str">
        <f t="shared" ca="1" si="77"/>
        <v/>
      </c>
      <c r="CN30" s="76" t="str">
        <f t="shared" ca="1" si="77"/>
        <v/>
      </c>
      <c r="CO30" s="76" t="str">
        <f t="shared" ca="1" si="77"/>
        <v/>
      </c>
      <c r="CP30" s="76" t="str">
        <f t="shared" ca="1" si="77"/>
        <v/>
      </c>
      <c r="CQ30" s="76" t="str">
        <f t="shared" ca="1" si="77"/>
        <v/>
      </c>
      <c r="CR30" s="76" t="str">
        <f t="shared" ca="1" si="77"/>
        <v/>
      </c>
      <c r="CS30" s="76" t="str">
        <f t="shared" ca="1" si="77"/>
        <v/>
      </c>
      <c r="CT30" s="76" t="str">
        <f t="shared" ca="1" si="77"/>
        <v/>
      </c>
      <c r="CU30" s="76" t="str">
        <f t="shared" ca="1" si="77"/>
        <v/>
      </c>
      <c r="CV30" s="76" t="str">
        <f t="shared" ref="CV30:DE44" ca="1" si="78">IF(AND($C30="Goal",CV$7&gt;=$F30,CV$7&lt;=$F30+$H30-1),2,IF(AND($C30="Milestone",CV$7&gt;=$F30,CV$7&lt;=$F30+$H30-1),1,""))</f>
        <v/>
      </c>
      <c r="CW30" s="76" t="str">
        <f t="shared" ca="1" si="78"/>
        <v/>
      </c>
      <c r="CX30" s="76" t="str">
        <f t="shared" ca="1" si="78"/>
        <v/>
      </c>
      <c r="CY30" s="76" t="str">
        <f t="shared" ca="1" si="78"/>
        <v/>
      </c>
      <c r="CZ30" s="76" t="str">
        <f t="shared" ca="1" si="78"/>
        <v/>
      </c>
      <c r="DA30" s="76" t="str">
        <f t="shared" ca="1" si="78"/>
        <v/>
      </c>
      <c r="DB30" s="76" t="str">
        <f t="shared" ca="1" si="78"/>
        <v/>
      </c>
      <c r="DC30" s="76" t="str">
        <f t="shared" ca="1" si="78"/>
        <v/>
      </c>
      <c r="DD30" s="76" t="str">
        <f t="shared" ca="1" si="78"/>
        <v/>
      </c>
      <c r="DE30" s="76" t="str">
        <f t="shared" ca="1" si="78"/>
        <v/>
      </c>
      <c r="DF30" s="76" t="str">
        <f t="shared" ref="DF30:DO44" ca="1" si="79">IF(AND($C30="Goal",DF$7&gt;=$F30,DF$7&lt;=$F30+$H30-1),2,IF(AND($C30="Milestone",DF$7&gt;=$F30,DF$7&lt;=$F30+$H30-1),1,""))</f>
        <v/>
      </c>
      <c r="DG30" s="76" t="str">
        <f t="shared" ca="1" si="79"/>
        <v/>
      </c>
      <c r="DH30" s="76" t="str">
        <f t="shared" ca="1" si="79"/>
        <v/>
      </c>
      <c r="DI30" s="76" t="str">
        <f t="shared" ca="1" si="79"/>
        <v/>
      </c>
      <c r="DJ30" s="76" t="str">
        <f t="shared" ca="1" si="79"/>
        <v/>
      </c>
      <c r="DK30" s="76" t="str">
        <f t="shared" ca="1" si="79"/>
        <v/>
      </c>
      <c r="DL30" s="76" t="str">
        <f t="shared" ca="1" si="79"/>
        <v/>
      </c>
      <c r="DM30" s="76" t="str">
        <f t="shared" ca="1" si="79"/>
        <v/>
      </c>
      <c r="DN30" s="76" t="str">
        <f t="shared" ca="1" si="79"/>
        <v/>
      </c>
      <c r="DO30" s="76" t="str">
        <f t="shared" ca="1" si="79"/>
        <v/>
      </c>
      <c r="DP30" s="76" t="str">
        <f t="shared" ref="DP30:DY44" ca="1" si="80">IF(AND($C30="Goal",DP$7&gt;=$F30,DP$7&lt;=$F30+$H30-1),2,IF(AND($C30="Milestone",DP$7&gt;=$F30,DP$7&lt;=$F30+$H30-1),1,""))</f>
        <v/>
      </c>
      <c r="DQ30" s="76" t="str">
        <f t="shared" ca="1" si="80"/>
        <v/>
      </c>
      <c r="DR30" s="76" t="str">
        <f t="shared" ca="1" si="80"/>
        <v/>
      </c>
      <c r="DS30" s="76" t="str">
        <f t="shared" ca="1" si="80"/>
        <v/>
      </c>
      <c r="DT30" s="76" t="str">
        <f t="shared" ca="1" si="80"/>
        <v/>
      </c>
      <c r="DU30" s="76" t="str">
        <f t="shared" ca="1" si="80"/>
        <v/>
      </c>
      <c r="DV30" s="76" t="str">
        <f t="shared" ca="1" si="80"/>
        <v/>
      </c>
      <c r="DW30" s="76" t="str">
        <f t="shared" ca="1" si="80"/>
        <v/>
      </c>
      <c r="DX30" s="76" t="str">
        <f t="shared" ca="1" si="80"/>
        <v/>
      </c>
      <c r="DY30" s="76" t="str">
        <f t="shared" ca="1" si="80"/>
        <v/>
      </c>
      <c r="DZ30" s="76" t="str">
        <f t="shared" ref="DZ30:EI44" ca="1" si="81">IF(AND($C30="Goal",DZ$7&gt;=$F30,DZ$7&lt;=$F30+$H30-1),2,IF(AND($C30="Milestone",DZ$7&gt;=$F30,DZ$7&lt;=$F30+$H30-1),1,""))</f>
        <v/>
      </c>
      <c r="EA30" s="76" t="str">
        <f t="shared" ca="1" si="81"/>
        <v/>
      </c>
      <c r="EB30" s="76" t="str">
        <f t="shared" ca="1" si="81"/>
        <v/>
      </c>
      <c r="EC30" s="76" t="str">
        <f t="shared" ca="1" si="81"/>
        <v/>
      </c>
      <c r="ED30" s="76" t="str">
        <f t="shared" ca="1" si="81"/>
        <v/>
      </c>
      <c r="EE30" s="76" t="str">
        <f t="shared" ca="1" si="81"/>
        <v/>
      </c>
      <c r="EF30" s="76" t="str">
        <f t="shared" ca="1" si="81"/>
        <v/>
      </c>
      <c r="EG30" s="76" t="str">
        <f t="shared" ca="1" si="81"/>
        <v/>
      </c>
      <c r="EH30" s="76" t="str">
        <f t="shared" ca="1" si="81"/>
        <v/>
      </c>
      <c r="EI30" s="76" t="str">
        <f t="shared" ca="1" si="81"/>
        <v/>
      </c>
      <c r="EJ30" s="76" t="str">
        <f t="shared" ref="EJ30:ES44" ca="1" si="82">IF(AND($C30="Goal",EJ$7&gt;=$F30,EJ$7&lt;=$F30+$H30-1),2,IF(AND($C30="Milestone",EJ$7&gt;=$F30,EJ$7&lt;=$F30+$H30-1),1,""))</f>
        <v/>
      </c>
      <c r="EK30" s="76" t="str">
        <f t="shared" ca="1" si="82"/>
        <v/>
      </c>
      <c r="EL30" s="76" t="str">
        <f t="shared" ca="1" si="82"/>
        <v/>
      </c>
      <c r="EM30" s="76" t="str">
        <f t="shared" ca="1" si="82"/>
        <v/>
      </c>
      <c r="EN30" s="76" t="str">
        <f t="shared" ca="1" si="82"/>
        <v/>
      </c>
      <c r="EO30" s="76" t="str">
        <f t="shared" ca="1" si="82"/>
        <v/>
      </c>
      <c r="EP30" s="76" t="str">
        <f t="shared" ca="1" si="82"/>
        <v/>
      </c>
      <c r="EQ30" s="76" t="str">
        <f t="shared" ca="1" si="82"/>
        <v/>
      </c>
      <c r="ER30" s="76" t="str">
        <f t="shared" ca="1" si="82"/>
        <v/>
      </c>
      <c r="ES30" s="76" t="str">
        <f t="shared" ca="1" si="82"/>
        <v/>
      </c>
      <c r="ET30" s="76" t="str">
        <f t="shared" ref="ET30:FC44" ca="1" si="83">IF(AND($C30="Goal",ET$7&gt;=$F30,ET$7&lt;=$F30+$H30-1),2,IF(AND($C30="Milestone",ET$7&gt;=$F30,ET$7&lt;=$F30+$H30-1),1,""))</f>
        <v/>
      </c>
      <c r="EU30" s="76" t="str">
        <f t="shared" ca="1" si="83"/>
        <v/>
      </c>
      <c r="EV30" s="76" t="str">
        <f t="shared" ca="1" si="83"/>
        <v/>
      </c>
      <c r="EW30" s="76" t="str">
        <f t="shared" ca="1" si="83"/>
        <v/>
      </c>
      <c r="EX30" s="76" t="str">
        <f t="shared" ca="1" si="83"/>
        <v/>
      </c>
      <c r="EY30" s="76" t="str">
        <f t="shared" ca="1" si="83"/>
        <v/>
      </c>
      <c r="EZ30" s="76" t="str">
        <f t="shared" ca="1" si="83"/>
        <v/>
      </c>
      <c r="FA30" s="76" t="str">
        <f t="shared" ca="1" si="83"/>
        <v/>
      </c>
      <c r="FB30" s="76" t="str">
        <f t="shared" ca="1" si="83"/>
        <v/>
      </c>
      <c r="FC30" s="76" t="str">
        <f t="shared" ca="1" si="83"/>
        <v/>
      </c>
      <c r="FD30" s="76" t="str">
        <f t="shared" ref="FD30:FM44" ca="1" si="84">IF(AND($C30="Goal",FD$7&gt;=$F30,FD$7&lt;=$F30+$H30-1),2,IF(AND($C30="Milestone",FD$7&gt;=$F30,FD$7&lt;=$F30+$H30-1),1,""))</f>
        <v/>
      </c>
      <c r="FE30" s="76" t="str">
        <f t="shared" ca="1" si="84"/>
        <v/>
      </c>
      <c r="FF30" s="76" t="str">
        <f t="shared" ca="1" si="84"/>
        <v/>
      </c>
      <c r="FG30" s="76" t="str">
        <f t="shared" ca="1" si="84"/>
        <v/>
      </c>
      <c r="FH30" s="76" t="str">
        <f t="shared" ca="1" si="84"/>
        <v/>
      </c>
      <c r="FI30" s="76" t="str">
        <f t="shared" ca="1" si="84"/>
        <v/>
      </c>
      <c r="FJ30" s="76" t="str">
        <f t="shared" ca="1" si="84"/>
        <v/>
      </c>
      <c r="FK30" s="76" t="str">
        <f t="shared" ca="1" si="84"/>
        <v/>
      </c>
      <c r="FL30" s="76" t="str">
        <f t="shared" ca="1" si="84"/>
        <v/>
      </c>
      <c r="FM30" s="76" t="str">
        <f t="shared" ca="1" si="84"/>
        <v/>
      </c>
      <c r="FN30" s="76" t="str">
        <f t="shared" ref="FN30:FW44" ca="1" si="85">IF(AND($C30="Goal",FN$7&gt;=$F30,FN$7&lt;=$F30+$H30-1),2,IF(AND($C30="Milestone",FN$7&gt;=$F30,FN$7&lt;=$F30+$H30-1),1,""))</f>
        <v/>
      </c>
      <c r="FO30" s="76" t="str">
        <f t="shared" ca="1" si="85"/>
        <v/>
      </c>
      <c r="FP30" s="76" t="str">
        <f t="shared" ca="1" si="85"/>
        <v/>
      </c>
      <c r="FQ30" s="76" t="str">
        <f t="shared" ca="1" si="85"/>
        <v/>
      </c>
      <c r="FR30" s="76" t="str">
        <f t="shared" ca="1" si="85"/>
        <v/>
      </c>
      <c r="FS30" s="76" t="str">
        <f t="shared" ca="1" si="85"/>
        <v/>
      </c>
      <c r="FT30" s="76" t="str">
        <f t="shared" ca="1" si="85"/>
        <v/>
      </c>
      <c r="FU30" s="76" t="str">
        <f t="shared" ca="1" si="85"/>
        <v/>
      </c>
      <c r="FV30" s="76" t="str">
        <f t="shared" ca="1" si="85"/>
        <v/>
      </c>
      <c r="FW30" s="76" t="str">
        <f t="shared" ca="1" si="85"/>
        <v/>
      </c>
      <c r="FX30" s="76" t="str">
        <f t="shared" ref="FX30:GG44" ca="1" si="86">IF(AND($C30="Goal",FX$7&gt;=$F30,FX$7&lt;=$F30+$H30-1),2,IF(AND($C30="Milestone",FX$7&gt;=$F30,FX$7&lt;=$F30+$H30-1),1,""))</f>
        <v/>
      </c>
      <c r="FY30" s="76" t="str">
        <f t="shared" ca="1" si="86"/>
        <v/>
      </c>
      <c r="FZ30" s="76" t="str">
        <f t="shared" ca="1" si="86"/>
        <v/>
      </c>
      <c r="GA30" s="76" t="str">
        <f t="shared" ca="1" si="86"/>
        <v/>
      </c>
      <c r="GB30" s="76" t="str">
        <f t="shared" ca="1" si="86"/>
        <v/>
      </c>
      <c r="GC30" s="76" t="str">
        <f t="shared" ca="1" si="86"/>
        <v/>
      </c>
      <c r="GD30" s="76" t="str">
        <f t="shared" ca="1" si="86"/>
        <v/>
      </c>
      <c r="GE30" s="76" t="str">
        <f t="shared" ca="1" si="86"/>
        <v/>
      </c>
      <c r="GF30" s="76" t="str">
        <f t="shared" ca="1" si="86"/>
        <v/>
      </c>
      <c r="GG30" s="76" t="str">
        <f t="shared" ca="1" si="86"/>
        <v/>
      </c>
      <c r="GH30" s="76" t="str">
        <f t="shared" ref="GH30:GQ44" ca="1" si="87">IF(AND($C30="Goal",GH$7&gt;=$F30,GH$7&lt;=$F30+$H30-1),2,IF(AND($C30="Milestone",GH$7&gt;=$F30,GH$7&lt;=$F30+$H30-1),1,""))</f>
        <v/>
      </c>
      <c r="GI30" s="76" t="str">
        <f t="shared" ca="1" si="87"/>
        <v/>
      </c>
      <c r="GJ30" s="76" t="str">
        <f t="shared" ca="1" si="87"/>
        <v/>
      </c>
      <c r="GK30" s="76" t="str">
        <f t="shared" ca="1" si="87"/>
        <v/>
      </c>
      <c r="GL30" s="76" t="str">
        <f t="shared" ca="1" si="87"/>
        <v/>
      </c>
      <c r="GM30" s="76" t="str">
        <f t="shared" ca="1" si="87"/>
        <v/>
      </c>
      <c r="GN30" s="76" t="str">
        <f t="shared" ca="1" si="87"/>
        <v/>
      </c>
      <c r="GO30" s="76" t="str">
        <f t="shared" ca="1" si="87"/>
        <v/>
      </c>
      <c r="GP30" s="76" t="str">
        <f t="shared" ca="1" si="87"/>
        <v/>
      </c>
      <c r="GQ30" s="76" t="str">
        <f t="shared" ca="1" si="87"/>
        <v/>
      </c>
      <c r="GR30" s="76" t="str">
        <f t="shared" ref="GR30:HA44" ca="1" si="88">IF(AND($C30="Goal",GR$7&gt;=$F30,GR$7&lt;=$F30+$H30-1),2,IF(AND($C30="Milestone",GR$7&gt;=$F30,GR$7&lt;=$F30+$H30-1),1,""))</f>
        <v/>
      </c>
      <c r="GS30" s="76" t="str">
        <f t="shared" ca="1" si="88"/>
        <v/>
      </c>
      <c r="GT30" s="76" t="str">
        <f t="shared" ca="1" si="88"/>
        <v/>
      </c>
      <c r="GU30" s="76" t="str">
        <f t="shared" ca="1" si="88"/>
        <v/>
      </c>
      <c r="GV30" s="76" t="str">
        <f t="shared" ca="1" si="88"/>
        <v/>
      </c>
      <c r="GW30" s="76" t="str">
        <f t="shared" ca="1" si="88"/>
        <v/>
      </c>
      <c r="GX30" s="76" t="str">
        <f t="shared" ca="1" si="88"/>
        <v/>
      </c>
      <c r="GY30" s="76" t="str">
        <f t="shared" ca="1" si="88"/>
        <v/>
      </c>
      <c r="GZ30" s="76" t="str">
        <f t="shared" ca="1" si="88"/>
        <v/>
      </c>
      <c r="HA30" s="76" t="str">
        <f t="shared" ca="1" si="88"/>
        <v/>
      </c>
      <c r="HB30" s="76" t="str">
        <f t="shared" ref="HB30:HK44" ca="1" si="89">IF(AND($C30="Goal",HB$7&gt;=$F30,HB$7&lt;=$F30+$H30-1),2,IF(AND($C30="Milestone",HB$7&gt;=$F30,HB$7&lt;=$F30+$H30-1),1,""))</f>
        <v/>
      </c>
      <c r="HC30" s="76" t="str">
        <f t="shared" ca="1" si="89"/>
        <v/>
      </c>
      <c r="HD30" s="76" t="str">
        <f t="shared" ca="1" si="89"/>
        <v/>
      </c>
      <c r="HE30" s="76" t="str">
        <f t="shared" ca="1" si="89"/>
        <v/>
      </c>
      <c r="HF30" s="76" t="str">
        <f t="shared" ca="1" si="89"/>
        <v/>
      </c>
      <c r="HG30" s="76" t="str">
        <f t="shared" ca="1" si="89"/>
        <v/>
      </c>
      <c r="HH30" s="76" t="str">
        <f t="shared" ca="1" si="89"/>
        <v/>
      </c>
      <c r="HI30" s="76" t="str">
        <f t="shared" ca="1" si="89"/>
        <v/>
      </c>
      <c r="HJ30" s="76" t="str">
        <f t="shared" ca="1" si="89"/>
        <v/>
      </c>
      <c r="HK30" s="76" t="str">
        <f t="shared" ca="1" si="89"/>
        <v/>
      </c>
      <c r="HL30" s="76" t="str">
        <f t="shared" ref="HL30:HU44" ca="1" si="90">IF(AND($C30="Goal",HL$7&gt;=$F30,HL$7&lt;=$F30+$H30-1),2,IF(AND($C30="Milestone",HL$7&gt;=$F30,HL$7&lt;=$F30+$H30-1),1,""))</f>
        <v/>
      </c>
      <c r="HM30" s="76" t="str">
        <f t="shared" ca="1" si="90"/>
        <v/>
      </c>
      <c r="HN30" s="76" t="str">
        <f t="shared" ca="1" si="90"/>
        <v/>
      </c>
      <c r="HO30" s="76" t="str">
        <f t="shared" ca="1" si="90"/>
        <v/>
      </c>
      <c r="HP30" s="76" t="str">
        <f t="shared" ca="1" si="90"/>
        <v/>
      </c>
      <c r="HQ30" s="76" t="str">
        <f t="shared" ca="1" si="90"/>
        <v/>
      </c>
      <c r="HR30" s="76" t="str">
        <f t="shared" ca="1" si="90"/>
        <v/>
      </c>
      <c r="HS30" s="76" t="str">
        <f t="shared" ca="1" si="90"/>
        <v/>
      </c>
      <c r="HT30" s="76" t="str">
        <f t="shared" ca="1" si="90"/>
        <v/>
      </c>
      <c r="HU30" s="76" t="str">
        <f t="shared" ca="1" si="90"/>
        <v/>
      </c>
      <c r="HV30" s="76" t="str">
        <f t="shared" ref="HV30:IE44" ca="1" si="91">IF(AND($C30="Goal",HV$7&gt;=$F30,HV$7&lt;=$F30+$H30-1),2,IF(AND($C30="Milestone",HV$7&gt;=$F30,HV$7&lt;=$F30+$H30-1),1,""))</f>
        <v/>
      </c>
      <c r="HW30" s="76" t="str">
        <f t="shared" ca="1" si="91"/>
        <v/>
      </c>
      <c r="HX30" s="76" t="str">
        <f t="shared" ca="1" si="91"/>
        <v/>
      </c>
      <c r="HY30" s="76" t="str">
        <f t="shared" ca="1" si="91"/>
        <v/>
      </c>
      <c r="HZ30" s="76" t="str">
        <f t="shared" ca="1" si="91"/>
        <v/>
      </c>
      <c r="IA30" s="76" t="str">
        <f t="shared" ca="1" si="91"/>
        <v/>
      </c>
      <c r="IB30" s="76" t="str">
        <f t="shared" ca="1" si="91"/>
        <v/>
      </c>
      <c r="IC30" s="76" t="str">
        <f t="shared" ca="1" si="91"/>
        <v/>
      </c>
      <c r="ID30" s="76" t="str">
        <f t="shared" ca="1" si="91"/>
        <v/>
      </c>
      <c r="IE30" s="76" t="str">
        <f t="shared" ca="1" si="91"/>
        <v/>
      </c>
      <c r="IF30" s="76" t="str">
        <f t="shared" ref="IF30:IO44" ca="1" si="92">IF(AND($C30="Goal",IF$7&gt;=$F30,IF$7&lt;=$F30+$H30-1),2,IF(AND($C30="Milestone",IF$7&gt;=$F30,IF$7&lt;=$F30+$H30-1),1,""))</f>
        <v/>
      </c>
      <c r="IG30" s="76" t="str">
        <f t="shared" ca="1" si="92"/>
        <v/>
      </c>
      <c r="IH30" s="76" t="str">
        <f t="shared" ca="1" si="92"/>
        <v/>
      </c>
      <c r="II30" s="76" t="str">
        <f t="shared" ca="1" si="92"/>
        <v/>
      </c>
      <c r="IJ30" s="76" t="str">
        <f t="shared" ca="1" si="92"/>
        <v/>
      </c>
      <c r="IK30" s="76" t="str">
        <f t="shared" ca="1" si="92"/>
        <v/>
      </c>
      <c r="IL30" s="76" t="str">
        <f t="shared" ca="1" si="92"/>
        <v/>
      </c>
      <c r="IM30" s="76" t="str">
        <f t="shared" ca="1" si="92"/>
        <v/>
      </c>
      <c r="IN30" s="76" t="str">
        <f t="shared" ca="1" si="92"/>
        <v/>
      </c>
      <c r="IO30" s="76" t="str">
        <f t="shared" ca="1" si="92"/>
        <v/>
      </c>
      <c r="IP30" s="76" t="str">
        <f t="shared" ref="IP30:IY44" ca="1" si="93">IF(AND($C30="Goal",IP$7&gt;=$F30,IP$7&lt;=$F30+$H30-1),2,IF(AND($C30="Milestone",IP$7&gt;=$F30,IP$7&lt;=$F30+$H30-1),1,""))</f>
        <v/>
      </c>
      <c r="IQ30" s="76" t="str">
        <f t="shared" ca="1" si="93"/>
        <v/>
      </c>
      <c r="IR30" s="76" t="str">
        <f t="shared" ca="1" si="93"/>
        <v/>
      </c>
      <c r="IS30" s="76" t="str">
        <f t="shared" ca="1" si="93"/>
        <v/>
      </c>
      <c r="IT30" s="76" t="str">
        <f t="shared" ca="1" si="93"/>
        <v/>
      </c>
      <c r="IU30" s="76" t="str">
        <f t="shared" ca="1" si="93"/>
        <v/>
      </c>
      <c r="IV30" s="76" t="str">
        <f t="shared" ca="1" si="93"/>
        <v/>
      </c>
      <c r="IW30" s="76" t="str">
        <f t="shared" ca="1" si="93"/>
        <v/>
      </c>
      <c r="IX30" s="76" t="str">
        <f t="shared" ca="1" si="93"/>
        <v/>
      </c>
      <c r="IY30" s="76" t="str">
        <f t="shared" ca="1" si="93"/>
        <v/>
      </c>
      <c r="IZ30" s="76" t="str">
        <f t="shared" ref="IZ30:JI44" ca="1" si="94">IF(AND($C30="Goal",IZ$7&gt;=$F30,IZ$7&lt;=$F30+$H30-1),2,IF(AND($C30="Milestone",IZ$7&gt;=$F30,IZ$7&lt;=$F30+$H30-1),1,""))</f>
        <v/>
      </c>
      <c r="JA30" s="76" t="str">
        <f t="shared" ca="1" si="94"/>
        <v/>
      </c>
      <c r="JB30" s="76" t="str">
        <f t="shared" ca="1" si="94"/>
        <v/>
      </c>
      <c r="JC30" s="76" t="str">
        <f t="shared" ca="1" si="94"/>
        <v/>
      </c>
      <c r="JD30" s="76" t="str">
        <f t="shared" ca="1" si="94"/>
        <v/>
      </c>
      <c r="JE30" s="76" t="str">
        <f t="shared" ca="1" si="94"/>
        <v/>
      </c>
      <c r="JF30" s="76" t="str">
        <f t="shared" ca="1" si="94"/>
        <v/>
      </c>
      <c r="JG30" s="76" t="str">
        <f t="shared" ca="1" si="94"/>
        <v/>
      </c>
      <c r="JH30" s="76" t="str">
        <f t="shared" ca="1" si="94"/>
        <v/>
      </c>
      <c r="JI30" s="76" t="str">
        <f t="shared" ca="1" si="94"/>
        <v/>
      </c>
      <c r="JJ30" s="76" t="str">
        <f t="shared" ref="JJ30:JS44" ca="1" si="95">IF(AND($C30="Goal",JJ$7&gt;=$F30,JJ$7&lt;=$F30+$H30-1),2,IF(AND($C30="Milestone",JJ$7&gt;=$F30,JJ$7&lt;=$F30+$H30-1),1,""))</f>
        <v/>
      </c>
      <c r="JK30" s="76" t="str">
        <f t="shared" ca="1" si="95"/>
        <v/>
      </c>
      <c r="JL30" s="76" t="str">
        <f t="shared" ca="1" si="95"/>
        <v/>
      </c>
      <c r="JM30" s="76" t="str">
        <f t="shared" ca="1" si="95"/>
        <v/>
      </c>
      <c r="JN30" s="76" t="str">
        <f t="shared" ca="1" si="95"/>
        <v/>
      </c>
      <c r="JO30" s="76" t="str">
        <f t="shared" ca="1" si="95"/>
        <v/>
      </c>
      <c r="JP30" s="76" t="str">
        <f t="shared" ca="1" si="95"/>
        <v/>
      </c>
      <c r="JQ30" s="76" t="str">
        <f t="shared" ca="1" si="95"/>
        <v/>
      </c>
      <c r="JR30" s="76" t="str">
        <f t="shared" ca="1" si="95"/>
        <v/>
      </c>
      <c r="JS30" s="76" t="str">
        <f t="shared" ca="1" si="95"/>
        <v/>
      </c>
      <c r="JT30" s="76" t="str">
        <f t="shared" ref="JT30:KC44" ca="1" si="96">IF(AND($C30="Goal",JT$7&gt;=$F30,JT$7&lt;=$F30+$H30-1),2,IF(AND($C30="Milestone",JT$7&gt;=$F30,JT$7&lt;=$F30+$H30-1),1,""))</f>
        <v/>
      </c>
      <c r="JU30" s="76" t="str">
        <f t="shared" ca="1" si="96"/>
        <v/>
      </c>
      <c r="JV30" s="76" t="str">
        <f t="shared" ca="1" si="96"/>
        <v/>
      </c>
      <c r="JW30" s="76" t="str">
        <f t="shared" ca="1" si="96"/>
        <v/>
      </c>
      <c r="JX30" s="76" t="str">
        <f t="shared" ca="1" si="96"/>
        <v/>
      </c>
      <c r="JY30" s="76" t="str">
        <f t="shared" ca="1" si="96"/>
        <v/>
      </c>
      <c r="JZ30" s="76" t="str">
        <f t="shared" ca="1" si="96"/>
        <v/>
      </c>
      <c r="KA30" s="76" t="str">
        <f t="shared" ca="1" si="96"/>
        <v/>
      </c>
      <c r="KB30" s="76" t="str">
        <f t="shared" ca="1" si="96"/>
        <v/>
      </c>
      <c r="KC30" s="76" t="str">
        <f t="shared" ca="1" si="96"/>
        <v/>
      </c>
      <c r="KD30" s="76" t="str">
        <f t="shared" ref="KD30:KM44" ca="1" si="97">IF(AND($C30="Goal",KD$7&gt;=$F30,KD$7&lt;=$F30+$H30-1),2,IF(AND($C30="Milestone",KD$7&gt;=$F30,KD$7&lt;=$F30+$H30-1),1,""))</f>
        <v/>
      </c>
      <c r="KE30" s="76" t="str">
        <f t="shared" ca="1" si="97"/>
        <v/>
      </c>
      <c r="KF30" s="76" t="str">
        <f t="shared" ca="1" si="97"/>
        <v/>
      </c>
      <c r="KG30" s="76" t="str">
        <f t="shared" ca="1" si="97"/>
        <v/>
      </c>
      <c r="KH30" s="76" t="str">
        <f t="shared" ca="1" si="97"/>
        <v/>
      </c>
      <c r="KI30" s="76" t="str">
        <f t="shared" ca="1" si="97"/>
        <v/>
      </c>
      <c r="KJ30" s="76" t="str">
        <f t="shared" ca="1" si="97"/>
        <v/>
      </c>
      <c r="KK30" s="76" t="str">
        <f t="shared" ca="1" si="97"/>
        <v/>
      </c>
      <c r="KL30" s="76" t="str">
        <f t="shared" ca="1" si="97"/>
        <v/>
      </c>
      <c r="KM30" s="76" t="str">
        <f t="shared" ca="1" si="97"/>
        <v/>
      </c>
      <c r="KN30" s="76" t="str">
        <f t="shared" ref="KN30:KW44" ca="1" si="98">IF(AND($C30="Goal",KN$7&gt;=$F30,KN$7&lt;=$F30+$H30-1),2,IF(AND($C30="Milestone",KN$7&gt;=$F30,KN$7&lt;=$F30+$H30-1),1,""))</f>
        <v/>
      </c>
      <c r="KO30" s="76" t="str">
        <f t="shared" ca="1" si="98"/>
        <v/>
      </c>
      <c r="KP30" s="76" t="str">
        <f t="shared" ca="1" si="98"/>
        <v/>
      </c>
      <c r="KQ30" s="76" t="str">
        <f t="shared" ca="1" si="98"/>
        <v/>
      </c>
      <c r="KR30" s="76" t="str">
        <f t="shared" ca="1" si="98"/>
        <v/>
      </c>
      <c r="KS30" s="76" t="str">
        <f t="shared" ca="1" si="98"/>
        <v/>
      </c>
      <c r="KT30" s="76" t="str">
        <f t="shared" ca="1" si="98"/>
        <v/>
      </c>
      <c r="KU30" s="76" t="str">
        <f t="shared" ca="1" si="98"/>
        <v/>
      </c>
      <c r="KV30" s="76" t="str">
        <f t="shared" ca="1" si="98"/>
        <v/>
      </c>
      <c r="KW30" s="76" t="str">
        <f t="shared" ca="1" si="98"/>
        <v/>
      </c>
      <c r="KX30" s="76" t="str">
        <f t="shared" ref="KX30:LG44" ca="1" si="99">IF(AND($C30="Goal",KX$7&gt;=$F30,KX$7&lt;=$F30+$H30-1),2,IF(AND($C30="Milestone",KX$7&gt;=$F30,KX$7&lt;=$F30+$H30-1),1,""))</f>
        <v/>
      </c>
      <c r="KY30" s="76" t="str">
        <f t="shared" ca="1" si="99"/>
        <v/>
      </c>
      <c r="KZ30" s="76" t="str">
        <f t="shared" ca="1" si="99"/>
        <v/>
      </c>
      <c r="LA30" s="76" t="str">
        <f t="shared" ca="1" si="99"/>
        <v/>
      </c>
      <c r="LB30" s="76" t="str">
        <f t="shared" ca="1" si="99"/>
        <v/>
      </c>
      <c r="LC30" s="76" t="str">
        <f t="shared" ca="1" si="99"/>
        <v/>
      </c>
      <c r="LD30" s="76" t="str">
        <f t="shared" ca="1" si="99"/>
        <v/>
      </c>
      <c r="LE30" s="76" t="str">
        <f t="shared" ca="1" si="99"/>
        <v/>
      </c>
      <c r="LF30" s="76" t="str">
        <f t="shared" ca="1" si="99"/>
        <v/>
      </c>
      <c r="LG30" s="76" t="str">
        <f t="shared" ca="1" si="99"/>
        <v/>
      </c>
      <c r="LH30" s="76" t="str">
        <f t="shared" ref="LH30:LQ44" ca="1" si="100">IF(AND($C30="Goal",LH$7&gt;=$F30,LH$7&lt;=$F30+$H30-1),2,IF(AND($C30="Milestone",LH$7&gt;=$F30,LH$7&lt;=$F30+$H30-1),1,""))</f>
        <v/>
      </c>
      <c r="LI30" s="76" t="str">
        <f t="shared" ca="1" si="100"/>
        <v/>
      </c>
      <c r="LJ30" s="76" t="str">
        <f t="shared" ca="1" si="100"/>
        <v/>
      </c>
      <c r="LK30" s="76" t="str">
        <f t="shared" ca="1" si="100"/>
        <v/>
      </c>
      <c r="LL30" s="76" t="str">
        <f t="shared" ca="1" si="100"/>
        <v/>
      </c>
      <c r="LM30" s="76" t="str">
        <f t="shared" ca="1" si="100"/>
        <v/>
      </c>
      <c r="LN30" s="76" t="str">
        <f t="shared" ca="1" si="100"/>
        <v/>
      </c>
      <c r="LO30" s="76" t="str">
        <f t="shared" ca="1" si="100"/>
        <v/>
      </c>
      <c r="LP30" s="76" t="str">
        <f t="shared" ca="1" si="100"/>
        <v/>
      </c>
      <c r="LQ30" s="76" t="str">
        <f t="shared" ca="1" si="100"/>
        <v/>
      </c>
      <c r="LR30" s="76" t="str">
        <f t="shared" ref="LR30:MA44" ca="1" si="101">IF(AND($C30="Goal",LR$7&gt;=$F30,LR$7&lt;=$F30+$H30-1),2,IF(AND($C30="Milestone",LR$7&gt;=$F30,LR$7&lt;=$F30+$H30-1),1,""))</f>
        <v/>
      </c>
      <c r="LS30" s="76" t="str">
        <f t="shared" ca="1" si="101"/>
        <v/>
      </c>
      <c r="LT30" s="76" t="str">
        <f t="shared" ca="1" si="101"/>
        <v/>
      </c>
      <c r="LU30" s="76" t="str">
        <f t="shared" ca="1" si="101"/>
        <v/>
      </c>
      <c r="LV30" s="76" t="str">
        <f t="shared" ca="1" si="101"/>
        <v/>
      </c>
      <c r="LW30" s="76" t="str">
        <f t="shared" ca="1" si="101"/>
        <v/>
      </c>
      <c r="LX30" s="76" t="str">
        <f t="shared" ca="1" si="101"/>
        <v/>
      </c>
      <c r="LY30" s="76" t="str">
        <f t="shared" ca="1" si="101"/>
        <v/>
      </c>
      <c r="LZ30" s="76" t="str">
        <f t="shared" ca="1" si="101"/>
        <v/>
      </c>
      <c r="MA30" s="76" t="str">
        <f t="shared" ca="1" si="101"/>
        <v/>
      </c>
      <c r="MB30" s="76" t="str">
        <f t="shared" ref="MB30:MK44" ca="1" si="102">IF(AND($C30="Goal",MB$7&gt;=$F30,MB$7&lt;=$F30+$H30-1),2,IF(AND($C30="Milestone",MB$7&gt;=$F30,MB$7&lt;=$F30+$H30-1),1,""))</f>
        <v/>
      </c>
      <c r="MC30" s="76" t="str">
        <f t="shared" ca="1" si="102"/>
        <v/>
      </c>
      <c r="MD30" s="76" t="str">
        <f t="shared" ca="1" si="102"/>
        <v/>
      </c>
      <c r="ME30" s="76" t="str">
        <f t="shared" ca="1" si="102"/>
        <v/>
      </c>
      <c r="MF30" s="76" t="str">
        <f t="shared" ca="1" si="102"/>
        <v/>
      </c>
      <c r="MG30" s="76" t="str">
        <f t="shared" ca="1" si="102"/>
        <v/>
      </c>
      <c r="MH30" s="76" t="str">
        <f t="shared" ca="1" si="102"/>
        <v/>
      </c>
      <c r="MI30" s="76" t="str">
        <f t="shared" ca="1" si="102"/>
        <v/>
      </c>
      <c r="MJ30" s="76" t="str">
        <f t="shared" ca="1" si="102"/>
        <v/>
      </c>
      <c r="MK30" s="76" t="str">
        <f t="shared" ca="1" si="102"/>
        <v/>
      </c>
      <c r="ML30" s="76" t="str">
        <f t="shared" ref="ML30:MU44" ca="1" si="103">IF(AND($C30="Goal",ML$7&gt;=$F30,ML$7&lt;=$F30+$H30-1),2,IF(AND($C30="Milestone",ML$7&gt;=$F30,ML$7&lt;=$F30+$H30-1),1,""))</f>
        <v/>
      </c>
      <c r="MM30" s="76" t="str">
        <f t="shared" ca="1" si="103"/>
        <v/>
      </c>
      <c r="MN30" s="76" t="str">
        <f t="shared" ca="1" si="103"/>
        <v/>
      </c>
      <c r="MO30" s="76" t="str">
        <f t="shared" ca="1" si="103"/>
        <v/>
      </c>
      <c r="MP30" s="76" t="str">
        <f t="shared" ca="1" si="103"/>
        <v/>
      </c>
      <c r="MQ30" s="76" t="str">
        <f t="shared" ca="1" si="103"/>
        <v/>
      </c>
      <c r="MR30" s="76" t="str">
        <f t="shared" ca="1" si="103"/>
        <v/>
      </c>
      <c r="MS30" s="76" t="str">
        <f t="shared" ca="1" si="103"/>
        <v/>
      </c>
      <c r="MT30" s="76" t="str">
        <f t="shared" ca="1" si="103"/>
        <v/>
      </c>
      <c r="MU30" s="76" t="str">
        <f t="shared" ca="1" si="103"/>
        <v/>
      </c>
      <c r="MV30" s="76" t="str">
        <f t="shared" ref="MV30:NE44" ca="1" si="104">IF(AND($C30="Goal",MV$7&gt;=$F30,MV$7&lt;=$F30+$H30-1),2,IF(AND($C30="Milestone",MV$7&gt;=$F30,MV$7&lt;=$F30+$H30-1),1,""))</f>
        <v/>
      </c>
      <c r="MW30" s="76" t="str">
        <f t="shared" ca="1" si="104"/>
        <v/>
      </c>
      <c r="MX30" s="76" t="str">
        <f t="shared" ca="1" si="104"/>
        <v/>
      </c>
      <c r="MY30" s="76" t="str">
        <f t="shared" ca="1" si="104"/>
        <v/>
      </c>
      <c r="MZ30" s="76" t="str">
        <f t="shared" ca="1" si="104"/>
        <v/>
      </c>
      <c r="NA30" s="76" t="str">
        <f t="shared" ca="1" si="104"/>
        <v/>
      </c>
      <c r="NB30" s="76" t="str">
        <f t="shared" ca="1" si="104"/>
        <v/>
      </c>
      <c r="NC30" s="76" t="str">
        <f t="shared" ca="1" si="104"/>
        <v/>
      </c>
      <c r="ND30" s="76" t="str">
        <f t="shared" ca="1" si="104"/>
        <v/>
      </c>
      <c r="NE30" s="76" t="str">
        <f t="shared" ca="1" si="104"/>
        <v/>
      </c>
      <c r="NF30" s="76" t="str">
        <f t="shared" ref="NF30:NO44" ca="1" si="105">IF(AND($C30="Goal",NF$7&gt;=$F30,NF$7&lt;=$F30+$H30-1),2,IF(AND($C30="Milestone",NF$7&gt;=$F30,NF$7&lt;=$F30+$H30-1),1,""))</f>
        <v/>
      </c>
      <c r="NG30" s="76" t="str">
        <f t="shared" ca="1" si="105"/>
        <v/>
      </c>
      <c r="NH30" s="76" t="str">
        <f t="shared" ca="1" si="105"/>
        <v/>
      </c>
      <c r="NI30" s="76" t="str">
        <f t="shared" ca="1" si="105"/>
        <v/>
      </c>
      <c r="NJ30" s="76" t="str">
        <f t="shared" ca="1" si="105"/>
        <v/>
      </c>
      <c r="NK30" s="76" t="str">
        <f t="shared" ca="1" si="105"/>
        <v/>
      </c>
      <c r="NL30" s="76" t="str">
        <f t="shared" ca="1" si="105"/>
        <v/>
      </c>
      <c r="NM30" s="76" t="str">
        <f t="shared" ca="1" si="105"/>
        <v/>
      </c>
      <c r="NN30" s="76" t="str">
        <f t="shared" ca="1" si="105"/>
        <v/>
      </c>
      <c r="NO30" s="76" t="str">
        <f t="shared" ca="1" si="105"/>
        <v/>
      </c>
      <c r="NP30" s="76" t="str">
        <f t="shared" ref="NP30:NY44" ca="1" si="106">IF(AND($C30="Goal",NP$7&gt;=$F30,NP$7&lt;=$F30+$H30-1),2,IF(AND($C30="Milestone",NP$7&gt;=$F30,NP$7&lt;=$F30+$H30-1),1,""))</f>
        <v/>
      </c>
      <c r="NQ30" s="76" t="str">
        <f t="shared" ca="1" si="106"/>
        <v/>
      </c>
      <c r="NR30" s="76" t="str">
        <f t="shared" ca="1" si="106"/>
        <v/>
      </c>
      <c r="NS30" s="76" t="str">
        <f t="shared" ca="1" si="106"/>
        <v/>
      </c>
      <c r="NT30" s="76" t="str">
        <f t="shared" ca="1" si="106"/>
        <v/>
      </c>
      <c r="NU30" s="76" t="str">
        <f t="shared" ca="1" si="106"/>
        <v/>
      </c>
      <c r="NV30" s="76" t="str">
        <f t="shared" ca="1" si="106"/>
        <v/>
      </c>
      <c r="NW30" s="76" t="str">
        <f t="shared" ca="1" si="106"/>
        <v/>
      </c>
      <c r="NX30" s="76" t="str">
        <f t="shared" ca="1" si="106"/>
        <v/>
      </c>
      <c r="NY30" s="76" t="str">
        <f t="shared" ca="1" si="106"/>
        <v/>
      </c>
      <c r="NZ30" s="76" t="str">
        <f t="shared" ref="NZ30:OI44" ca="1" si="107">IF(AND($C30="Goal",NZ$7&gt;=$F30,NZ$7&lt;=$F30+$H30-1),2,IF(AND($C30="Milestone",NZ$7&gt;=$F30,NZ$7&lt;=$F30+$H30-1),1,""))</f>
        <v/>
      </c>
      <c r="OA30" s="76" t="str">
        <f t="shared" ca="1" si="107"/>
        <v/>
      </c>
      <c r="OB30" s="76" t="str">
        <f t="shared" ca="1" si="107"/>
        <v/>
      </c>
      <c r="OC30" s="76" t="str">
        <f t="shared" ca="1" si="107"/>
        <v/>
      </c>
      <c r="OD30" s="76" t="str">
        <f t="shared" ca="1" si="107"/>
        <v/>
      </c>
      <c r="OE30" s="76" t="str">
        <f t="shared" ca="1" si="107"/>
        <v/>
      </c>
      <c r="OF30" s="76" t="str">
        <f t="shared" ca="1" si="107"/>
        <v/>
      </c>
      <c r="OG30" s="76" t="str">
        <f t="shared" ca="1" si="107"/>
        <v/>
      </c>
      <c r="OH30" s="76" t="str">
        <f t="shared" ca="1" si="107"/>
        <v/>
      </c>
      <c r="OI30" s="76" t="str">
        <f t="shared" ca="1" si="107"/>
        <v/>
      </c>
      <c r="OJ30" s="76" t="str">
        <f t="shared" ref="OJ30:OS44" ca="1" si="108">IF(AND($C30="Goal",OJ$7&gt;=$F30,OJ$7&lt;=$F30+$H30-1),2,IF(AND($C30="Milestone",OJ$7&gt;=$F30,OJ$7&lt;=$F30+$H30-1),1,""))</f>
        <v/>
      </c>
      <c r="OK30" s="76" t="str">
        <f t="shared" ca="1" si="108"/>
        <v/>
      </c>
      <c r="OL30" s="76" t="str">
        <f t="shared" ca="1" si="108"/>
        <v/>
      </c>
      <c r="OM30" s="76" t="str">
        <f t="shared" ca="1" si="108"/>
        <v/>
      </c>
      <c r="ON30" s="76" t="str">
        <f t="shared" ca="1" si="108"/>
        <v/>
      </c>
      <c r="OO30" s="76" t="str">
        <f t="shared" ca="1" si="108"/>
        <v/>
      </c>
      <c r="OP30" s="76" t="str">
        <f t="shared" ca="1" si="108"/>
        <v/>
      </c>
      <c r="OQ30" s="76" t="str">
        <f t="shared" ca="1" si="108"/>
        <v/>
      </c>
      <c r="OR30" s="76" t="str">
        <f t="shared" ca="1" si="108"/>
        <v/>
      </c>
      <c r="OS30" s="76" t="str">
        <f t="shared" ca="1" si="108"/>
        <v/>
      </c>
      <c r="OT30" s="76" t="str">
        <f t="shared" ref="OT30:PC44" ca="1" si="109">IF(AND($C30="Goal",OT$7&gt;=$F30,OT$7&lt;=$F30+$H30-1),2,IF(AND($C30="Milestone",OT$7&gt;=$F30,OT$7&lt;=$F30+$H30-1),1,""))</f>
        <v/>
      </c>
      <c r="OU30" s="76" t="str">
        <f t="shared" ca="1" si="109"/>
        <v/>
      </c>
      <c r="OV30" s="76" t="str">
        <f t="shared" ca="1" si="109"/>
        <v/>
      </c>
      <c r="OW30" s="76" t="str">
        <f t="shared" ca="1" si="109"/>
        <v/>
      </c>
      <c r="OX30" s="76" t="str">
        <f t="shared" ca="1" si="109"/>
        <v/>
      </c>
      <c r="OY30" s="76" t="str">
        <f t="shared" ca="1" si="109"/>
        <v/>
      </c>
      <c r="OZ30" s="76" t="str">
        <f t="shared" ca="1" si="109"/>
        <v/>
      </c>
      <c r="PA30" s="76" t="str">
        <f t="shared" ca="1" si="109"/>
        <v/>
      </c>
      <c r="PB30" s="76" t="str">
        <f t="shared" ca="1" si="109"/>
        <v/>
      </c>
      <c r="PC30" s="76" t="str">
        <f t="shared" ca="1" si="109"/>
        <v/>
      </c>
      <c r="PD30" s="76" t="str">
        <f t="shared" ref="PD30:PM44" ca="1" si="110">IF(AND($C30="Goal",PD$7&gt;=$F30,PD$7&lt;=$F30+$H30-1),2,IF(AND($C30="Milestone",PD$7&gt;=$F30,PD$7&lt;=$F30+$H30-1),1,""))</f>
        <v/>
      </c>
      <c r="PE30" s="76" t="str">
        <f t="shared" ca="1" si="110"/>
        <v/>
      </c>
      <c r="PF30" s="76" t="str">
        <f t="shared" ca="1" si="110"/>
        <v/>
      </c>
      <c r="PG30" s="76" t="str">
        <f t="shared" ca="1" si="110"/>
        <v/>
      </c>
      <c r="PH30" s="76" t="str">
        <f t="shared" ca="1" si="110"/>
        <v/>
      </c>
      <c r="PI30" s="76" t="str">
        <f t="shared" ca="1" si="110"/>
        <v/>
      </c>
      <c r="PJ30" s="76" t="str">
        <f t="shared" ca="1" si="110"/>
        <v/>
      </c>
      <c r="PK30" s="76" t="str">
        <f t="shared" ca="1" si="110"/>
        <v/>
      </c>
      <c r="PL30" s="76" t="str">
        <f t="shared" ca="1" si="110"/>
        <v/>
      </c>
      <c r="PM30" s="76" t="str">
        <f t="shared" ca="1" si="110"/>
        <v/>
      </c>
      <c r="PN30" s="76" t="str">
        <f t="shared" ref="PN30:PW44" ca="1" si="111">IF(AND($C30="Goal",PN$7&gt;=$F30,PN$7&lt;=$F30+$H30-1),2,IF(AND($C30="Milestone",PN$7&gt;=$F30,PN$7&lt;=$F30+$H30-1),1,""))</f>
        <v/>
      </c>
      <c r="PO30" s="76" t="str">
        <f t="shared" ca="1" si="111"/>
        <v/>
      </c>
      <c r="PP30" s="76" t="str">
        <f t="shared" ca="1" si="111"/>
        <v/>
      </c>
      <c r="PQ30" s="76" t="str">
        <f t="shared" ca="1" si="111"/>
        <v/>
      </c>
      <c r="PR30" s="76" t="str">
        <f t="shared" ca="1" si="111"/>
        <v/>
      </c>
      <c r="PS30" s="76" t="str">
        <f t="shared" ca="1" si="111"/>
        <v/>
      </c>
      <c r="PT30" s="76" t="str">
        <f t="shared" ca="1" si="111"/>
        <v/>
      </c>
      <c r="PU30" s="76" t="str">
        <f t="shared" ca="1" si="111"/>
        <v/>
      </c>
      <c r="PV30" s="76" t="str">
        <f t="shared" ca="1" si="111"/>
        <v/>
      </c>
      <c r="PW30" s="76" t="str">
        <f t="shared" ca="1" si="111"/>
        <v/>
      </c>
      <c r="PX30" s="76" t="str">
        <f t="shared" ref="PX30:QG44" ca="1" si="112">IF(AND($C30="Goal",PX$7&gt;=$F30,PX$7&lt;=$F30+$H30-1),2,IF(AND($C30="Milestone",PX$7&gt;=$F30,PX$7&lt;=$F30+$H30-1),1,""))</f>
        <v/>
      </c>
      <c r="PY30" s="76" t="str">
        <f t="shared" ca="1" si="112"/>
        <v/>
      </c>
      <c r="PZ30" s="76" t="str">
        <f t="shared" ca="1" si="112"/>
        <v/>
      </c>
      <c r="QA30" s="76" t="str">
        <f t="shared" ca="1" si="112"/>
        <v/>
      </c>
      <c r="QB30" s="76" t="str">
        <f t="shared" ca="1" si="112"/>
        <v/>
      </c>
      <c r="QC30" s="76" t="str">
        <f t="shared" ca="1" si="112"/>
        <v/>
      </c>
      <c r="QD30" s="76" t="str">
        <f t="shared" ca="1" si="112"/>
        <v/>
      </c>
      <c r="QE30" s="76" t="str">
        <f t="shared" ca="1" si="112"/>
        <v/>
      </c>
      <c r="QF30" s="76" t="str">
        <f t="shared" ca="1" si="112"/>
        <v/>
      </c>
      <c r="QG30" s="76" t="str">
        <f t="shared" ca="1" si="112"/>
        <v/>
      </c>
      <c r="QH30" s="76" t="str">
        <f t="shared" ref="QH30:QQ44" ca="1" si="113">IF(AND($C30="Goal",QH$7&gt;=$F30,QH$7&lt;=$F30+$H30-1),2,IF(AND($C30="Milestone",QH$7&gt;=$F30,QH$7&lt;=$F30+$H30-1),1,""))</f>
        <v/>
      </c>
      <c r="QI30" s="76" t="str">
        <f t="shared" ca="1" si="113"/>
        <v/>
      </c>
      <c r="QJ30" s="76" t="str">
        <f t="shared" ca="1" si="113"/>
        <v/>
      </c>
      <c r="QK30" s="76" t="str">
        <f t="shared" ca="1" si="113"/>
        <v/>
      </c>
      <c r="QL30" s="76" t="str">
        <f t="shared" ca="1" si="113"/>
        <v/>
      </c>
      <c r="QM30" s="76" t="str">
        <f t="shared" ca="1" si="113"/>
        <v/>
      </c>
      <c r="QN30" s="76" t="str">
        <f t="shared" ca="1" si="113"/>
        <v/>
      </c>
      <c r="QO30" s="76" t="str">
        <f t="shared" ca="1" si="113"/>
        <v/>
      </c>
      <c r="QP30" s="76" t="str">
        <f t="shared" ca="1" si="113"/>
        <v/>
      </c>
      <c r="QQ30" s="76" t="str">
        <f t="shared" ca="1" si="113"/>
        <v/>
      </c>
      <c r="QR30" s="76" t="str">
        <f t="shared" ref="QR30:RA44" ca="1" si="114">IF(AND($C30="Goal",QR$7&gt;=$F30,QR$7&lt;=$F30+$H30-1),2,IF(AND($C30="Milestone",QR$7&gt;=$F30,QR$7&lt;=$F30+$H30-1),1,""))</f>
        <v/>
      </c>
      <c r="QS30" s="76" t="str">
        <f t="shared" ca="1" si="114"/>
        <v/>
      </c>
      <c r="QT30" s="76" t="str">
        <f t="shared" ca="1" si="114"/>
        <v/>
      </c>
      <c r="QU30" s="76" t="str">
        <f t="shared" ca="1" si="114"/>
        <v/>
      </c>
      <c r="QV30" s="76" t="str">
        <f t="shared" ca="1" si="114"/>
        <v/>
      </c>
      <c r="QW30" s="76" t="str">
        <f t="shared" ca="1" si="114"/>
        <v/>
      </c>
      <c r="QX30" s="76" t="str">
        <f t="shared" ca="1" si="114"/>
        <v/>
      </c>
      <c r="QY30" s="76" t="str">
        <f t="shared" ca="1" si="114"/>
        <v/>
      </c>
      <c r="QZ30" s="76" t="str">
        <f t="shared" ca="1" si="114"/>
        <v/>
      </c>
      <c r="RA30" s="76" t="str">
        <f t="shared" ca="1" si="114"/>
        <v/>
      </c>
      <c r="RB30" s="76" t="str">
        <f t="shared" ref="RB30:RK44" ca="1" si="115">IF(AND($C30="Goal",RB$7&gt;=$F30,RB$7&lt;=$F30+$H30-1),2,IF(AND($C30="Milestone",RB$7&gt;=$F30,RB$7&lt;=$F30+$H30-1),1,""))</f>
        <v/>
      </c>
      <c r="RC30" s="76" t="str">
        <f t="shared" ca="1" si="115"/>
        <v/>
      </c>
      <c r="RD30" s="76" t="str">
        <f t="shared" ca="1" si="115"/>
        <v/>
      </c>
      <c r="RE30" s="76" t="str">
        <f t="shared" ca="1" si="115"/>
        <v/>
      </c>
      <c r="RF30" s="76" t="str">
        <f t="shared" ca="1" si="115"/>
        <v/>
      </c>
      <c r="RG30" s="76" t="str">
        <f t="shared" ca="1" si="115"/>
        <v/>
      </c>
      <c r="RH30" s="76" t="str">
        <f t="shared" ca="1" si="115"/>
        <v/>
      </c>
      <c r="RI30" s="76" t="str">
        <f t="shared" ca="1" si="115"/>
        <v/>
      </c>
      <c r="RJ30" s="76" t="str">
        <f t="shared" ca="1" si="115"/>
        <v/>
      </c>
      <c r="RK30" s="76" t="str">
        <f t="shared" ca="1" si="115"/>
        <v/>
      </c>
      <c r="RL30" s="76" t="str">
        <f t="shared" ref="RL30:RU44" ca="1" si="116">IF(AND($C30="Goal",RL$7&gt;=$F30,RL$7&lt;=$F30+$H30-1),2,IF(AND($C30="Milestone",RL$7&gt;=$F30,RL$7&lt;=$F30+$H30-1),1,""))</f>
        <v/>
      </c>
      <c r="RM30" s="76" t="str">
        <f t="shared" ca="1" si="116"/>
        <v/>
      </c>
      <c r="RN30" s="76" t="str">
        <f t="shared" ca="1" si="116"/>
        <v/>
      </c>
      <c r="RO30" s="76" t="str">
        <f t="shared" ca="1" si="116"/>
        <v/>
      </c>
      <c r="RP30" s="76" t="str">
        <f t="shared" ca="1" si="116"/>
        <v/>
      </c>
      <c r="RQ30" s="76" t="str">
        <f t="shared" ca="1" si="116"/>
        <v/>
      </c>
      <c r="RR30" s="76" t="str">
        <f t="shared" ca="1" si="116"/>
        <v/>
      </c>
      <c r="RS30" s="76" t="str">
        <f t="shared" ca="1" si="116"/>
        <v/>
      </c>
      <c r="RT30" s="76" t="str">
        <f t="shared" ca="1" si="116"/>
        <v/>
      </c>
      <c r="RU30" s="76" t="str">
        <f t="shared" ca="1" si="116"/>
        <v/>
      </c>
      <c r="RV30" s="76" t="str">
        <f t="shared" ref="RV30:SE44" ca="1" si="117">IF(AND($C30="Goal",RV$7&gt;=$F30,RV$7&lt;=$F30+$H30-1),2,IF(AND($C30="Milestone",RV$7&gt;=$F30,RV$7&lt;=$F30+$H30-1),1,""))</f>
        <v/>
      </c>
      <c r="RW30" s="76" t="str">
        <f t="shared" ca="1" si="117"/>
        <v/>
      </c>
      <c r="RX30" s="76" t="str">
        <f t="shared" ca="1" si="117"/>
        <v/>
      </c>
      <c r="RY30" s="76" t="str">
        <f t="shared" ca="1" si="117"/>
        <v/>
      </c>
      <c r="RZ30" s="76" t="str">
        <f t="shared" ca="1" si="117"/>
        <v/>
      </c>
      <c r="SA30" s="76" t="str">
        <f t="shared" ca="1" si="117"/>
        <v/>
      </c>
      <c r="SB30" s="76" t="str">
        <f t="shared" ca="1" si="117"/>
        <v/>
      </c>
      <c r="SC30" s="76" t="str">
        <f t="shared" ca="1" si="117"/>
        <v/>
      </c>
      <c r="SD30" s="76" t="str">
        <f t="shared" ca="1" si="117"/>
        <v/>
      </c>
      <c r="SE30" s="76" t="str">
        <f t="shared" ca="1" si="117"/>
        <v/>
      </c>
      <c r="SF30" s="76" t="str">
        <f t="shared" ref="SF30:SO44" ca="1" si="118">IF(AND($C30="Goal",SF$7&gt;=$F30,SF$7&lt;=$F30+$H30-1),2,IF(AND($C30="Milestone",SF$7&gt;=$F30,SF$7&lt;=$F30+$H30-1),1,""))</f>
        <v/>
      </c>
      <c r="SG30" s="76" t="str">
        <f t="shared" ca="1" si="118"/>
        <v/>
      </c>
      <c r="SH30" s="76" t="str">
        <f t="shared" ca="1" si="118"/>
        <v/>
      </c>
      <c r="SI30" s="76" t="str">
        <f t="shared" ca="1" si="118"/>
        <v/>
      </c>
      <c r="SJ30" s="76" t="str">
        <f t="shared" ca="1" si="118"/>
        <v/>
      </c>
      <c r="SK30" s="76" t="str">
        <f t="shared" ca="1" si="118"/>
        <v/>
      </c>
      <c r="SL30" s="76" t="str">
        <f t="shared" ca="1" si="118"/>
        <v/>
      </c>
      <c r="SM30" s="76" t="str">
        <f t="shared" ca="1" si="118"/>
        <v/>
      </c>
      <c r="SN30" s="76" t="str">
        <f t="shared" ca="1" si="118"/>
        <v/>
      </c>
      <c r="SO30" s="76" t="str">
        <f t="shared" ca="1" si="118"/>
        <v/>
      </c>
      <c r="SP30" s="76" t="str">
        <f t="shared" ref="SP30:SY44" ca="1" si="119">IF(AND($C30="Goal",SP$7&gt;=$F30,SP$7&lt;=$F30+$H30-1),2,IF(AND($C30="Milestone",SP$7&gt;=$F30,SP$7&lt;=$F30+$H30-1),1,""))</f>
        <v/>
      </c>
      <c r="SQ30" s="76" t="str">
        <f t="shared" ca="1" si="119"/>
        <v/>
      </c>
      <c r="SR30" s="76" t="str">
        <f t="shared" ca="1" si="119"/>
        <v/>
      </c>
      <c r="SS30" s="76" t="str">
        <f t="shared" ca="1" si="119"/>
        <v/>
      </c>
      <c r="ST30" s="76" t="str">
        <f t="shared" ca="1" si="119"/>
        <v/>
      </c>
      <c r="SU30" s="76" t="str">
        <f t="shared" ca="1" si="119"/>
        <v/>
      </c>
      <c r="SV30" s="76" t="str">
        <f t="shared" ca="1" si="119"/>
        <v/>
      </c>
      <c r="SW30" s="76" t="str">
        <f t="shared" ca="1" si="119"/>
        <v/>
      </c>
      <c r="SX30" s="76" t="str">
        <f t="shared" ca="1" si="119"/>
        <v/>
      </c>
      <c r="SY30" s="76" t="str">
        <f t="shared" ca="1" si="119"/>
        <v/>
      </c>
      <c r="SZ30" s="76" t="str">
        <f t="shared" ref="SZ30:TI44" ca="1" si="120">IF(AND($C30="Goal",SZ$7&gt;=$F30,SZ$7&lt;=$F30+$H30-1),2,IF(AND($C30="Milestone",SZ$7&gt;=$F30,SZ$7&lt;=$F30+$H30-1),1,""))</f>
        <v/>
      </c>
      <c r="TA30" s="76" t="str">
        <f t="shared" ca="1" si="120"/>
        <v/>
      </c>
      <c r="TB30" s="76" t="str">
        <f t="shared" ca="1" si="120"/>
        <v/>
      </c>
      <c r="TC30" s="76" t="str">
        <f t="shared" ca="1" si="120"/>
        <v/>
      </c>
      <c r="TD30" s="76" t="str">
        <f t="shared" ca="1" si="120"/>
        <v/>
      </c>
      <c r="TE30" s="76" t="str">
        <f t="shared" ca="1" si="120"/>
        <v/>
      </c>
      <c r="TF30" s="76" t="str">
        <f t="shared" ca="1" si="120"/>
        <v/>
      </c>
      <c r="TG30" s="76" t="str">
        <f t="shared" ca="1" si="120"/>
        <v/>
      </c>
      <c r="TH30" s="76" t="str">
        <f t="shared" ca="1" si="120"/>
        <v/>
      </c>
      <c r="TI30" s="76" t="str">
        <f t="shared" ca="1" si="120"/>
        <v/>
      </c>
      <c r="TJ30" s="76" t="str">
        <f t="shared" ref="TJ30:TS44" ca="1" si="121">IF(AND($C30="Goal",TJ$7&gt;=$F30,TJ$7&lt;=$F30+$H30-1),2,IF(AND($C30="Milestone",TJ$7&gt;=$F30,TJ$7&lt;=$F30+$H30-1),1,""))</f>
        <v/>
      </c>
      <c r="TK30" s="76" t="str">
        <f t="shared" ca="1" si="121"/>
        <v/>
      </c>
      <c r="TL30" s="76" t="str">
        <f t="shared" ca="1" si="121"/>
        <v/>
      </c>
      <c r="TM30" s="76" t="str">
        <f t="shared" ca="1" si="121"/>
        <v/>
      </c>
      <c r="TN30" s="76" t="str">
        <f t="shared" ca="1" si="121"/>
        <v/>
      </c>
      <c r="TO30" s="76" t="str">
        <f t="shared" ca="1" si="121"/>
        <v/>
      </c>
      <c r="TP30" s="76" t="str">
        <f t="shared" ca="1" si="121"/>
        <v/>
      </c>
      <c r="TQ30" s="76" t="str">
        <f t="shared" ca="1" si="121"/>
        <v/>
      </c>
      <c r="TR30" s="76" t="str">
        <f t="shared" ca="1" si="121"/>
        <v/>
      </c>
      <c r="TS30" s="76" t="str">
        <f t="shared" ca="1" si="121"/>
        <v/>
      </c>
      <c r="TT30" s="76" t="str">
        <f t="shared" ref="TT30:UC44" ca="1" si="122">IF(AND($C30="Goal",TT$7&gt;=$F30,TT$7&lt;=$F30+$H30-1),2,IF(AND($C30="Milestone",TT$7&gt;=$F30,TT$7&lt;=$F30+$H30-1),1,""))</f>
        <v/>
      </c>
      <c r="TU30" s="76" t="str">
        <f t="shared" ca="1" si="122"/>
        <v/>
      </c>
      <c r="TV30" s="76" t="str">
        <f t="shared" ca="1" si="122"/>
        <v/>
      </c>
      <c r="TW30" s="76" t="str">
        <f t="shared" ca="1" si="122"/>
        <v/>
      </c>
      <c r="TX30" s="76" t="str">
        <f t="shared" ca="1" si="122"/>
        <v/>
      </c>
      <c r="TY30" s="76" t="str">
        <f t="shared" ca="1" si="122"/>
        <v/>
      </c>
      <c r="TZ30" s="76" t="str">
        <f t="shared" ca="1" si="122"/>
        <v/>
      </c>
      <c r="UA30" s="76" t="str">
        <f t="shared" ca="1" si="122"/>
        <v/>
      </c>
      <c r="UB30" s="76" t="str">
        <f t="shared" ca="1" si="122"/>
        <v/>
      </c>
      <c r="UC30" s="76" t="str">
        <f t="shared" ca="1" si="122"/>
        <v/>
      </c>
      <c r="UD30" s="76" t="str">
        <f t="shared" ref="UD30:UM44" ca="1" si="123">IF(AND($C30="Goal",UD$7&gt;=$F30,UD$7&lt;=$F30+$H30-1),2,IF(AND($C30="Milestone",UD$7&gt;=$F30,UD$7&lt;=$F30+$H30-1),1,""))</f>
        <v/>
      </c>
      <c r="UE30" s="76" t="str">
        <f t="shared" ca="1" si="123"/>
        <v/>
      </c>
      <c r="UF30" s="76" t="str">
        <f t="shared" ca="1" si="123"/>
        <v/>
      </c>
      <c r="UG30" s="76" t="str">
        <f t="shared" ca="1" si="123"/>
        <v/>
      </c>
      <c r="UH30" s="76" t="str">
        <f t="shared" ca="1" si="123"/>
        <v/>
      </c>
      <c r="UI30" s="76" t="str">
        <f t="shared" ca="1" si="123"/>
        <v/>
      </c>
      <c r="UJ30" s="76" t="str">
        <f t="shared" ca="1" si="123"/>
        <v/>
      </c>
      <c r="UK30" s="76" t="str">
        <f t="shared" ca="1" si="123"/>
        <v/>
      </c>
      <c r="UL30" s="76" t="str">
        <f t="shared" ca="1" si="123"/>
        <v/>
      </c>
      <c r="UM30" s="76" t="str">
        <f t="shared" ca="1" si="123"/>
        <v/>
      </c>
      <c r="UN30" s="76" t="str">
        <f t="shared" ref="UN30:UW44" ca="1" si="124">IF(AND($C30="Goal",UN$7&gt;=$F30,UN$7&lt;=$F30+$H30-1),2,IF(AND($C30="Milestone",UN$7&gt;=$F30,UN$7&lt;=$F30+$H30-1),1,""))</f>
        <v/>
      </c>
      <c r="UO30" s="76" t="str">
        <f t="shared" ca="1" si="124"/>
        <v/>
      </c>
      <c r="UP30" s="76" t="str">
        <f t="shared" ca="1" si="124"/>
        <v/>
      </c>
      <c r="UQ30" s="76" t="str">
        <f t="shared" ca="1" si="124"/>
        <v/>
      </c>
      <c r="UR30" s="76" t="str">
        <f t="shared" ca="1" si="124"/>
        <v/>
      </c>
      <c r="US30" s="76" t="str">
        <f t="shared" ca="1" si="124"/>
        <v/>
      </c>
      <c r="UT30" s="76" t="str">
        <f t="shared" ca="1" si="124"/>
        <v/>
      </c>
      <c r="UU30" s="76" t="str">
        <f t="shared" ca="1" si="124"/>
        <v/>
      </c>
      <c r="UV30" s="76" t="str">
        <f t="shared" ca="1" si="124"/>
        <v/>
      </c>
      <c r="UW30" s="76" t="str">
        <f t="shared" ca="1" si="124"/>
        <v/>
      </c>
      <c r="UX30" s="76" t="str">
        <f t="shared" ref="UX30:VG44" ca="1" si="125">IF(AND($C30="Goal",UX$7&gt;=$F30,UX$7&lt;=$F30+$H30-1),2,IF(AND($C30="Milestone",UX$7&gt;=$F30,UX$7&lt;=$F30+$H30-1),1,""))</f>
        <v/>
      </c>
      <c r="UY30" s="76" t="str">
        <f t="shared" ca="1" si="125"/>
        <v/>
      </c>
      <c r="UZ30" s="76" t="str">
        <f t="shared" ca="1" si="125"/>
        <v/>
      </c>
      <c r="VA30" s="76" t="str">
        <f t="shared" ca="1" si="125"/>
        <v/>
      </c>
      <c r="VB30" s="76" t="str">
        <f t="shared" ca="1" si="125"/>
        <v/>
      </c>
      <c r="VC30" s="76" t="str">
        <f t="shared" ca="1" si="125"/>
        <v/>
      </c>
      <c r="VD30" s="76" t="str">
        <f t="shared" ca="1" si="125"/>
        <v/>
      </c>
      <c r="VE30" s="76" t="str">
        <f t="shared" ca="1" si="125"/>
        <v/>
      </c>
      <c r="VF30" s="76" t="str">
        <f t="shared" ca="1" si="125"/>
        <v/>
      </c>
      <c r="VG30" s="76" t="str">
        <f t="shared" ca="1" si="125"/>
        <v/>
      </c>
      <c r="VH30" s="76" t="str">
        <f t="shared" ref="VH30:VS44" ca="1" si="126">IF(AND($C30="Goal",VH$7&gt;=$F30,VH$7&lt;=$F30+$H30-1),2,IF(AND($C30="Milestone",VH$7&gt;=$F30,VH$7&lt;=$F30+$H30-1),1,""))</f>
        <v/>
      </c>
      <c r="VI30" s="76" t="str">
        <f t="shared" ca="1" si="126"/>
        <v/>
      </c>
      <c r="VJ30" s="76" t="str">
        <f t="shared" ca="1" si="126"/>
        <v/>
      </c>
      <c r="VK30" s="76" t="str">
        <f t="shared" ca="1" si="126"/>
        <v/>
      </c>
      <c r="VL30" s="76" t="str">
        <f t="shared" ca="1" si="126"/>
        <v/>
      </c>
      <c r="VM30" s="76" t="str">
        <f t="shared" ca="1" si="126"/>
        <v/>
      </c>
      <c r="VN30" s="76" t="str">
        <f t="shared" ca="1" si="126"/>
        <v/>
      </c>
      <c r="VO30" s="76" t="str">
        <f t="shared" ca="1" si="126"/>
        <v/>
      </c>
      <c r="VP30" s="76" t="str">
        <f t="shared" ca="1" si="126"/>
        <v/>
      </c>
      <c r="VQ30" s="76" t="str">
        <f t="shared" ca="1" si="126"/>
        <v/>
      </c>
      <c r="VR30" s="76" t="str">
        <f t="shared" ca="1" si="126"/>
        <v/>
      </c>
      <c r="VS30" s="76" t="str">
        <f t="shared" ca="1" si="126"/>
        <v/>
      </c>
    </row>
    <row r="31" spans="1:591" s="17" customFormat="1" ht="16.2" customHeight="1" x14ac:dyDescent="0.3">
      <c r="A31" s="82"/>
      <c r="B31" s="56" t="str">
        <f>'CoS Tracker'!$H$7</f>
        <v>0. DATE EXCHANGED
(Contract Date)</v>
      </c>
      <c r="C31" s="19" t="s">
        <v>71</v>
      </c>
      <c r="D31" s="19" t="s">
        <v>77</v>
      </c>
      <c r="E31" s="27">
        <v>0.25</v>
      </c>
      <c r="F31" s="26">
        <f>'CoS Tracker'!H10</f>
        <v>45995</v>
      </c>
      <c r="G31" s="26">
        <f>Milestones43524[[#This Row],[Start]]</f>
        <v>45995</v>
      </c>
      <c r="H31" s="25">
        <v>1</v>
      </c>
      <c r="I31" s="19"/>
      <c r="J31" s="75" t="str">
        <f t="shared" ca="1" si="69"/>
        <v/>
      </c>
      <c r="K31" s="75" t="str">
        <f t="shared" ca="1" si="69"/>
        <v/>
      </c>
      <c r="L31" s="75" t="str">
        <f t="shared" ca="1" si="69"/>
        <v/>
      </c>
      <c r="M31" s="75" t="str">
        <f t="shared" ca="1" si="69"/>
        <v/>
      </c>
      <c r="N31" s="75" t="str">
        <f t="shared" ca="1" si="69"/>
        <v/>
      </c>
      <c r="O31" s="75" t="str">
        <f t="shared" ca="1" si="69"/>
        <v/>
      </c>
      <c r="P31" s="75" t="str">
        <f t="shared" ca="1" si="69"/>
        <v/>
      </c>
      <c r="Q31" s="75" t="str">
        <f t="shared" ca="1" si="69"/>
        <v/>
      </c>
      <c r="R31" s="75" t="str">
        <f t="shared" ca="1" si="69"/>
        <v/>
      </c>
      <c r="S31" s="75" t="str">
        <f t="shared" ca="1" si="69"/>
        <v/>
      </c>
      <c r="T31" s="75" t="str">
        <f t="shared" ca="1" si="70"/>
        <v/>
      </c>
      <c r="U31" s="75" t="str">
        <f t="shared" ca="1" si="70"/>
        <v/>
      </c>
      <c r="V31" s="75" t="str">
        <f t="shared" ca="1" si="70"/>
        <v/>
      </c>
      <c r="W31" s="75" t="str">
        <f t="shared" ca="1" si="70"/>
        <v/>
      </c>
      <c r="X31" s="75">
        <f t="shared" ca="1" si="70"/>
        <v>1</v>
      </c>
      <c r="Y31" s="75" t="str">
        <f t="shared" ca="1" si="70"/>
        <v/>
      </c>
      <c r="Z31" s="75" t="str">
        <f t="shared" ca="1" si="70"/>
        <v/>
      </c>
      <c r="AA31" s="75" t="str">
        <f t="shared" ca="1" si="70"/>
        <v/>
      </c>
      <c r="AB31" s="75" t="str">
        <f t="shared" ca="1" si="70"/>
        <v/>
      </c>
      <c r="AC31" s="75" t="str">
        <f t="shared" ca="1" si="70"/>
        <v/>
      </c>
      <c r="AD31" s="75" t="str">
        <f t="shared" ca="1" si="71"/>
        <v/>
      </c>
      <c r="AE31" s="75" t="str">
        <f t="shared" ca="1" si="71"/>
        <v/>
      </c>
      <c r="AF31" s="75" t="str">
        <f t="shared" ca="1" si="71"/>
        <v/>
      </c>
      <c r="AG31" s="75" t="str">
        <f t="shared" ca="1" si="71"/>
        <v/>
      </c>
      <c r="AH31" s="75" t="str">
        <f t="shared" ca="1" si="71"/>
        <v/>
      </c>
      <c r="AI31" s="75" t="str">
        <f t="shared" ca="1" si="71"/>
        <v/>
      </c>
      <c r="AJ31" s="75" t="str">
        <f t="shared" ca="1" si="71"/>
        <v/>
      </c>
      <c r="AK31" s="75" t="str">
        <f t="shared" ca="1" si="71"/>
        <v/>
      </c>
      <c r="AL31" s="75" t="str">
        <f t="shared" ca="1" si="71"/>
        <v/>
      </c>
      <c r="AM31" s="75" t="str">
        <f t="shared" ca="1" si="71"/>
        <v/>
      </c>
      <c r="AN31" s="75" t="str">
        <f t="shared" ca="1" si="72"/>
        <v/>
      </c>
      <c r="AO31" s="75" t="str">
        <f t="shared" ca="1" si="72"/>
        <v/>
      </c>
      <c r="AP31" s="75" t="str">
        <f t="shared" ca="1" si="72"/>
        <v/>
      </c>
      <c r="AQ31" s="75" t="str">
        <f t="shared" ca="1" si="72"/>
        <v/>
      </c>
      <c r="AR31" s="75" t="str">
        <f t="shared" ca="1" si="72"/>
        <v/>
      </c>
      <c r="AS31" s="75" t="str">
        <f t="shared" ca="1" si="72"/>
        <v/>
      </c>
      <c r="AT31" s="75" t="str">
        <f t="shared" ca="1" si="72"/>
        <v/>
      </c>
      <c r="AU31" s="75" t="str">
        <f t="shared" ca="1" si="72"/>
        <v/>
      </c>
      <c r="AV31" s="75" t="str">
        <f t="shared" ca="1" si="72"/>
        <v/>
      </c>
      <c r="AW31" s="75" t="str">
        <f t="shared" ca="1" si="72"/>
        <v/>
      </c>
      <c r="AX31" s="75" t="str">
        <f t="shared" ca="1" si="73"/>
        <v/>
      </c>
      <c r="AY31" s="75" t="str">
        <f t="shared" ca="1" si="73"/>
        <v/>
      </c>
      <c r="AZ31" s="75" t="str">
        <f t="shared" ca="1" si="73"/>
        <v/>
      </c>
      <c r="BA31" s="75" t="str">
        <f t="shared" ca="1" si="73"/>
        <v/>
      </c>
      <c r="BB31" s="75" t="str">
        <f t="shared" ca="1" si="73"/>
        <v/>
      </c>
      <c r="BC31" s="75" t="str">
        <f t="shared" ca="1" si="73"/>
        <v/>
      </c>
      <c r="BD31" s="75" t="str">
        <f t="shared" ca="1" si="73"/>
        <v/>
      </c>
      <c r="BE31" s="75" t="str">
        <f t="shared" ca="1" si="73"/>
        <v/>
      </c>
      <c r="BF31" s="75" t="str">
        <f t="shared" ca="1" si="73"/>
        <v/>
      </c>
      <c r="BG31" s="75" t="str">
        <f t="shared" ca="1" si="73"/>
        <v/>
      </c>
      <c r="BH31" s="75" t="str">
        <f t="shared" ca="1" si="74"/>
        <v/>
      </c>
      <c r="BI31" s="75" t="str">
        <f t="shared" ca="1" si="74"/>
        <v/>
      </c>
      <c r="BJ31" s="75" t="str">
        <f t="shared" ca="1" si="74"/>
        <v/>
      </c>
      <c r="BK31" s="75" t="str">
        <f t="shared" ca="1" si="74"/>
        <v/>
      </c>
      <c r="BL31" s="75" t="str">
        <f t="shared" ca="1" si="74"/>
        <v/>
      </c>
      <c r="BM31" s="75" t="str">
        <f t="shared" ca="1" si="74"/>
        <v/>
      </c>
      <c r="BN31" s="75" t="str">
        <f t="shared" ca="1" si="74"/>
        <v/>
      </c>
      <c r="BO31" s="75" t="str">
        <f t="shared" ca="1" si="74"/>
        <v/>
      </c>
      <c r="BP31" s="75" t="str">
        <f t="shared" ca="1" si="74"/>
        <v/>
      </c>
      <c r="BQ31" s="75" t="str">
        <f t="shared" ca="1" si="74"/>
        <v/>
      </c>
      <c r="BR31" s="75" t="str">
        <f t="shared" ca="1" si="75"/>
        <v/>
      </c>
      <c r="BS31" s="75" t="str">
        <f t="shared" ca="1" si="75"/>
        <v/>
      </c>
      <c r="BT31" s="75" t="str">
        <f t="shared" ca="1" si="75"/>
        <v/>
      </c>
      <c r="BU31" s="75" t="str">
        <f t="shared" ca="1" si="75"/>
        <v/>
      </c>
      <c r="BV31" s="75" t="str">
        <f t="shared" ca="1" si="75"/>
        <v/>
      </c>
      <c r="BW31" s="75" t="str">
        <f t="shared" ca="1" si="75"/>
        <v/>
      </c>
      <c r="BX31" s="75" t="str">
        <f t="shared" ca="1" si="75"/>
        <v/>
      </c>
      <c r="BY31" s="75" t="str">
        <f t="shared" ca="1" si="75"/>
        <v/>
      </c>
      <c r="BZ31" s="75" t="str">
        <f t="shared" ca="1" si="75"/>
        <v/>
      </c>
      <c r="CA31" s="75" t="str">
        <f t="shared" ca="1" si="75"/>
        <v/>
      </c>
      <c r="CB31" s="75" t="str">
        <f t="shared" ca="1" si="76"/>
        <v/>
      </c>
      <c r="CC31" s="75" t="str">
        <f t="shared" ca="1" si="76"/>
        <v/>
      </c>
      <c r="CD31" s="75" t="str">
        <f t="shared" ca="1" si="76"/>
        <v/>
      </c>
      <c r="CE31" s="75" t="str">
        <f t="shared" ca="1" si="76"/>
        <v/>
      </c>
      <c r="CF31" s="75" t="str">
        <f t="shared" ca="1" si="76"/>
        <v/>
      </c>
      <c r="CG31" s="75" t="str">
        <f t="shared" ca="1" si="76"/>
        <v/>
      </c>
      <c r="CH31" s="75" t="str">
        <f t="shared" ca="1" si="76"/>
        <v/>
      </c>
      <c r="CI31" s="75" t="str">
        <f t="shared" ca="1" si="76"/>
        <v/>
      </c>
      <c r="CJ31" s="75" t="str">
        <f t="shared" ca="1" si="76"/>
        <v/>
      </c>
      <c r="CK31" s="75" t="str">
        <f t="shared" ca="1" si="76"/>
        <v/>
      </c>
      <c r="CL31" s="75" t="str">
        <f t="shared" ca="1" si="77"/>
        <v/>
      </c>
      <c r="CM31" s="75" t="str">
        <f t="shared" ca="1" si="77"/>
        <v/>
      </c>
      <c r="CN31" s="75" t="str">
        <f t="shared" ca="1" si="77"/>
        <v/>
      </c>
      <c r="CO31" s="75" t="str">
        <f t="shared" ca="1" si="77"/>
        <v/>
      </c>
      <c r="CP31" s="75" t="str">
        <f t="shared" ca="1" si="77"/>
        <v/>
      </c>
      <c r="CQ31" s="75" t="str">
        <f t="shared" ca="1" si="77"/>
        <v/>
      </c>
      <c r="CR31" s="75" t="str">
        <f t="shared" ca="1" si="77"/>
        <v/>
      </c>
      <c r="CS31" s="75" t="str">
        <f t="shared" ca="1" si="77"/>
        <v/>
      </c>
      <c r="CT31" s="75" t="str">
        <f t="shared" ca="1" si="77"/>
        <v/>
      </c>
      <c r="CU31" s="75" t="str">
        <f t="shared" ca="1" si="77"/>
        <v/>
      </c>
      <c r="CV31" s="75" t="str">
        <f t="shared" ca="1" si="78"/>
        <v/>
      </c>
      <c r="CW31" s="75" t="str">
        <f t="shared" ca="1" si="78"/>
        <v/>
      </c>
      <c r="CX31" s="75" t="str">
        <f t="shared" ca="1" si="78"/>
        <v/>
      </c>
      <c r="CY31" s="75" t="str">
        <f t="shared" ca="1" si="78"/>
        <v/>
      </c>
      <c r="CZ31" s="75" t="str">
        <f t="shared" ca="1" si="78"/>
        <v/>
      </c>
      <c r="DA31" s="75" t="str">
        <f t="shared" ca="1" si="78"/>
        <v/>
      </c>
      <c r="DB31" s="75" t="str">
        <f t="shared" ca="1" si="78"/>
        <v/>
      </c>
      <c r="DC31" s="75" t="str">
        <f t="shared" ca="1" si="78"/>
        <v/>
      </c>
      <c r="DD31" s="75" t="str">
        <f t="shared" ca="1" si="78"/>
        <v/>
      </c>
      <c r="DE31" s="75" t="str">
        <f t="shared" ca="1" si="78"/>
        <v/>
      </c>
      <c r="DF31" s="75" t="str">
        <f t="shared" ca="1" si="79"/>
        <v/>
      </c>
      <c r="DG31" s="75" t="str">
        <f t="shared" ca="1" si="79"/>
        <v/>
      </c>
      <c r="DH31" s="75" t="str">
        <f t="shared" ca="1" si="79"/>
        <v/>
      </c>
      <c r="DI31" s="75" t="str">
        <f t="shared" ca="1" si="79"/>
        <v/>
      </c>
      <c r="DJ31" s="75" t="str">
        <f t="shared" ca="1" si="79"/>
        <v/>
      </c>
      <c r="DK31" s="75" t="str">
        <f t="shared" ca="1" si="79"/>
        <v/>
      </c>
      <c r="DL31" s="75" t="str">
        <f t="shared" ca="1" si="79"/>
        <v/>
      </c>
      <c r="DM31" s="75" t="str">
        <f t="shared" ca="1" si="79"/>
        <v/>
      </c>
      <c r="DN31" s="75" t="str">
        <f t="shared" ca="1" si="79"/>
        <v/>
      </c>
      <c r="DO31" s="75" t="str">
        <f t="shared" ca="1" si="79"/>
        <v/>
      </c>
      <c r="DP31" s="75" t="str">
        <f t="shared" ca="1" si="80"/>
        <v/>
      </c>
      <c r="DQ31" s="75" t="str">
        <f t="shared" ca="1" si="80"/>
        <v/>
      </c>
      <c r="DR31" s="75" t="str">
        <f t="shared" ca="1" si="80"/>
        <v/>
      </c>
      <c r="DS31" s="75" t="str">
        <f t="shared" ca="1" si="80"/>
        <v/>
      </c>
      <c r="DT31" s="75" t="str">
        <f t="shared" ca="1" si="80"/>
        <v/>
      </c>
      <c r="DU31" s="75" t="str">
        <f t="shared" ca="1" si="80"/>
        <v/>
      </c>
      <c r="DV31" s="75" t="str">
        <f t="shared" ca="1" si="80"/>
        <v/>
      </c>
      <c r="DW31" s="75" t="str">
        <f t="shared" ca="1" si="80"/>
        <v/>
      </c>
      <c r="DX31" s="75" t="str">
        <f t="shared" ca="1" si="80"/>
        <v/>
      </c>
      <c r="DY31" s="75" t="str">
        <f t="shared" ca="1" si="80"/>
        <v/>
      </c>
      <c r="DZ31" s="75" t="str">
        <f t="shared" ca="1" si="81"/>
        <v/>
      </c>
      <c r="EA31" s="75" t="str">
        <f t="shared" ca="1" si="81"/>
        <v/>
      </c>
      <c r="EB31" s="75" t="str">
        <f t="shared" ca="1" si="81"/>
        <v/>
      </c>
      <c r="EC31" s="75" t="str">
        <f t="shared" ca="1" si="81"/>
        <v/>
      </c>
      <c r="ED31" s="75" t="str">
        <f t="shared" ca="1" si="81"/>
        <v/>
      </c>
      <c r="EE31" s="75" t="str">
        <f t="shared" ca="1" si="81"/>
        <v/>
      </c>
      <c r="EF31" s="75" t="str">
        <f t="shared" ca="1" si="81"/>
        <v/>
      </c>
      <c r="EG31" s="75" t="str">
        <f t="shared" ca="1" si="81"/>
        <v/>
      </c>
      <c r="EH31" s="75" t="str">
        <f t="shared" ca="1" si="81"/>
        <v/>
      </c>
      <c r="EI31" s="75" t="str">
        <f t="shared" ca="1" si="81"/>
        <v/>
      </c>
      <c r="EJ31" s="75" t="str">
        <f t="shared" ca="1" si="82"/>
        <v/>
      </c>
      <c r="EK31" s="75" t="str">
        <f t="shared" ca="1" si="82"/>
        <v/>
      </c>
      <c r="EL31" s="75" t="str">
        <f t="shared" ca="1" si="82"/>
        <v/>
      </c>
      <c r="EM31" s="75" t="str">
        <f t="shared" ca="1" si="82"/>
        <v/>
      </c>
      <c r="EN31" s="75" t="str">
        <f t="shared" ca="1" si="82"/>
        <v/>
      </c>
      <c r="EO31" s="75" t="str">
        <f t="shared" ca="1" si="82"/>
        <v/>
      </c>
      <c r="EP31" s="75" t="str">
        <f t="shared" ca="1" si="82"/>
        <v/>
      </c>
      <c r="EQ31" s="75" t="str">
        <f t="shared" ca="1" si="82"/>
        <v/>
      </c>
      <c r="ER31" s="75" t="str">
        <f t="shared" ca="1" si="82"/>
        <v/>
      </c>
      <c r="ES31" s="75" t="str">
        <f t="shared" ca="1" si="82"/>
        <v/>
      </c>
      <c r="ET31" s="75" t="str">
        <f t="shared" ca="1" si="83"/>
        <v/>
      </c>
      <c r="EU31" s="75" t="str">
        <f t="shared" ca="1" si="83"/>
        <v/>
      </c>
      <c r="EV31" s="75" t="str">
        <f t="shared" ca="1" si="83"/>
        <v/>
      </c>
      <c r="EW31" s="75" t="str">
        <f t="shared" ca="1" si="83"/>
        <v/>
      </c>
      <c r="EX31" s="75" t="str">
        <f t="shared" ca="1" si="83"/>
        <v/>
      </c>
      <c r="EY31" s="75" t="str">
        <f t="shared" ca="1" si="83"/>
        <v/>
      </c>
      <c r="EZ31" s="75" t="str">
        <f t="shared" ca="1" si="83"/>
        <v/>
      </c>
      <c r="FA31" s="75" t="str">
        <f t="shared" ca="1" si="83"/>
        <v/>
      </c>
      <c r="FB31" s="75" t="str">
        <f t="shared" ca="1" si="83"/>
        <v/>
      </c>
      <c r="FC31" s="75" t="str">
        <f t="shared" ca="1" si="83"/>
        <v/>
      </c>
      <c r="FD31" s="75" t="str">
        <f t="shared" ca="1" si="84"/>
        <v/>
      </c>
      <c r="FE31" s="75" t="str">
        <f t="shared" ca="1" si="84"/>
        <v/>
      </c>
      <c r="FF31" s="75" t="str">
        <f t="shared" ca="1" si="84"/>
        <v/>
      </c>
      <c r="FG31" s="75" t="str">
        <f t="shared" ca="1" si="84"/>
        <v/>
      </c>
      <c r="FH31" s="75" t="str">
        <f t="shared" ca="1" si="84"/>
        <v/>
      </c>
      <c r="FI31" s="75" t="str">
        <f t="shared" ca="1" si="84"/>
        <v/>
      </c>
      <c r="FJ31" s="75" t="str">
        <f t="shared" ca="1" si="84"/>
        <v/>
      </c>
      <c r="FK31" s="75" t="str">
        <f t="shared" ca="1" si="84"/>
        <v/>
      </c>
      <c r="FL31" s="75" t="str">
        <f t="shared" ca="1" si="84"/>
        <v/>
      </c>
      <c r="FM31" s="75" t="str">
        <f t="shared" ca="1" si="84"/>
        <v/>
      </c>
      <c r="FN31" s="75" t="str">
        <f t="shared" ca="1" si="85"/>
        <v/>
      </c>
      <c r="FO31" s="75" t="str">
        <f t="shared" ca="1" si="85"/>
        <v/>
      </c>
      <c r="FP31" s="75" t="str">
        <f t="shared" ca="1" si="85"/>
        <v/>
      </c>
      <c r="FQ31" s="75" t="str">
        <f t="shared" ca="1" si="85"/>
        <v/>
      </c>
      <c r="FR31" s="75" t="str">
        <f t="shared" ca="1" si="85"/>
        <v/>
      </c>
      <c r="FS31" s="75" t="str">
        <f t="shared" ca="1" si="85"/>
        <v/>
      </c>
      <c r="FT31" s="75" t="str">
        <f t="shared" ca="1" si="85"/>
        <v/>
      </c>
      <c r="FU31" s="75" t="str">
        <f t="shared" ca="1" si="85"/>
        <v/>
      </c>
      <c r="FV31" s="75" t="str">
        <f t="shared" ca="1" si="85"/>
        <v/>
      </c>
      <c r="FW31" s="75" t="str">
        <f t="shared" ca="1" si="85"/>
        <v/>
      </c>
      <c r="FX31" s="75" t="str">
        <f t="shared" ca="1" si="86"/>
        <v/>
      </c>
      <c r="FY31" s="75" t="str">
        <f t="shared" ca="1" si="86"/>
        <v/>
      </c>
      <c r="FZ31" s="75" t="str">
        <f t="shared" ca="1" si="86"/>
        <v/>
      </c>
      <c r="GA31" s="75" t="str">
        <f t="shared" ca="1" si="86"/>
        <v/>
      </c>
      <c r="GB31" s="75" t="str">
        <f t="shared" ca="1" si="86"/>
        <v/>
      </c>
      <c r="GC31" s="75" t="str">
        <f t="shared" ca="1" si="86"/>
        <v/>
      </c>
      <c r="GD31" s="75" t="str">
        <f t="shared" ca="1" si="86"/>
        <v/>
      </c>
      <c r="GE31" s="75" t="str">
        <f t="shared" ca="1" si="86"/>
        <v/>
      </c>
      <c r="GF31" s="75" t="str">
        <f t="shared" ca="1" si="86"/>
        <v/>
      </c>
      <c r="GG31" s="75" t="str">
        <f t="shared" ca="1" si="86"/>
        <v/>
      </c>
      <c r="GH31" s="75" t="str">
        <f t="shared" ca="1" si="87"/>
        <v/>
      </c>
      <c r="GI31" s="75" t="str">
        <f t="shared" ca="1" si="87"/>
        <v/>
      </c>
      <c r="GJ31" s="75" t="str">
        <f t="shared" ca="1" si="87"/>
        <v/>
      </c>
      <c r="GK31" s="75" t="str">
        <f t="shared" ca="1" si="87"/>
        <v/>
      </c>
      <c r="GL31" s="75" t="str">
        <f t="shared" ca="1" si="87"/>
        <v/>
      </c>
      <c r="GM31" s="75" t="str">
        <f t="shared" ca="1" si="87"/>
        <v/>
      </c>
      <c r="GN31" s="75" t="str">
        <f t="shared" ca="1" si="87"/>
        <v/>
      </c>
      <c r="GO31" s="75" t="str">
        <f t="shared" ca="1" si="87"/>
        <v/>
      </c>
      <c r="GP31" s="75" t="str">
        <f t="shared" ca="1" si="87"/>
        <v/>
      </c>
      <c r="GQ31" s="75" t="str">
        <f t="shared" ca="1" si="87"/>
        <v/>
      </c>
      <c r="GR31" s="75" t="str">
        <f t="shared" ca="1" si="88"/>
        <v/>
      </c>
      <c r="GS31" s="75" t="str">
        <f t="shared" ca="1" si="88"/>
        <v/>
      </c>
      <c r="GT31" s="75" t="str">
        <f t="shared" ca="1" si="88"/>
        <v/>
      </c>
      <c r="GU31" s="75" t="str">
        <f t="shared" ca="1" si="88"/>
        <v/>
      </c>
      <c r="GV31" s="75" t="str">
        <f t="shared" ca="1" si="88"/>
        <v/>
      </c>
      <c r="GW31" s="75" t="str">
        <f t="shared" ca="1" si="88"/>
        <v/>
      </c>
      <c r="GX31" s="75" t="str">
        <f t="shared" ca="1" si="88"/>
        <v/>
      </c>
      <c r="GY31" s="75" t="str">
        <f t="shared" ca="1" si="88"/>
        <v/>
      </c>
      <c r="GZ31" s="75" t="str">
        <f t="shared" ca="1" si="88"/>
        <v/>
      </c>
      <c r="HA31" s="75" t="str">
        <f t="shared" ca="1" si="88"/>
        <v/>
      </c>
      <c r="HB31" s="75" t="str">
        <f t="shared" ca="1" si="89"/>
        <v/>
      </c>
      <c r="HC31" s="75" t="str">
        <f t="shared" ca="1" si="89"/>
        <v/>
      </c>
      <c r="HD31" s="75" t="str">
        <f t="shared" ca="1" si="89"/>
        <v/>
      </c>
      <c r="HE31" s="75" t="str">
        <f t="shared" ca="1" si="89"/>
        <v/>
      </c>
      <c r="HF31" s="75" t="str">
        <f t="shared" ca="1" si="89"/>
        <v/>
      </c>
      <c r="HG31" s="75" t="str">
        <f t="shared" ca="1" si="89"/>
        <v/>
      </c>
      <c r="HH31" s="75" t="str">
        <f t="shared" ca="1" si="89"/>
        <v/>
      </c>
      <c r="HI31" s="75" t="str">
        <f t="shared" ca="1" si="89"/>
        <v/>
      </c>
      <c r="HJ31" s="75" t="str">
        <f t="shared" ca="1" si="89"/>
        <v/>
      </c>
      <c r="HK31" s="75" t="str">
        <f t="shared" ca="1" si="89"/>
        <v/>
      </c>
      <c r="HL31" s="75" t="str">
        <f t="shared" ca="1" si="90"/>
        <v/>
      </c>
      <c r="HM31" s="75" t="str">
        <f t="shared" ca="1" si="90"/>
        <v/>
      </c>
      <c r="HN31" s="75" t="str">
        <f t="shared" ca="1" si="90"/>
        <v/>
      </c>
      <c r="HO31" s="75" t="str">
        <f t="shared" ca="1" si="90"/>
        <v/>
      </c>
      <c r="HP31" s="75" t="str">
        <f t="shared" ca="1" si="90"/>
        <v/>
      </c>
      <c r="HQ31" s="75" t="str">
        <f t="shared" ca="1" si="90"/>
        <v/>
      </c>
      <c r="HR31" s="75" t="str">
        <f t="shared" ca="1" si="90"/>
        <v/>
      </c>
      <c r="HS31" s="75" t="str">
        <f t="shared" ca="1" si="90"/>
        <v/>
      </c>
      <c r="HT31" s="75" t="str">
        <f t="shared" ca="1" si="90"/>
        <v/>
      </c>
      <c r="HU31" s="75" t="str">
        <f t="shared" ca="1" si="90"/>
        <v/>
      </c>
      <c r="HV31" s="75" t="str">
        <f t="shared" ca="1" si="91"/>
        <v/>
      </c>
      <c r="HW31" s="75" t="str">
        <f t="shared" ca="1" si="91"/>
        <v/>
      </c>
      <c r="HX31" s="75" t="str">
        <f t="shared" ca="1" si="91"/>
        <v/>
      </c>
      <c r="HY31" s="75" t="str">
        <f t="shared" ca="1" si="91"/>
        <v/>
      </c>
      <c r="HZ31" s="75" t="str">
        <f t="shared" ca="1" si="91"/>
        <v/>
      </c>
      <c r="IA31" s="75" t="str">
        <f t="shared" ca="1" si="91"/>
        <v/>
      </c>
      <c r="IB31" s="75" t="str">
        <f t="shared" ca="1" si="91"/>
        <v/>
      </c>
      <c r="IC31" s="75" t="str">
        <f t="shared" ca="1" si="91"/>
        <v/>
      </c>
      <c r="ID31" s="75" t="str">
        <f t="shared" ca="1" si="91"/>
        <v/>
      </c>
      <c r="IE31" s="75" t="str">
        <f t="shared" ca="1" si="91"/>
        <v/>
      </c>
      <c r="IF31" s="75" t="str">
        <f t="shared" ca="1" si="92"/>
        <v/>
      </c>
      <c r="IG31" s="75" t="str">
        <f t="shared" ca="1" si="92"/>
        <v/>
      </c>
      <c r="IH31" s="75" t="str">
        <f t="shared" ca="1" si="92"/>
        <v/>
      </c>
      <c r="II31" s="75" t="str">
        <f t="shared" ca="1" si="92"/>
        <v/>
      </c>
      <c r="IJ31" s="75" t="str">
        <f t="shared" ca="1" si="92"/>
        <v/>
      </c>
      <c r="IK31" s="75" t="str">
        <f t="shared" ca="1" si="92"/>
        <v/>
      </c>
      <c r="IL31" s="75" t="str">
        <f t="shared" ca="1" si="92"/>
        <v/>
      </c>
      <c r="IM31" s="75" t="str">
        <f t="shared" ca="1" si="92"/>
        <v/>
      </c>
      <c r="IN31" s="75" t="str">
        <f t="shared" ca="1" si="92"/>
        <v/>
      </c>
      <c r="IO31" s="75" t="str">
        <f t="shared" ca="1" si="92"/>
        <v/>
      </c>
      <c r="IP31" s="75" t="str">
        <f t="shared" ca="1" si="93"/>
        <v/>
      </c>
      <c r="IQ31" s="75" t="str">
        <f t="shared" ca="1" si="93"/>
        <v/>
      </c>
      <c r="IR31" s="75" t="str">
        <f t="shared" ca="1" si="93"/>
        <v/>
      </c>
      <c r="IS31" s="75" t="str">
        <f t="shared" ca="1" si="93"/>
        <v/>
      </c>
      <c r="IT31" s="75" t="str">
        <f t="shared" ca="1" si="93"/>
        <v/>
      </c>
      <c r="IU31" s="75" t="str">
        <f t="shared" ca="1" si="93"/>
        <v/>
      </c>
      <c r="IV31" s="75" t="str">
        <f t="shared" ca="1" si="93"/>
        <v/>
      </c>
      <c r="IW31" s="75" t="str">
        <f t="shared" ca="1" si="93"/>
        <v/>
      </c>
      <c r="IX31" s="75" t="str">
        <f t="shared" ca="1" si="93"/>
        <v/>
      </c>
      <c r="IY31" s="75" t="str">
        <f t="shared" ca="1" si="93"/>
        <v/>
      </c>
      <c r="IZ31" s="75" t="str">
        <f t="shared" ca="1" si="94"/>
        <v/>
      </c>
      <c r="JA31" s="75" t="str">
        <f t="shared" ca="1" si="94"/>
        <v/>
      </c>
      <c r="JB31" s="75" t="str">
        <f t="shared" ca="1" si="94"/>
        <v/>
      </c>
      <c r="JC31" s="75" t="str">
        <f t="shared" ca="1" si="94"/>
        <v/>
      </c>
      <c r="JD31" s="75" t="str">
        <f t="shared" ca="1" si="94"/>
        <v/>
      </c>
      <c r="JE31" s="75" t="str">
        <f t="shared" ca="1" si="94"/>
        <v/>
      </c>
      <c r="JF31" s="75" t="str">
        <f t="shared" ca="1" si="94"/>
        <v/>
      </c>
      <c r="JG31" s="75" t="str">
        <f t="shared" ca="1" si="94"/>
        <v/>
      </c>
      <c r="JH31" s="75" t="str">
        <f t="shared" ca="1" si="94"/>
        <v/>
      </c>
      <c r="JI31" s="75" t="str">
        <f t="shared" ca="1" si="94"/>
        <v/>
      </c>
      <c r="JJ31" s="75" t="str">
        <f t="shared" ca="1" si="95"/>
        <v/>
      </c>
      <c r="JK31" s="75" t="str">
        <f t="shared" ca="1" si="95"/>
        <v/>
      </c>
      <c r="JL31" s="75" t="str">
        <f t="shared" ca="1" si="95"/>
        <v/>
      </c>
      <c r="JM31" s="75" t="str">
        <f t="shared" ca="1" si="95"/>
        <v/>
      </c>
      <c r="JN31" s="75" t="str">
        <f t="shared" ca="1" si="95"/>
        <v/>
      </c>
      <c r="JO31" s="75" t="str">
        <f t="shared" ca="1" si="95"/>
        <v/>
      </c>
      <c r="JP31" s="75" t="str">
        <f t="shared" ca="1" si="95"/>
        <v/>
      </c>
      <c r="JQ31" s="75" t="str">
        <f t="shared" ca="1" si="95"/>
        <v/>
      </c>
      <c r="JR31" s="75" t="str">
        <f t="shared" ca="1" si="95"/>
        <v/>
      </c>
      <c r="JS31" s="75" t="str">
        <f t="shared" ca="1" si="95"/>
        <v/>
      </c>
      <c r="JT31" s="75" t="str">
        <f t="shared" ca="1" si="96"/>
        <v/>
      </c>
      <c r="JU31" s="75" t="str">
        <f t="shared" ca="1" si="96"/>
        <v/>
      </c>
      <c r="JV31" s="75" t="str">
        <f t="shared" ca="1" si="96"/>
        <v/>
      </c>
      <c r="JW31" s="75" t="str">
        <f t="shared" ca="1" si="96"/>
        <v/>
      </c>
      <c r="JX31" s="75" t="str">
        <f t="shared" ca="1" si="96"/>
        <v/>
      </c>
      <c r="JY31" s="75" t="str">
        <f t="shared" ca="1" si="96"/>
        <v/>
      </c>
      <c r="JZ31" s="75" t="str">
        <f t="shared" ca="1" si="96"/>
        <v/>
      </c>
      <c r="KA31" s="75" t="str">
        <f t="shared" ca="1" si="96"/>
        <v/>
      </c>
      <c r="KB31" s="75" t="str">
        <f t="shared" ca="1" si="96"/>
        <v/>
      </c>
      <c r="KC31" s="75" t="str">
        <f t="shared" ca="1" si="96"/>
        <v/>
      </c>
      <c r="KD31" s="75" t="str">
        <f t="shared" ca="1" si="97"/>
        <v/>
      </c>
      <c r="KE31" s="75" t="str">
        <f t="shared" ca="1" si="97"/>
        <v/>
      </c>
      <c r="KF31" s="75" t="str">
        <f t="shared" ca="1" si="97"/>
        <v/>
      </c>
      <c r="KG31" s="75" t="str">
        <f t="shared" ca="1" si="97"/>
        <v/>
      </c>
      <c r="KH31" s="75" t="str">
        <f t="shared" ca="1" si="97"/>
        <v/>
      </c>
      <c r="KI31" s="75" t="str">
        <f t="shared" ca="1" si="97"/>
        <v/>
      </c>
      <c r="KJ31" s="75" t="str">
        <f t="shared" ca="1" si="97"/>
        <v/>
      </c>
      <c r="KK31" s="75" t="str">
        <f t="shared" ca="1" si="97"/>
        <v/>
      </c>
      <c r="KL31" s="75" t="str">
        <f t="shared" ca="1" si="97"/>
        <v/>
      </c>
      <c r="KM31" s="75" t="str">
        <f t="shared" ca="1" si="97"/>
        <v/>
      </c>
      <c r="KN31" s="75" t="str">
        <f t="shared" ca="1" si="98"/>
        <v/>
      </c>
      <c r="KO31" s="75" t="str">
        <f t="shared" ca="1" si="98"/>
        <v/>
      </c>
      <c r="KP31" s="75" t="str">
        <f t="shared" ca="1" si="98"/>
        <v/>
      </c>
      <c r="KQ31" s="75" t="str">
        <f t="shared" ca="1" si="98"/>
        <v/>
      </c>
      <c r="KR31" s="75" t="str">
        <f t="shared" ca="1" si="98"/>
        <v/>
      </c>
      <c r="KS31" s="75" t="str">
        <f t="shared" ca="1" si="98"/>
        <v/>
      </c>
      <c r="KT31" s="75" t="str">
        <f t="shared" ca="1" si="98"/>
        <v/>
      </c>
      <c r="KU31" s="75" t="str">
        <f t="shared" ca="1" si="98"/>
        <v/>
      </c>
      <c r="KV31" s="75" t="str">
        <f t="shared" ca="1" si="98"/>
        <v/>
      </c>
      <c r="KW31" s="75" t="str">
        <f t="shared" ca="1" si="98"/>
        <v/>
      </c>
      <c r="KX31" s="75" t="str">
        <f t="shared" ca="1" si="99"/>
        <v/>
      </c>
      <c r="KY31" s="75" t="str">
        <f t="shared" ca="1" si="99"/>
        <v/>
      </c>
      <c r="KZ31" s="75" t="str">
        <f t="shared" ca="1" si="99"/>
        <v/>
      </c>
      <c r="LA31" s="75" t="str">
        <f t="shared" ca="1" si="99"/>
        <v/>
      </c>
      <c r="LB31" s="75" t="str">
        <f t="shared" ca="1" si="99"/>
        <v/>
      </c>
      <c r="LC31" s="75" t="str">
        <f t="shared" ca="1" si="99"/>
        <v/>
      </c>
      <c r="LD31" s="75" t="str">
        <f t="shared" ca="1" si="99"/>
        <v/>
      </c>
      <c r="LE31" s="75" t="str">
        <f t="shared" ca="1" si="99"/>
        <v/>
      </c>
      <c r="LF31" s="75" t="str">
        <f t="shared" ca="1" si="99"/>
        <v/>
      </c>
      <c r="LG31" s="75" t="str">
        <f t="shared" ca="1" si="99"/>
        <v/>
      </c>
      <c r="LH31" s="75" t="str">
        <f t="shared" ca="1" si="100"/>
        <v/>
      </c>
      <c r="LI31" s="75" t="str">
        <f t="shared" ca="1" si="100"/>
        <v/>
      </c>
      <c r="LJ31" s="75" t="str">
        <f t="shared" ca="1" si="100"/>
        <v/>
      </c>
      <c r="LK31" s="75" t="str">
        <f t="shared" ca="1" si="100"/>
        <v/>
      </c>
      <c r="LL31" s="75" t="str">
        <f t="shared" ca="1" si="100"/>
        <v/>
      </c>
      <c r="LM31" s="75" t="str">
        <f t="shared" ca="1" si="100"/>
        <v/>
      </c>
      <c r="LN31" s="75" t="str">
        <f t="shared" ca="1" si="100"/>
        <v/>
      </c>
      <c r="LO31" s="75" t="str">
        <f t="shared" ca="1" si="100"/>
        <v/>
      </c>
      <c r="LP31" s="75" t="str">
        <f t="shared" ca="1" si="100"/>
        <v/>
      </c>
      <c r="LQ31" s="75" t="str">
        <f t="shared" ca="1" si="100"/>
        <v/>
      </c>
      <c r="LR31" s="75" t="str">
        <f t="shared" ca="1" si="101"/>
        <v/>
      </c>
      <c r="LS31" s="75" t="str">
        <f t="shared" ca="1" si="101"/>
        <v/>
      </c>
      <c r="LT31" s="75" t="str">
        <f t="shared" ca="1" si="101"/>
        <v/>
      </c>
      <c r="LU31" s="75" t="str">
        <f t="shared" ca="1" si="101"/>
        <v/>
      </c>
      <c r="LV31" s="75" t="str">
        <f t="shared" ca="1" si="101"/>
        <v/>
      </c>
      <c r="LW31" s="75" t="str">
        <f t="shared" ca="1" si="101"/>
        <v/>
      </c>
      <c r="LX31" s="75" t="str">
        <f t="shared" ca="1" si="101"/>
        <v/>
      </c>
      <c r="LY31" s="75" t="str">
        <f t="shared" ca="1" si="101"/>
        <v/>
      </c>
      <c r="LZ31" s="75" t="str">
        <f t="shared" ca="1" si="101"/>
        <v/>
      </c>
      <c r="MA31" s="75" t="str">
        <f t="shared" ca="1" si="101"/>
        <v/>
      </c>
      <c r="MB31" s="75" t="str">
        <f t="shared" ca="1" si="102"/>
        <v/>
      </c>
      <c r="MC31" s="75" t="str">
        <f t="shared" ca="1" si="102"/>
        <v/>
      </c>
      <c r="MD31" s="75" t="str">
        <f t="shared" ca="1" si="102"/>
        <v/>
      </c>
      <c r="ME31" s="75" t="str">
        <f t="shared" ca="1" si="102"/>
        <v/>
      </c>
      <c r="MF31" s="75" t="str">
        <f t="shared" ca="1" si="102"/>
        <v/>
      </c>
      <c r="MG31" s="75" t="str">
        <f t="shared" ca="1" si="102"/>
        <v/>
      </c>
      <c r="MH31" s="75" t="str">
        <f t="shared" ca="1" si="102"/>
        <v/>
      </c>
      <c r="MI31" s="75" t="str">
        <f t="shared" ca="1" si="102"/>
        <v/>
      </c>
      <c r="MJ31" s="75" t="str">
        <f t="shared" ca="1" si="102"/>
        <v/>
      </c>
      <c r="MK31" s="75" t="str">
        <f t="shared" ca="1" si="102"/>
        <v/>
      </c>
      <c r="ML31" s="75" t="str">
        <f t="shared" ca="1" si="103"/>
        <v/>
      </c>
      <c r="MM31" s="75" t="str">
        <f t="shared" ca="1" si="103"/>
        <v/>
      </c>
      <c r="MN31" s="75" t="str">
        <f t="shared" ca="1" si="103"/>
        <v/>
      </c>
      <c r="MO31" s="75" t="str">
        <f t="shared" ca="1" si="103"/>
        <v/>
      </c>
      <c r="MP31" s="75" t="str">
        <f t="shared" ca="1" si="103"/>
        <v/>
      </c>
      <c r="MQ31" s="75" t="str">
        <f t="shared" ca="1" si="103"/>
        <v/>
      </c>
      <c r="MR31" s="75" t="str">
        <f t="shared" ca="1" si="103"/>
        <v/>
      </c>
      <c r="MS31" s="75" t="str">
        <f t="shared" ca="1" si="103"/>
        <v/>
      </c>
      <c r="MT31" s="75" t="str">
        <f t="shared" ca="1" si="103"/>
        <v/>
      </c>
      <c r="MU31" s="75" t="str">
        <f t="shared" ca="1" si="103"/>
        <v/>
      </c>
      <c r="MV31" s="75" t="str">
        <f t="shared" ca="1" si="104"/>
        <v/>
      </c>
      <c r="MW31" s="75" t="str">
        <f t="shared" ca="1" si="104"/>
        <v/>
      </c>
      <c r="MX31" s="75" t="str">
        <f t="shared" ca="1" si="104"/>
        <v/>
      </c>
      <c r="MY31" s="75" t="str">
        <f t="shared" ca="1" si="104"/>
        <v/>
      </c>
      <c r="MZ31" s="75" t="str">
        <f t="shared" ca="1" si="104"/>
        <v/>
      </c>
      <c r="NA31" s="75" t="str">
        <f t="shared" ca="1" si="104"/>
        <v/>
      </c>
      <c r="NB31" s="75" t="str">
        <f t="shared" ca="1" si="104"/>
        <v/>
      </c>
      <c r="NC31" s="75" t="str">
        <f t="shared" ca="1" si="104"/>
        <v/>
      </c>
      <c r="ND31" s="75" t="str">
        <f t="shared" ca="1" si="104"/>
        <v/>
      </c>
      <c r="NE31" s="75" t="str">
        <f t="shared" ca="1" si="104"/>
        <v/>
      </c>
      <c r="NF31" s="75" t="str">
        <f t="shared" ca="1" si="105"/>
        <v/>
      </c>
      <c r="NG31" s="75" t="str">
        <f t="shared" ca="1" si="105"/>
        <v/>
      </c>
      <c r="NH31" s="75" t="str">
        <f t="shared" ca="1" si="105"/>
        <v/>
      </c>
      <c r="NI31" s="75" t="str">
        <f t="shared" ca="1" si="105"/>
        <v/>
      </c>
      <c r="NJ31" s="75" t="str">
        <f t="shared" ca="1" si="105"/>
        <v/>
      </c>
      <c r="NK31" s="75" t="str">
        <f t="shared" ca="1" si="105"/>
        <v/>
      </c>
      <c r="NL31" s="75" t="str">
        <f t="shared" ca="1" si="105"/>
        <v/>
      </c>
      <c r="NM31" s="75" t="str">
        <f t="shared" ca="1" si="105"/>
        <v/>
      </c>
      <c r="NN31" s="75" t="str">
        <f t="shared" ca="1" si="105"/>
        <v/>
      </c>
      <c r="NO31" s="75" t="str">
        <f t="shared" ca="1" si="105"/>
        <v/>
      </c>
      <c r="NP31" s="75" t="str">
        <f t="shared" ca="1" si="106"/>
        <v/>
      </c>
      <c r="NQ31" s="75" t="str">
        <f t="shared" ca="1" si="106"/>
        <v/>
      </c>
      <c r="NR31" s="75" t="str">
        <f t="shared" ca="1" si="106"/>
        <v/>
      </c>
      <c r="NS31" s="75" t="str">
        <f t="shared" ca="1" si="106"/>
        <v/>
      </c>
      <c r="NT31" s="75" t="str">
        <f t="shared" ca="1" si="106"/>
        <v/>
      </c>
      <c r="NU31" s="75" t="str">
        <f t="shared" ca="1" si="106"/>
        <v/>
      </c>
      <c r="NV31" s="75" t="str">
        <f t="shared" ca="1" si="106"/>
        <v/>
      </c>
      <c r="NW31" s="75" t="str">
        <f t="shared" ca="1" si="106"/>
        <v/>
      </c>
      <c r="NX31" s="75" t="str">
        <f t="shared" ca="1" si="106"/>
        <v/>
      </c>
      <c r="NY31" s="75" t="str">
        <f t="shared" ca="1" si="106"/>
        <v/>
      </c>
      <c r="NZ31" s="75" t="str">
        <f t="shared" ca="1" si="107"/>
        <v/>
      </c>
      <c r="OA31" s="75" t="str">
        <f t="shared" ca="1" si="107"/>
        <v/>
      </c>
      <c r="OB31" s="75" t="str">
        <f t="shared" ca="1" si="107"/>
        <v/>
      </c>
      <c r="OC31" s="75" t="str">
        <f t="shared" ca="1" si="107"/>
        <v/>
      </c>
      <c r="OD31" s="75" t="str">
        <f t="shared" ca="1" si="107"/>
        <v/>
      </c>
      <c r="OE31" s="75" t="str">
        <f t="shared" ca="1" si="107"/>
        <v/>
      </c>
      <c r="OF31" s="75" t="str">
        <f t="shared" ca="1" si="107"/>
        <v/>
      </c>
      <c r="OG31" s="75" t="str">
        <f t="shared" ca="1" si="107"/>
        <v/>
      </c>
      <c r="OH31" s="75" t="str">
        <f t="shared" ca="1" si="107"/>
        <v/>
      </c>
      <c r="OI31" s="75" t="str">
        <f t="shared" ca="1" si="107"/>
        <v/>
      </c>
      <c r="OJ31" s="75" t="str">
        <f t="shared" ca="1" si="108"/>
        <v/>
      </c>
      <c r="OK31" s="75" t="str">
        <f t="shared" ca="1" si="108"/>
        <v/>
      </c>
      <c r="OL31" s="75" t="str">
        <f t="shared" ca="1" si="108"/>
        <v/>
      </c>
      <c r="OM31" s="75" t="str">
        <f t="shared" ca="1" si="108"/>
        <v/>
      </c>
      <c r="ON31" s="75" t="str">
        <f t="shared" ca="1" si="108"/>
        <v/>
      </c>
      <c r="OO31" s="75" t="str">
        <f t="shared" ca="1" si="108"/>
        <v/>
      </c>
      <c r="OP31" s="75" t="str">
        <f t="shared" ca="1" si="108"/>
        <v/>
      </c>
      <c r="OQ31" s="75" t="str">
        <f t="shared" ca="1" si="108"/>
        <v/>
      </c>
      <c r="OR31" s="75" t="str">
        <f t="shared" ca="1" si="108"/>
        <v/>
      </c>
      <c r="OS31" s="75" t="str">
        <f t="shared" ca="1" si="108"/>
        <v/>
      </c>
      <c r="OT31" s="75" t="str">
        <f t="shared" ca="1" si="109"/>
        <v/>
      </c>
      <c r="OU31" s="75" t="str">
        <f t="shared" ca="1" si="109"/>
        <v/>
      </c>
      <c r="OV31" s="75" t="str">
        <f t="shared" ca="1" si="109"/>
        <v/>
      </c>
      <c r="OW31" s="75" t="str">
        <f t="shared" ca="1" si="109"/>
        <v/>
      </c>
      <c r="OX31" s="75" t="str">
        <f t="shared" ca="1" si="109"/>
        <v/>
      </c>
      <c r="OY31" s="75" t="str">
        <f t="shared" ca="1" si="109"/>
        <v/>
      </c>
      <c r="OZ31" s="75" t="str">
        <f t="shared" ca="1" si="109"/>
        <v/>
      </c>
      <c r="PA31" s="75" t="str">
        <f t="shared" ca="1" si="109"/>
        <v/>
      </c>
      <c r="PB31" s="75" t="str">
        <f t="shared" ca="1" si="109"/>
        <v/>
      </c>
      <c r="PC31" s="75" t="str">
        <f t="shared" ca="1" si="109"/>
        <v/>
      </c>
      <c r="PD31" s="75" t="str">
        <f t="shared" ca="1" si="110"/>
        <v/>
      </c>
      <c r="PE31" s="75" t="str">
        <f t="shared" ca="1" si="110"/>
        <v/>
      </c>
      <c r="PF31" s="75" t="str">
        <f t="shared" ca="1" si="110"/>
        <v/>
      </c>
      <c r="PG31" s="75" t="str">
        <f t="shared" ca="1" si="110"/>
        <v/>
      </c>
      <c r="PH31" s="75" t="str">
        <f t="shared" ca="1" si="110"/>
        <v/>
      </c>
      <c r="PI31" s="75" t="str">
        <f t="shared" ca="1" si="110"/>
        <v/>
      </c>
      <c r="PJ31" s="75" t="str">
        <f t="shared" ca="1" si="110"/>
        <v/>
      </c>
      <c r="PK31" s="75" t="str">
        <f t="shared" ca="1" si="110"/>
        <v/>
      </c>
      <c r="PL31" s="75" t="str">
        <f t="shared" ca="1" si="110"/>
        <v/>
      </c>
      <c r="PM31" s="75" t="str">
        <f t="shared" ca="1" si="110"/>
        <v/>
      </c>
      <c r="PN31" s="75" t="str">
        <f t="shared" ca="1" si="111"/>
        <v/>
      </c>
      <c r="PO31" s="75" t="str">
        <f t="shared" ca="1" si="111"/>
        <v/>
      </c>
      <c r="PP31" s="75" t="str">
        <f t="shared" ca="1" si="111"/>
        <v/>
      </c>
      <c r="PQ31" s="75" t="str">
        <f t="shared" ca="1" si="111"/>
        <v/>
      </c>
      <c r="PR31" s="75" t="str">
        <f t="shared" ca="1" si="111"/>
        <v/>
      </c>
      <c r="PS31" s="75" t="str">
        <f t="shared" ca="1" si="111"/>
        <v/>
      </c>
      <c r="PT31" s="75" t="str">
        <f t="shared" ca="1" si="111"/>
        <v/>
      </c>
      <c r="PU31" s="75" t="str">
        <f t="shared" ca="1" si="111"/>
        <v/>
      </c>
      <c r="PV31" s="75" t="str">
        <f t="shared" ca="1" si="111"/>
        <v/>
      </c>
      <c r="PW31" s="75" t="str">
        <f t="shared" ca="1" si="111"/>
        <v/>
      </c>
      <c r="PX31" s="75" t="str">
        <f t="shared" ca="1" si="112"/>
        <v/>
      </c>
      <c r="PY31" s="75" t="str">
        <f t="shared" ca="1" si="112"/>
        <v/>
      </c>
      <c r="PZ31" s="75" t="str">
        <f t="shared" ca="1" si="112"/>
        <v/>
      </c>
      <c r="QA31" s="75" t="str">
        <f t="shared" ca="1" si="112"/>
        <v/>
      </c>
      <c r="QB31" s="75" t="str">
        <f t="shared" ca="1" si="112"/>
        <v/>
      </c>
      <c r="QC31" s="75" t="str">
        <f t="shared" ca="1" si="112"/>
        <v/>
      </c>
      <c r="QD31" s="75" t="str">
        <f t="shared" ca="1" si="112"/>
        <v/>
      </c>
      <c r="QE31" s="75" t="str">
        <f t="shared" ca="1" si="112"/>
        <v/>
      </c>
      <c r="QF31" s="75" t="str">
        <f t="shared" ca="1" si="112"/>
        <v/>
      </c>
      <c r="QG31" s="75" t="str">
        <f t="shared" ca="1" si="112"/>
        <v/>
      </c>
      <c r="QH31" s="75" t="str">
        <f t="shared" ca="1" si="113"/>
        <v/>
      </c>
      <c r="QI31" s="75" t="str">
        <f t="shared" ca="1" si="113"/>
        <v/>
      </c>
      <c r="QJ31" s="75" t="str">
        <f t="shared" ca="1" si="113"/>
        <v/>
      </c>
      <c r="QK31" s="75" t="str">
        <f t="shared" ca="1" si="113"/>
        <v/>
      </c>
      <c r="QL31" s="75" t="str">
        <f t="shared" ca="1" si="113"/>
        <v/>
      </c>
      <c r="QM31" s="75" t="str">
        <f t="shared" ca="1" si="113"/>
        <v/>
      </c>
      <c r="QN31" s="75" t="str">
        <f t="shared" ca="1" si="113"/>
        <v/>
      </c>
      <c r="QO31" s="75" t="str">
        <f t="shared" ca="1" si="113"/>
        <v/>
      </c>
      <c r="QP31" s="75" t="str">
        <f t="shared" ca="1" si="113"/>
        <v/>
      </c>
      <c r="QQ31" s="75" t="str">
        <f t="shared" ca="1" si="113"/>
        <v/>
      </c>
      <c r="QR31" s="75" t="str">
        <f t="shared" ca="1" si="114"/>
        <v/>
      </c>
      <c r="QS31" s="75" t="str">
        <f t="shared" ca="1" si="114"/>
        <v/>
      </c>
      <c r="QT31" s="75" t="str">
        <f t="shared" ca="1" si="114"/>
        <v/>
      </c>
      <c r="QU31" s="75" t="str">
        <f t="shared" ca="1" si="114"/>
        <v/>
      </c>
      <c r="QV31" s="75" t="str">
        <f t="shared" ca="1" si="114"/>
        <v/>
      </c>
      <c r="QW31" s="75" t="str">
        <f t="shared" ca="1" si="114"/>
        <v/>
      </c>
      <c r="QX31" s="75" t="str">
        <f t="shared" ca="1" si="114"/>
        <v/>
      </c>
      <c r="QY31" s="75" t="str">
        <f t="shared" ca="1" si="114"/>
        <v/>
      </c>
      <c r="QZ31" s="75" t="str">
        <f t="shared" ca="1" si="114"/>
        <v/>
      </c>
      <c r="RA31" s="75" t="str">
        <f t="shared" ca="1" si="114"/>
        <v/>
      </c>
      <c r="RB31" s="75" t="str">
        <f t="shared" ca="1" si="115"/>
        <v/>
      </c>
      <c r="RC31" s="75" t="str">
        <f t="shared" ca="1" si="115"/>
        <v/>
      </c>
      <c r="RD31" s="75" t="str">
        <f t="shared" ca="1" si="115"/>
        <v/>
      </c>
      <c r="RE31" s="75" t="str">
        <f t="shared" ca="1" si="115"/>
        <v/>
      </c>
      <c r="RF31" s="75" t="str">
        <f t="shared" ca="1" si="115"/>
        <v/>
      </c>
      <c r="RG31" s="75" t="str">
        <f t="shared" ca="1" si="115"/>
        <v/>
      </c>
      <c r="RH31" s="75" t="str">
        <f t="shared" ca="1" si="115"/>
        <v/>
      </c>
      <c r="RI31" s="75" t="str">
        <f t="shared" ca="1" si="115"/>
        <v/>
      </c>
      <c r="RJ31" s="75" t="str">
        <f t="shared" ca="1" si="115"/>
        <v/>
      </c>
      <c r="RK31" s="75" t="str">
        <f t="shared" ca="1" si="115"/>
        <v/>
      </c>
      <c r="RL31" s="75" t="str">
        <f t="shared" ca="1" si="116"/>
        <v/>
      </c>
      <c r="RM31" s="75" t="str">
        <f t="shared" ca="1" si="116"/>
        <v/>
      </c>
      <c r="RN31" s="75" t="str">
        <f t="shared" ca="1" si="116"/>
        <v/>
      </c>
      <c r="RO31" s="75" t="str">
        <f t="shared" ca="1" si="116"/>
        <v/>
      </c>
      <c r="RP31" s="75" t="str">
        <f t="shared" ca="1" si="116"/>
        <v/>
      </c>
      <c r="RQ31" s="75" t="str">
        <f t="shared" ca="1" si="116"/>
        <v/>
      </c>
      <c r="RR31" s="75" t="str">
        <f t="shared" ca="1" si="116"/>
        <v/>
      </c>
      <c r="RS31" s="75" t="str">
        <f t="shared" ca="1" si="116"/>
        <v/>
      </c>
      <c r="RT31" s="75" t="str">
        <f t="shared" ca="1" si="116"/>
        <v/>
      </c>
      <c r="RU31" s="75" t="str">
        <f t="shared" ca="1" si="116"/>
        <v/>
      </c>
      <c r="RV31" s="75" t="str">
        <f t="shared" ca="1" si="117"/>
        <v/>
      </c>
      <c r="RW31" s="75" t="str">
        <f t="shared" ca="1" si="117"/>
        <v/>
      </c>
      <c r="RX31" s="75" t="str">
        <f t="shared" ca="1" si="117"/>
        <v/>
      </c>
      <c r="RY31" s="75" t="str">
        <f t="shared" ca="1" si="117"/>
        <v/>
      </c>
      <c r="RZ31" s="75" t="str">
        <f t="shared" ca="1" si="117"/>
        <v/>
      </c>
      <c r="SA31" s="75" t="str">
        <f t="shared" ca="1" si="117"/>
        <v/>
      </c>
      <c r="SB31" s="75" t="str">
        <f t="shared" ca="1" si="117"/>
        <v/>
      </c>
      <c r="SC31" s="75" t="str">
        <f t="shared" ca="1" si="117"/>
        <v/>
      </c>
      <c r="SD31" s="75" t="str">
        <f t="shared" ca="1" si="117"/>
        <v/>
      </c>
      <c r="SE31" s="75" t="str">
        <f t="shared" ca="1" si="117"/>
        <v/>
      </c>
      <c r="SF31" s="75" t="str">
        <f t="shared" ca="1" si="118"/>
        <v/>
      </c>
      <c r="SG31" s="75" t="str">
        <f t="shared" ca="1" si="118"/>
        <v/>
      </c>
      <c r="SH31" s="75" t="str">
        <f t="shared" ca="1" si="118"/>
        <v/>
      </c>
      <c r="SI31" s="75" t="str">
        <f t="shared" ca="1" si="118"/>
        <v/>
      </c>
      <c r="SJ31" s="75" t="str">
        <f t="shared" ca="1" si="118"/>
        <v/>
      </c>
      <c r="SK31" s="75" t="str">
        <f t="shared" ca="1" si="118"/>
        <v/>
      </c>
      <c r="SL31" s="75" t="str">
        <f t="shared" ca="1" si="118"/>
        <v/>
      </c>
      <c r="SM31" s="75" t="str">
        <f t="shared" ca="1" si="118"/>
        <v/>
      </c>
      <c r="SN31" s="75" t="str">
        <f t="shared" ca="1" si="118"/>
        <v/>
      </c>
      <c r="SO31" s="75" t="str">
        <f t="shared" ca="1" si="118"/>
        <v/>
      </c>
      <c r="SP31" s="75" t="str">
        <f t="shared" ca="1" si="119"/>
        <v/>
      </c>
      <c r="SQ31" s="75" t="str">
        <f t="shared" ca="1" si="119"/>
        <v/>
      </c>
      <c r="SR31" s="75" t="str">
        <f t="shared" ca="1" si="119"/>
        <v/>
      </c>
      <c r="SS31" s="75" t="str">
        <f t="shared" ca="1" si="119"/>
        <v/>
      </c>
      <c r="ST31" s="75" t="str">
        <f t="shared" ca="1" si="119"/>
        <v/>
      </c>
      <c r="SU31" s="75" t="str">
        <f t="shared" ca="1" si="119"/>
        <v/>
      </c>
      <c r="SV31" s="75" t="str">
        <f t="shared" ca="1" si="119"/>
        <v/>
      </c>
      <c r="SW31" s="75" t="str">
        <f t="shared" ca="1" si="119"/>
        <v/>
      </c>
      <c r="SX31" s="75" t="str">
        <f t="shared" ca="1" si="119"/>
        <v/>
      </c>
      <c r="SY31" s="75" t="str">
        <f t="shared" ca="1" si="119"/>
        <v/>
      </c>
      <c r="SZ31" s="75" t="str">
        <f t="shared" ca="1" si="120"/>
        <v/>
      </c>
      <c r="TA31" s="75" t="str">
        <f t="shared" ca="1" si="120"/>
        <v/>
      </c>
      <c r="TB31" s="75" t="str">
        <f t="shared" ca="1" si="120"/>
        <v/>
      </c>
      <c r="TC31" s="75" t="str">
        <f t="shared" ca="1" si="120"/>
        <v/>
      </c>
      <c r="TD31" s="75" t="str">
        <f t="shared" ca="1" si="120"/>
        <v/>
      </c>
      <c r="TE31" s="75" t="str">
        <f t="shared" ca="1" si="120"/>
        <v/>
      </c>
      <c r="TF31" s="75" t="str">
        <f t="shared" ca="1" si="120"/>
        <v/>
      </c>
      <c r="TG31" s="75" t="str">
        <f t="shared" ca="1" si="120"/>
        <v/>
      </c>
      <c r="TH31" s="75" t="str">
        <f t="shared" ca="1" si="120"/>
        <v/>
      </c>
      <c r="TI31" s="75" t="str">
        <f t="shared" ca="1" si="120"/>
        <v/>
      </c>
      <c r="TJ31" s="75" t="str">
        <f t="shared" ca="1" si="121"/>
        <v/>
      </c>
      <c r="TK31" s="75" t="str">
        <f t="shared" ca="1" si="121"/>
        <v/>
      </c>
      <c r="TL31" s="75" t="str">
        <f t="shared" ca="1" si="121"/>
        <v/>
      </c>
      <c r="TM31" s="75" t="str">
        <f t="shared" ca="1" si="121"/>
        <v/>
      </c>
      <c r="TN31" s="75" t="str">
        <f t="shared" ca="1" si="121"/>
        <v/>
      </c>
      <c r="TO31" s="75" t="str">
        <f t="shared" ca="1" si="121"/>
        <v/>
      </c>
      <c r="TP31" s="75" t="str">
        <f t="shared" ca="1" si="121"/>
        <v/>
      </c>
      <c r="TQ31" s="75" t="str">
        <f t="shared" ca="1" si="121"/>
        <v/>
      </c>
      <c r="TR31" s="75" t="str">
        <f t="shared" ca="1" si="121"/>
        <v/>
      </c>
      <c r="TS31" s="75" t="str">
        <f t="shared" ca="1" si="121"/>
        <v/>
      </c>
      <c r="TT31" s="75" t="str">
        <f t="shared" ca="1" si="122"/>
        <v/>
      </c>
      <c r="TU31" s="75" t="str">
        <f t="shared" ca="1" si="122"/>
        <v/>
      </c>
      <c r="TV31" s="75" t="str">
        <f t="shared" ca="1" si="122"/>
        <v/>
      </c>
      <c r="TW31" s="75" t="str">
        <f t="shared" ca="1" si="122"/>
        <v/>
      </c>
      <c r="TX31" s="75" t="str">
        <f t="shared" ca="1" si="122"/>
        <v/>
      </c>
      <c r="TY31" s="75" t="str">
        <f t="shared" ca="1" si="122"/>
        <v/>
      </c>
      <c r="TZ31" s="75" t="str">
        <f t="shared" ca="1" si="122"/>
        <v/>
      </c>
      <c r="UA31" s="75" t="str">
        <f t="shared" ca="1" si="122"/>
        <v/>
      </c>
      <c r="UB31" s="75" t="str">
        <f t="shared" ca="1" si="122"/>
        <v/>
      </c>
      <c r="UC31" s="75" t="str">
        <f t="shared" ca="1" si="122"/>
        <v/>
      </c>
      <c r="UD31" s="75" t="str">
        <f t="shared" ca="1" si="123"/>
        <v/>
      </c>
      <c r="UE31" s="75" t="str">
        <f t="shared" ca="1" si="123"/>
        <v/>
      </c>
      <c r="UF31" s="75" t="str">
        <f t="shared" ca="1" si="123"/>
        <v/>
      </c>
      <c r="UG31" s="75" t="str">
        <f t="shared" ca="1" si="123"/>
        <v/>
      </c>
      <c r="UH31" s="75" t="str">
        <f t="shared" ca="1" si="123"/>
        <v/>
      </c>
      <c r="UI31" s="75" t="str">
        <f t="shared" ca="1" si="123"/>
        <v/>
      </c>
      <c r="UJ31" s="75" t="str">
        <f t="shared" ca="1" si="123"/>
        <v/>
      </c>
      <c r="UK31" s="75" t="str">
        <f t="shared" ca="1" si="123"/>
        <v/>
      </c>
      <c r="UL31" s="75" t="str">
        <f t="shared" ca="1" si="123"/>
        <v/>
      </c>
      <c r="UM31" s="75" t="str">
        <f t="shared" ca="1" si="123"/>
        <v/>
      </c>
      <c r="UN31" s="75" t="str">
        <f t="shared" ca="1" si="124"/>
        <v/>
      </c>
      <c r="UO31" s="75" t="str">
        <f t="shared" ca="1" si="124"/>
        <v/>
      </c>
      <c r="UP31" s="75" t="str">
        <f t="shared" ca="1" si="124"/>
        <v/>
      </c>
      <c r="UQ31" s="75" t="str">
        <f t="shared" ca="1" si="124"/>
        <v/>
      </c>
      <c r="UR31" s="75" t="str">
        <f t="shared" ca="1" si="124"/>
        <v/>
      </c>
      <c r="US31" s="75" t="str">
        <f t="shared" ca="1" si="124"/>
        <v/>
      </c>
      <c r="UT31" s="75" t="str">
        <f t="shared" ca="1" si="124"/>
        <v/>
      </c>
      <c r="UU31" s="75" t="str">
        <f t="shared" ca="1" si="124"/>
        <v/>
      </c>
      <c r="UV31" s="75" t="str">
        <f t="shared" ca="1" si="124"/>
        <v/>
      </c>
      <c r="UW31" s="75" t="str">
        <f t="shared" ca="1" si="124"/>
        <v/>
      </c>
      <c r="UX31" s="75" t="str">
        <f t="shared" ca="1" si="125"/>
        <v/>
      </c>
      <c r="UY31" s="75" t="str">
        <f t="shared" ca="1" si="125"/>
        <v/>
      </c>
      <c r="UZ31" s="75" t="str">
        <f t="shared" ca="1" si="125"/>
        <v/>
      </c>
      <c r="VA31" s="75" t="str">
        <f t="shared" ca="1" si="125"/>
        <v/>
      </c>
      <c r="VB31" s="75" t="str">
        <f t="shared" ca="1" si="125"/>
        <v/>
      </c>
      <c r="VC31" s="75" t="str">
        <f t="shared" ca="1" si="125"/>
        <v/>
      </c>
      <c r="VD31" s="75" t="str">
        <f t="shared" ca="1" si="125"/>
        <v/>
      </c>
      <c r="VE31" s="75" t="str">
        <f t="shared" ca="1" si="125"/>
        <v/>
      </c>
      <c r="VF31" s="75" t="str">
        <f t="shared" ca="1" si="125"/>
        <v/>
      </c>
      <c r="VG31" s="75" t="str">
        <f t="shared" ca="1" si="125"/>
        <v/>
      </c>
      <c r="VH31" s="75" t="str">
        <f t="shared" ca="1" si="126"/>
        <v/>
      </c>
      <c r="VI31" s="75" t="str">
        <f t="shared" ca="1" si="126"/>
        <v/>
      </c>
      <c r="VJ31" s="75" t="str">
        <f t="shared" ca="1" si="126"/>
        <v/>
      </c>
      <c r="VK31" s="75" t="str">
        <f t="shared" ca="1" si="126"/>
        <v/>
      </c>
      <c r="VL31" s="75" t="str">
        <f t="shared" ca="1" si="126"/>
        <v/>
      </c>
      <c r="VM31" s="75" t="str">
        <f t="shared" ca="1" si="126"/>
        <v/>
      </c>
      <c r="VN31" s="75" t="str">
        <f t="shared" ca="1" si="126"/>
        <v/>
      </c>
      <c r="VO31" s="75" t="str">
        <f t="shared" ca="1" si="126"/>
        <v/>
      </c>
      <c r="VP31" s="75" t="str">
        <f t="shared" ca="1" si="126"/>
        <v/>
      </c>
      <c r="VQ31" s="75" t="str">
        <f t="shared" ca="1" si="126"/>
        <v/>
      </c>
      <c r="VR31" s="75" t="str">
        <f t="shared" ca="1" si="126"/>
        <v/>
      </c>
      <c r="VS31" s="75" t="str">
        <f t="shared" ca="1" si="126"/>
        <v/>
      </c>
    </row>
    <row r="32" spans="1:591" s="17" customFormat="1" ht="16.2" customHeight="1" x14ac:dyDescent="0.3">
      <c r="A32" s="82"/>
      <c r="B32" s="56" t="str">
        <f>'CoS Tracker'!$Y$7</f>
        <v>1. Written Brief Due / Design Briefing Session</v>
      </c>
      <c r="C32" s="19" t="s">
        <v>76</v>
      </c>
      <c r="D32" s="19"/>
      <c r="E32" s="27">
        <v>0</v>
      </c>
      <c r="F32" s="26">
        <f>F31</f>
        <v>45995</v>
      </c>
      <c r="G32" s="26">
        <f>'CoS Tracker'!Y10</f>
        <v>46023</v>
      </c>
      <c r="H32" s="25">
        <f>Milestones43524[[#This Row],[End]]-Milestones43524[[#This Row],[Start]]</f>
        <v>28</v>
      </c>
      <c r="I32" s="19"/>
      <c r="J32" s="24" t="str">
        <f t="shared" ca="1" si="69"/>
        <v/>
      </c>
      <c r="K32" s="24" t="str">
        <f t="shared" ca="1" si="69"/>
        <v/>
      </c>
      <c r="L32" s="24" t="str">
        <f t="shared" ca="1" si="69"/>
        <v/>
      </c>
      <c r="M32" s="24" t="str">
        <f t="shared" ca="1" si="69"/>
        <v/>
      </c>
      <c r="N32" s="24" t="str">
        <f t="shared" ca="1" si="69"/>
        <v/>
      </c>
      <c r="O32" s="24" t="str">
        <f t="shared" ca="1" si="69"/>
        <v/>
      </c>
      <c r="P32" s="24" t="str">
        <f t="shared" ca="1" si="69"/>
        <v/>
      </c>
      <c r="Q32" s="24" t="str">
        <f t="shared" ca="1" si="69"/>
        <v/>
      </c>
      <c r="R32" s="24" t="str">
        <f t="shared" ca="1" si="69"/>
        <v/>
      </c>
      <c r="S32" s="24" t="str">
        <f t="shared" ca="1" si="69"/>
        <v/>
      </c>
      <c r="T32" s="24" t="str">
        <f t="shared" ca="1" si="70"/>
        <v/>
      </c>
      <c r="U32" s="24" t="str">
        <f t="shared" ca="1" si="70"/>
        <v/>
      </c>
      <c r="V32" s="24" t="str">
        <f t="shared" ca="1" si="70"/>
        <v/>
      </c>
      <c r="W32" s="24" t="str">
        <f t="shared" ca="1" si="70"/>
        <v/>
      </c>
      <c r="X32" s="24" t="str">
        <f t="shared" ca="1" si="70"/>
        <v/>
      </c>
      <c r="Y32" s="24" t="str">
        <f t="shared" ca="1" si="70"/>
        <v/>
      </c>
      <c r="Z32" s="24" t="str">
        <f t="shared" ca="1" si="70"/>
        <v/>
      </c>
      <c r="AA32" s="24" t="str">
        <f t="shared" ca="1" si="70"/>
        <v/>
      </c>
      <c r="AB32" s="24" t="str">
        <f t="shared" ca="1" si="70"/>
        <v/>
      </c>
      <c r="AC32" s="24" t="str">
        <f t="shared" ca="1" si="70"/>
        <v/>
      </c>
      <c r="AD32" s="24" t="str">
        <f t="shared" ca="1" si="71"/>
        <v/>
      </c>
      <c r="AE32" s="24" t="str">
        <f t="shared" ca="1" si="71"/>
        <v/>
      </c>
      <c r="AF32" s="24" t="str">
        <f t="shared" ca="1" si="71"/>
        <v/>
      </c>
      <c r="AG32" s="24" t="str">
        <f t="shared" ca="1" si="71"/>
        <v/>
      </c>
      <c r="AH32" s="24" t="str">
        <f t="shared" ca="1" si="71"/>
        <v/>
      </c>
      <c r="AI32" s="24" t="str">
        <f t="shared" ca="1" si="71"/>
        <v/>
      </c>
      <c r="AJ32" s="24" t="str">
        <f t="shared" ca="1" si="71"/>
        <v/>
      </c>
      <c r="AK32" s="24" t="str">
        <f t="shared" ca="1" si="71"/>
        <v/>
      </c>
      <c r="AL32" s="24" t="str">
        <f t="shared" ca="1" si="71"/>
        <v/>
      </c>
      <c r="AM32" s="24" t="str">
        <f t="shared" ca="1" si="71"/>
        <v/>
      </c>
      <c r="AN32" s="24" t="str">
        <f t="shared" ca="1" si="72"/>
        <v/>
      </c>
      <c r="AO32" s="24" t="str">
        <f t="shared" ca="1" si="72"/>
        <v/>
      </c>
      <c r="AP32" s="24" t="str">
        <f t="shared" ca="1" si="72"/>
        <v/>
      </c>
      <c r="AQ32" s="24" t="str">
        <f t="shared" ca="1" si="72"/>
        <v/>
      </c>
      <c r="AR32" s="24" t="str">
        <f t="shared" ca="1" si="72"/>
        <v/>
      </c>
      <c r="AS32" s="24" t="str">
        <f t="shared" ca="1" si="72"/>
        <v/>
      </c>
      <c r="AT32" s="24" t="str">
        <f t="shared" ca="1" si="72"/>
        <v/>
      </c>
      <c r="AU32" s="24" t="str">
        <f t="shared" ca="1" si="72"/>
        <v/>
      </c>
      <c r="AV32" s="24" t="str">
        <f t="shared" ca="1" si="72"/>
        <v/>
      </c>
      <c r="AW32" s="24" t="str">
        <f t="shared" ca="1" si="72"/>
        <v/>
      </c>
      <c r="AX32" s="24" t="str">
        <f t="shared" ca="1" si="73"/>
        <v/>
      </c>
      <c r="AY32" s="24" t="str">
        <f t="shared" ca="1" si="73"/>
        <v/>
      </c>
      <c r="AZ32" s="24" t="str">
        <f t="shared" ca="1" si="73"/>
        <v/>
      </c>
      <c r="BA32" s="24" t="str">
        <f t="shared" ca="1" si="73"/>
        <v/>
      </c>
      <c r="BB32" s="24" t="str">
        <f t="shared" ca="1" si="73"/>
        <v/>
      </c>
      <c r="BC32" s="24" t="str">
        <f t="shared" ca="1" si="73"/>
        <v/>
      </c>
      <c r="BD32" s="24" t="str">
        <f t="shared" ca="1" si="73"/>
        <v/>
      </c>
      <c r="BE32" s="24" t="str">
        <f t="shared" ca="1" si="73"/>
        <v/>
      </c>
      <c r="BF32" s="24" t="str">
        <f t="shared" ca="1" si="73"/>
        <v/>
      </c>
      <c r="BG32" s="24" t="str">
        <f t="shared" ca="1" si="73"/>
        <v/>
      </c>
      <c r="BH32" s="24" t="str">
        <f t="shared" ca="1" si="74"/>
        <v/>
      </c>
      <c r="BI32" s="24" t="str">
        <f t="shared" ca="1" si="74"/>
        <v/>
      </c>
      <c r="BJ32" s="24" t="str">
        <f t="shared" ca="1" si="74"/>
        <v/>
      </c>
      <c r="BK32" s="24" t="str">
        <f t="shared" ca="1" si="74"/>
        <v/>
      </c>
      <c r="BL32" s="24" t="str">
        <f t="shared" ca="1" si="74"/>
        <v/>
      </c>
      <c r="BM32" s="24" t="str">
        <f t="shared" ca="1" si="74"/>
        <v/>
      </c>
      <c r="BN32" s="24" t="str">
        <f t="shared" ca="1" si="74"/>
        <v/>
      </c>
      <c r="BO32" s="24" t="str">
        <f t="shared" ca="1" si="74"/>
        <v/>
      </c>
      <c r="BP32" s="24" t="str">
        <f t="shared" ca="1" si="74"/>
        <v/>
      </c>
      <c r="BQ32" s="24" t="str">
        <f t="shared" ca="1" si="74"/>
        <v/>
      </c>
      <c r="BR32" s="24" t="str">
        <f t="shared" ca="1" si="75"/>
        <v/>
      </c>
      <c r="BS32" s="24" t="str">
        <f t="shared" ca="1" si="75"/>
        <v/>
      </c>
      <c r="BT32" s="24" t="str">
        <f t="shared" ca="1" si="75"/>
        <v/>
      </c>
      <c r="BU32" s="24" t="str">
        <f t="shared" ca="1" si="75"/>
        <v/>
      </c>
      <c r="BV32" s="24" t="str">
        <f t="shared" ca="1" si="75"/>
        <v/>
      </c>
      <c r="BW32" s="24" t="str">
        <f t="shared" ca="1" si="75"/>
        <v/>
      </c>
      <c r="BX32" s="24" t="str">
        <f t="shared" ca="1" si="75"/>
        <v/>
      </c>
      <c r="BY32" s="24" t="str">
        <f t="shared" ca="1" si="75"/>
        <v/>
      </c>
      <c r="BZ32" s="24" t="str">
        <f t="shared" ca="1" si="75"/>
        <v/>
      </c>
      <c r="CA32" s="24" t="str">
        <f t="shared" ca="1" si="75"/>
        <v/>
      </c>
      <c r="CB32" s="24" t="str">
        <f t="shared" ca="1" si="76"/>
        <v/>
      </c>
      <c r="CC32" s="24" t="str">
        <f t="shared" ca="1" si="76"/>
        <v/>
      </c>
      <c r="CD32" s="24" t="str">
        <f t="shared" ca="1" si="76"/>
        <v/>
      </c>
      <c r="CE32" s="24" t="str">
        <f t="shared" ca="1" si="76"/>
        <v/>
      </c>
      <c r="CF32" s="24" t="str">
        <f t="shared" ca="1" si="76"/>
        <v/>
      </c>
      <c r="CG32" s="24" t="str">
        <f t="shared" ca="1" si="76"/>
        <v/>
      </c>
      <c r="CH32" s="24" t="str">
        <f t="shared" ca="1" si="76"/>
        <v/>
      </c>
      <c r="CI32" s="24" t="str">
        <f t="shared" ca="1" si="76"/>
        <v/>
      </c>
      <c r="CJ32" s="24" t="str">
        <f t="shared" ca="1" si="76"/>
        <v/>
      </c>
      <c r="CK32" s="24" t="str">
        <f t="shared" ca="1" si="76"/>
        <v/>
      </c>
      <c r="CL32" s="24" t="str">
        <f t="shared" ca="1" si="77"/>
        <v/>
      </c>
      <c r="CM32" s="24" t="str">
        <f t="shared" ca="1" si="77"/>
        <v/>
      </c>
      <c r="CN32" s="24" t="str">
        <f t="shared" ca="1" si="77"/>
        <v/>
      </c>
      <c r="CO32" s="24" t="str">
        <f t="shared" ca="1" si="77"/>
        <v/>
      </c>
      <c r="CP32" s="24" t="str">
        <f t="shared" ca="1" si="77"/>
        <v/>
      </c>
      <c r="CQ32" s="24" t="str">
        <f t="shared" ca="1" si="77"/>
        <v/>
      </c>
      <c r="CR32" s="24" t="str">
        <f t="shared" ca="1" si="77"/>
        <v/>
      </c>
      <c r="CS32" s="24" t="str">
        <f t="shared" ca="1" si="77"/>
        <v/>
      </c>
      <c r="CT32" s="24" t="str">
        <f t="shared" ca="1" si="77"/>
        <v/>
      </c>
      <c r="CU32" s="24" t="str">
        <f t="shared" ca="1" si="77"/>
        <v/>
      </c>
      <c r="CV32" s="24" t="str">
        <f t="shared" ca="1" si="78"/>
        <v/>
      </c>
      <c r="CW32" s="24" t="str">
        <f t="shared" ca="1" si="78"/>
        <v/>
      </c>
      <c r="CX32" s="24" t="str">
        <f t="shared" ca="1" si="78"/>
        <v/>
      </c>
      <c r="CY32" s="24" t="str">
        <f t="shared" ca="1" si="78"/>
        <v/>
      </c>
      <c r="CZ32" s="24" t="str">
        <f t="shared" ca="1" si="78"/>
        <v/>
      </c>
      <c r="DA32" s="24" t="str">
        <f t="shared" ca="1" si="78"/>
        <v/>
      </c>
      <c r="DB32" s="24" t="str">
        <f t="shared" ca="1" si="78"/>
        <v/>
      </c>
      <c r="DC32" s="24" t="str">
        <f t="shared" ca="1" si="78"/>
        <v/>
      </c>
      <c r="DD32" s="24" t="str">
        <f t="shared" ca="1" si="78"/>
        <v/>
      </c>
      <c r="DE32" s="24" t="str">
        <f t="shared" ca="1" si="78"/>
        <v/>
      </c>
      <c r="DF32" s="24" t="str">
        <f t="shared" ca="1" si="79"/>
        <v/>
      </c>
      <c r="DG32" s="24" t="str">
        <f t="shared" ca="1" si="79"/>
        <v/>
      </c>
      <c r="DH32" s="24" t="str">
        <f t="shared" ca="1" si="79"/>
        <v/>
      </c>
      <c r="DI32" s="24" t="str">
        <f t="shared" ca="1" si="79"/>
        <v/>
      </c>
      <c r="DJ32" s="24" t="str">
        <f t="shared" ca="1" si="79"/>
        <v/>
      </c>
      <c r="DK32" s="24" t="str">
        <f t="shared" ca="1" si="79"/>
        <v/>
      </c>
      <c r="DL32" s="24" t="str">
        <f t="shared" ca="1" si="79"/>
        <v/>
      </c>
      <c r="DM32" s="24" t="str">
        <f t="shared" ca="1" si="79"/>
        <v/>
      </c>
      <c r="DN32" s="24" t="str">
        <f t="shared" ca="1" si="79"/>
        <v/>
      </c>
      <c r="DO32" s="24" t="str">
        <f t="shared" ca="1" si="79"/>
        <v/>
      </c>
      <c r="DP32" s="24" t="str">
        <f t="shared" ca="1" si="80"/>
        <v/>
      </c>
      <c r="DQ32" s="24" t="str">
        <f t="shared" ca="1" si="80"/>
        <v/>
      </c>
      <c r="DR32" s="24" t="str">
        <f t="shared" ca="1" si="80"/>
        <v/>
      </c>
      <c r="DS32" s="24" t="str">
        <f t="shared" ca="1" si="80"/>
        <v/>
      </c>
      <c r="DT32" s="24" t="str">
        <f t="shared" ca="1" si="80"/>
        <v/>
      </c>
      <c r="DU32" s="24" t="str">
        <f t="shared" ca="1" si="80"/>
        <v/>
      </c>
      <c r="DV32" s="24" t="str">
        <f t="shared" ca="1" si="80"/>
        <v/>
      </c>
      <c r="DW32" s="24" t="str">
        <f t="shared" ca="1" si="80"/>
        <v/>
      </c>
      <c r="DX32" s="24" t="str">
        <f t="shared" ca="1" si="80"/>
        <v/>
      </c>
      <c r="DY32" s="24" t="str">
        <f t="shared" ca="1" si="80"/>
        <v/>
      </c>
      <c r="DZ32" s="24" t="str">
        <f t="shared" ca="1" si="81"/>
        <v/>
      </c>
      <c r="EA32" s="24" t="str">
        <f t="shared" ca="1" si="81"/>
        <v/>
      </c>
      <c r="EB32" s="24" t="str">
        <f t="shared" ca="1" si="81"/>
        <v/>
      </c>
      <c r="EC32" s="24" t="str">
        <f t="shared" ca="1" si="81"/>
        <v/>
      </c>
      <c r="ED32" s="24" t="str">
        <f t="shared" ca="1" si="81"/>
        <v/>
      </c>
      <c r="EE32" s="24" t="str">
        <f t="shared" ca="1" si="81"/>
        <v/>
      </c>
      <c r="EF32" s="24" t="str">
        <f t="shared" ca="1" si="81"/>
        <v/>
      </c>
      <c r="EG32" s="24" t="str">
        <f t="shared" ca="1" si="81"/>
        <v/>
      </c>
      <c r="EH32" s="24" t="str">
        <f t="shared" ca="1" si="81"/>
        <v/>
      </c>
      <c r="EI32" s="24" t="str">
        <f t="shared" ca="1" si="81"/>
        <v/>
      </c>
      <c r="EJ32" s="24" t="str">
        <f t="shared" ca="1" si="82"/>
        <v/>
      </c>
      <c r="EK32" s="24" t="str">
        <f t="shared" ca="1" si="82"/>
        <v/>
      </c>
      <c r="EL32" s="24" t="str">
        <f t="shared" ca="1" si="82"/>
        <v/>
      </c>
      <c r="EM32" s="24" t="str">
        <f t="shared" ca="1" si="82"/>
        <v/>
      </c>
      <c r="EN32" s="24" t="str">
        <f t="shared" ca="1" si="82"/>
        <v/>
      </c>
      <c r="EO32" s="24" t="str">
        <f t="shared" ca="1" si="82"/>
        <v/>
      </c>
      <c r="EP32" s="24" t="str">
        <f t="shared" ca="1" si="82"/>
        <v/>
      </c>
      <c r="EQ32" s="24" t="str">
        <f t="shared" ca="1" si="82"/>
        <v/>
      </c>
      <c r="ER32" s="24" t="str">
        <f t="shared" ca="1" si="82"/>
        <v/>
      </c>
      <c r="ES32" s="24" t="str">
        <f t="shared" ca="1" si="82"/>
        <v/>
      </c>
      <c r="ET32" s="24" t="str">
        <f t="shared" ca="1" si="83"/>
        <v/>
      </c>
      <c r="EU32" s="24" t="str">
        <f t="shared" ca="1" si="83"/>
        <v/>
      </c>
      <c r="EV32" s="24" t="str">
        <f t="shared" ca="1" si="83"/>
        <v/>
      </c>
      <c r="EW32" s="24" t="str">
        <f t="shared" ca="1" si="83"/>
        <v/>
      </c>
      <c r="EX32" s="24" t="str">
        <f t="shared" ca="1" si="83"/>
        <v/>
      </c>
      <c r="EY32" s="24" t="str">
        <f t="shared" ca="1" si="83"/>
        <v/>
      </c>
      <c r="EZ32" s="24" t="str">
        <f t="shared" ca="1" si="83"/>
        <v/>
      </c>
      <c r="FA32" s="24" t="str">
        <f t="shared" ca="1" si="83"/>
        <v/>
      </c>
      <c r="FB32" s="24" t="str">
        <f t="shared" ca="1" si="83"/>
        <v/>
      </c>
      <c r="FC32" s="24" t="str">
        <f t="shared" ca="1" si="83"/>
        <v/>
      </c>
      <c r="FD32" s="24" t="str">
        <f t="shared" ca="1" si="84"/>
        <v/>
      </c>
      <c r="FE32" s="24" t="str">
        <f t="shared" ca="1" si="84"/>
        <v/>
      </c>
      <c r="FF32" s="24" t="str">
        <f t="shared" ca="1" si="84"/>
        <v/>
      </c>
      <c r="FG32" s="24" t="str">
        <f t="shared" ca="1" si="84"/>
        <v/>
      </c>
      <c r="FH32" s="24" t="str">
        <f t="shared" ca="1" si="84"/>
        <v/>
      </c>
      <c r="FI32" s="24" t="str">
        <f t="shared" ca="1" si="84"/>
        <v/>
      </c>
      <c r="FJ32" s="24" t="str">
        <f t="shared" ca="1" si="84"/>
        <v/>
      </c>
      <c r="FK32" s="24" t="str">
        <f t="shared" ca="1" si="84"/>
        <v/>
      </c>
      <c r="FL32" s="24" t="str">
        <f t="shared" ca="1" si="84"/>
        <v/>
      </c>
      <c r="FM32" s="24" t="str">
        <f t="shared" ca="1" si="84"/>
        <v/>
      </c>
      <c r="FN32" s="24" t="str">
        <f t="shared" ca="1" si="85"/>
        <v/>
      </c>
      <c r="FO32" s="24" t="str">
        <f t="shared" ca="1" si="85"/>
        <v/>
      </c>
      <c r="FP32" s="24" t="str">
        <f t="shared" ca="1" si="85"/>
        <v/>
      </c>
      <c r="FQ32" s="24" t="str">
        <f t="shared" ca="1" si="85"/>
        <v/>
      </c>
      <c r="FR32" s="24" t="str">
        <f t="shared" ca="1" si="85"/>
        <v/>
      </c>
      <c r="FS32" s="24" t="str">
        <f t="shared" ca="1" si="85"/>
        <v/>
      </c>
      <c r="FT32" s="24" t="str">
        <f t="shared" ca="1" si="85"/>
        <v/>
      </c>
      <c r="FU32" s="24" t="str">
        <f t="shared" ca="1" si="85"/>
        <v/>
      </c>
      <c r="FV32" s="24" t="str">
        <f t="shared" ca="1" si="85"/>
        <v/>
      </c>
      <c r="FW32" s="24" t="str">
        <f t="shared" ca="1" si="85"/>
        <v/>
      </c>
      <c r="FX32" s="24" t="str">
        <f t="shared" ca="1" si="86"/>
        <v/>
      </c>
      <c r="FY32" s="24" t="str">
        <f t="shared" ca="1" si="86"/>
        <v/>
      </c>
      <c r="FZ32" s="24" t="str">
        <f t="shared" ca="1" si="86"/>
        <v/>
      </c>
      <c r="GA32" s="24" t="str">
        <f t="shared" ca="1" si="86"/>
        <v/>
      </c>
      <c r="GB32" s="24" t="str">
        <f t="shared" ca="1" si="86"/>
        <v/>
      </c>
      <c r="GC32" s="24" t="str">
        <f t="shared" ca="1" si="86"/>
        <v/>
      </c>
      <c r="GD32" s="24" t="str">
        <f t="shared" ca="1" si="86"/>
        <v/>
      </c>
      <c r="GE32" s="24" t="str">
        <f t="shared" ca="1" si="86"/>
        <v/>
      </c>
      <c r="GF32" s="24" t="str">
        <f t="shared" ca="1" si="86"/>
        <v/>
      </c>
      <c r="GG32" s="24" t="str">
        <f t="shared" ca="1" si="86"/>
        <v/>
      </c>
      <c r="GH32" s="24" t="str">
        <f t="shared" ca="1" si="87"/>
        <v/>
      </c>
      <c r="GI32" s="24" t="str">
        <f t="shared" ca="1" si="87"/>
        <v/>
      </c>
      <c r="GJ32" s="24" t="str">
        <f t="shared" ca="1" si="87"/>
        <v/>
      </c>
      <c r="GK32" s="24" t="str">
        <f t="shared" ca="1" si="87"/>
        <v/>
      </c>
      <c r="GL32" s="24" t="str">
        <f t="shared" ca="1" si="87"/>
        <v/>
      </c>
      <c r="GM32" s="24" t="str">
        <f t="shared" ca="1" si="87"/>
        <v/>
      </c>
      <c r="GN32" s="24" t="str">
        <f t="shared" ca="1" si="87"/>
        <v/>
      </c>
      <c r="GO32" s="24" t="str">
        <f t="shared" ca="1" si="87"/>
        <v/>
      </c>
      <c r="GP32" s="24" t="str">
        <f t="shared" ca="1" si="87"/>
        <v/>
      </c>
      <c r="GQ32" s="24" t="str">
        <f t="shared" ca="1" si="87"/>
        <v/>
      </c>
      <c r="GR32" s="24" t="str">
        <f t="shared" ca="1" si="88"/>
        <v/>
      </c>
      <c r="GS32" s="24" t="str">
        <f t="shared" ca="1" si="88"/>
        <v/>
      </c>
      <c r="GT32" s="24" t="str">
        <f t="shared" ca="1" si="88"/>
        <v/>
      </c>
      <c r="GU32" s="24" t="str">
        <f t="shared" ca="1" si="88"/>
        <v/>
      </c>
      <c r="GV32" s="24" t="str">
        <f t="shared" ca="1" si="88"/>
        <v/>
      </c>
      <c r="GW32" s="24" t="str">
        <f t="shared" ca="1" si="88"/>
        <v/>
      </c>
      <c r="GX32" s="24" t="str">
        <f t="shared" ca="1" si="88"/>
        <v/>
      </c>
      <c r="GY32" s="24" t="str">
        <f t="shared" ca="1" si="88"/>
        <v/>
      </c>
      <c r="GZ32" s="24" t="str">
        <f t="shared" ca="1" si="88"/>
        <v/>
      </c>
      <c r="HA32" s="24" t="str">
        <f t="shared" ca="1" si="88"/>
        <v/>
      </c>
      <c r="HB32" s="24" t="str">
        <f t="shared" ca="1" si="89"/>
        <v/>
      </c>
      <c r="HC32" s="24" t="str">
        <f t="shared" ca="1" si="89"/>
        <v/>
      </c>
      <c r="HD32" s="24" t="str">
        <f t="shared" ca="1" si="89"/>
        <v/>
      </c>
      <c r="HE32" s="24" t="str">
        <f t="shared" ca="1" si="89"/>
        <v/>
      </c>
      <c r="HF32" s="24" t="str">
        <f t="shared" ca="1" si="89"/>
        <v/>
      </c>
      <c r="HG32" s="24" t="str">
        <f t="shared" ca="1" si="89"/>
        <v/>
      </c>
      <c r="HH32" s="24" t="str">
        <f t="shared" ca="1" si="89"/>
        <v/>
      </c>
      <c r="HI32" s="24" t="str">
        <f t="shared" ca="1" si="89"/>
        <v/>
      </c>
      <c r="HJ32" s="24" t="str">
        <f t="shared" ca="1" si="89"/>
        <v/>
      </c>
      <c r="HK32" s="24" t="str">
        <f t="shared" ca="1" si="89"/>
        <v/>
      </c>
      <c r="HL32" s="24" t="str">
        <f t="shared" ca="1" si="90"/>
        <v/>
      </c>
      <c r="HM32" s="24" t="str">
        <f t="shared" ca="1" si="90"/>
        <v/>
      </c>
      <c r="HN32" s="24" t="str">
        <f t="shared" ca="1" si="90"/>
        <v/>
      </c>
      <c r="HO32" s="24" t="str">
        <f t="shared" ca="1" si="90"/>
        <v/>
      </c>
      <c r="HP32" s="24" t="str">
        <f t="shared" ca="1" si="90"/>
        <v/>
      </c>
      <c r="HQ32" s="24" t="str">
        <f t="shared" ca="1" si="90"/>
        <v/>
      </c>
      <c r="HR32" s="24" t="str">
        <f t="shared" ca="1" si="90"/>
        <v/>
      </c>
      <c r="HS32" s="24" t="str">
        <f t="shared" ca="1" si="90"/>
        <v/>
      </c>
      <c r="HT32" s="24" t="str">
        <f t="shared" ca="1" si="90"/>
        <v/>
      </c>
      <c r="HU32" s="24" t="str">
        <f t="shared" ca="1" si="90"/>
        <v/>
      </c>
      <c r="HV32" s="24" t="str">
        <f t="shared" ca="1" si="91"/>
        <v/>
      </c>
      <c r="HW32" s="24" t="str">
        <f t="shared" ca="1" si="91"/>
        <v/>
      </c>
      <c r="HX32" s="24" t="str">
        <f t="shared" ca="1" si="91"/>
        <v/>
      </c>
      <c r="HY32" s="24" t="str">
        <f t="shared" ca="1" si="91"/>
        <v/>
      </c>
      <c r="HZ32" s="24" t="str">
        <f t="shared" ca="1" si="91"/>
        <v/>
      </c>
      <c r="IA32" s="24" t="str">
        <f t="shared" ca="1" si="91"/>
        <v/>
      </c>
      <c r="IB32" s="24" t="str">
        <f t="shared" ca="1" si="91"/>
        <v/>
      </c>
      <c r="IC32" s="24" t="str">
        <f t="shared" ca="1" si="91"/>
        <v/>
      </c>
      <c r="ID32" s="24" t="str">
        <f t="shared" ca="1" si="91"/>
        <v/>
      </c>
      <c r="IE32" s="24" t="str">
        <f t="shared" ca="1" si="91"/>
        <v/>
      </c>
      <c r="IF32" s="24" t="str">
        <f t="shared" ca="1" si="92"/>
        <v/>
      </c>
      <c r="IG32" s="24" t="str">
        <f t="shared" ca="1" si="92"/>
        <v/>
      </c>
      <c r="IH32" s="24" t="str">
        <f t="shared" ca="1" si="92"/>
        <v/>
      </c>
      <c r="II32" s="24" t="str">
        <f t="shared" ca="1" si="92"/>
        <v/>
      </c>
      <c r="IJ32" s="24" t="str">
        <f t="shared" ca="1" si="92"/>
        <v/>
      </c>
      <c r="IK32" s="24" t="str">
        <f t="shared" ca="1" si="92"/>
        <v/>
      </c>
      <c r="IL32" s="24" t="str">
        <f t="shared" ca="1" si="92"/>
        <v/>
      </c>
      <c r="IM32" s="24" t="str">
        <f t="shared" ca="1" si="92"/>
        <v/>
      </c>
      <c r="IN32" s="24" t="str">
        <f t="shared" ca="1" si="92"/>
        <v/>
      </c>
      <c r="IO32" s="24" t="str">
        <f t="shared" ca="1" si="92"/>
        <v/>
      </c>
      <c r="IP32" s="24" t="str">
        <f t="shared" ca="1" si="93"/>
        <v/>
      </c>
      <c r="IQ32" s="24" t="str">
        <f t="shared" ca="1" si="93"/>
        <v/>
      </c>
      <c r="IR32" s="24" t="str">
        <f t="shared" ca="1" si="93"/>
        <v/>
      </c>
      <c r="IS32" s="24" t="str">
        <f t="shared" ca="1" si="93"/>
        <v/>
      </c>
      <c r="IT32" s="24" t="str">
        <f t="shared" ca="1" si="93"/>
        <v/>
      </c>
      <c r="IU32" s="24" t="str">
        <f t="shared" ca="1" si="93"/>
        <v/>
      </c>
      <c r="IV32" s="24" t="str">
        <f t="shared" ca="1" si="93"/>
        <v/>
      </c>
      <c r="IW32" s="24" t="str">
        <f t="shared" ca="1" si="93"/>
        <v/>
      </c>
      <c r="IX32" s="24" t="str">
        <f t="shared" ca="1" si="93"/>
        <v/>
      </c>
      <c r="IY32" s="24" t="str">
        <f t="shared" ca="1" si="93"/>
        <v/>
      </c>
      <c r="IZ32" s="24" t="str">
        <f t="shared" ca="1" si="94"/>
        <v/>
      </c>
      <c r="JA32" s="24" t="str">
        <f t="shared" ca="1" si="94"/>
        <v/>
      </c>
      <c r="JB32" s="24" t="str">
        <f t="shared" ca="1" si="94"/>
        <v/>
      </c>
      <c r="JC32" s="24" t="str">
        <f t="shared" ca="1" si="94"/>
        <v/>
      </c>
      <c r="JD32" s="24" t="str">
        <f t="shared" ca="1" si="94"/>
        <v/>
      </c>
      <c r="JE32" s="24" t="str">
        <f t="shared" ca="1" si="94"/>
        <v/>
      </c>
      <c r="JF32" s="24" t="str">
        <f t="shared" ca="1" si="94"/>
        <v/>
      </c>
      <c r="JG32" s="24" t="str">
        <f t="shared" ca="1" si="94"/>
        <v/>
      </c>
      <c r="JH32" s="24" t="str">
        <f t="shared" ca="1" si="94"/>
        <v/>
      </c>
      <c r="JI32" s="24" t="str">
        <f t="shared" ca="1" si="94"/>
        <v/>
      </c>
      <c r="JJ32" s="24" t="str">
        <f t="shared" ca="1" si="95"/>
        <v/>
      </c>
      <c r="JK32" s="24" t="str">
        <f t="shared" ca="1" si="95"/>
        <v/>
      </c>
      <c r="JL32" s="24" t="str">
        <f t="shared" ca="1" si="95"/>
        <v/>
      </c>
      <c r="JM32" s="24" t="str">
        <f t="shared" ca="1" si="95"/>
        <v/>
      </c>
      <c r="JN32" s="24" t="str">
        <f t="shared" ca="1" si="95"/>
        <v/>
      </c>
      <c r="JO32" s="24" t="str">
        <f t="shared" ca="1" si="95"/>
        <v/>
      </c>
      <c r="JP32" s="24" t="str">
        <f t="shared" ca="1" si="95"/>
        <v/>
      </c>
      <c r="JQ32" s="24" t="str">
        <f t="shared" ca="1" si="95"/>
        <v/>
      </c>
      <c r="JR32" s="24" t="str">
        <f t="shared" ca="1" si="95"/>
        <v/>
      </c>
      <c r="JS32" s="24" t="str">
        <f t="shared" ca="1" si="95"/>
        <v/>
      </c>
      <c r="JT32" s="24" t="str">
        <f t="shared" ca="1" si="96"/>
        <v/>
      </c>
      <c r="JU32" s="24" t="str">
        <f t="shared" ca="1" si="96"/>
        <v/>
      </c>
      <c r="JV32" s="24" t="str">
        <f t="shared" ca="1" si="96"/>
        <v/>
      </c>
      <c r="JW32" s="24" t="str">
        <f t="shared" ca="1" si="96"/>
        <v/>
      </c>
      <c r="JX32" s="24" t="str">
        <f t="shared" ca="1" si="96"/>
        <v/>
      </c>
      <c r="JY32" s="24" t="str">
        <f t="shared" ca="1" si="96"/>
        <v/>
      </c>
      <c r="JZ32" s="24" t="str">
        <f t="shared" ca="1" si="96"/>
        <v/>
      </c>
      <c r="KA32" s="24" t="str">
        <f t="shared" ca="1" si="96"/>
        <v/>
      </c>
      <c r="KB32" s="24" t="str">
        <f t="shared" ca="1" si="96"/>
        <v/>
      </c>
      <c r="KC32" s="24" t="str">
        <f t="shared" ca="1" si="96"/>
        <v/>
      </c>
      <c r="KD32" s="24" t="str">
        <f t="shared" ca="1" si="97"/>
        <v/>
      </c>
      <c r="KE32" s="24" t="str">
        <f t="shared" ca="1" si="97"/>
        <v/>
      </c>
      <c r="KF32" s="24" t="str">
        <f t="shared" ca="1" si="97"/>
        <v/>
      </c>
      <c r="KG32" s="24" t="str">
        <f t="shared" ca="1" si="97"/>
        <v/>
      </c>
      <c r="KH32" s="24" t="str">
        <f t="shared" ca="1" si="97"/>
        <v/>
      </c>
      <c r="KI32" s="24" t="str">
        <f t="shared" ca="1" si="97"/>
        <v/>
      </c>
      <c r="KJ32" s="24" t="str">
        <f t="shared" ca="1" si="97"/>
        <v/>
      </c>
      <c r="KK32" s="24" t="str">
        <f t="shared" ca="1" si="97"/>
        <v/>
      </c>
      <c r="KL32" s="24" t="str">
        <f t="shared" ca="1" si="97"/>
        <v/>
      </c>
      <c r="KM32" s="24" t="str">
        <f t="shared" ca="1" si="97"/>
        <v/>
      </c>
      <c r="KN32" s="24" t="str">
        <f t="shared" ca="1" si="98"/>
        <v/>
      </c>
      <c r="KO32" s="24" t="str">
        <f t="shared" ca="1" si="98"/>
        <v/>
      </c>
      <c r="KP32" s="24" t="str">
        <f t="shared" ca="1" si="98"/>
        <v/>
      </c>
      <c r="KQ32" s="24" t="str">
        <f t="shared" ca="1" si="98"/>
        <v/>
      </c>
      <c r="KR32" s="24" t="str">
        <f t="shared" ca="1" si="98"/>
        <v/>
      </c>
      <c r="KS32" s="24" t="str">
        <f t="shared" ca="1" si="98"/>
        <v/>
      </c>
      <c r="KT32" s="24" t="str">
        <f t="shared" ca="1" si="98"/>
        <v/>
      </c>
      <c r="KU32" s="24" t="str">
        <f t="shared" ca="1" si="98"/>
        <v/>
      </c>
      <c r="KV32" s="24" t="str">
        <f t="shared" ca="1" si="98"/>
        <v/>
      </c>
      <c r="KW32" s="24" t="str">
        <f t="shared" ca="1" si="98"/>
        <v/>
      </c>
      <c r="KX32" s="24" t="str">
        <f t="shared" ca="1" si="99"/>
        <v/>
      </c>
      <c r="KY32" s="24" t="str">
        <f t="shared" ca="1" si="99"/>
        <v/>
      </c>
      <c r="KZ32" s="24" t="str">
        <f t="shared" ca="1" si="99"/>
        <v/>
      </c>
      <c r="LA32" s="24" t="str">
        <f t="shared" ca="1" si="99"/>
        <v/>
      </c>
      <c r="LB32" s="24" t="str">
        <f t="shared" ca="1" si="99"/>
        <v/>
      </c>
      <c r="LC32" s="24" t="str">
        <f t="shared" ca="1" si="99"/>
        <v/>
      </c>
      <c r="LD32" s="24" t="str">
        <f t="shared" ca="1" si="99"/>
        <v/>
      </c>
      <c r="LE32" s="24" t="str">
        <f t="shared" ca="1" si="99"/>
        <v/>
      </c>
      <c r="LF32" s="24" t="str">
        <f t="shared" ca="1" si="99"/>
        <v/>
      </c>
      <c r="LG32" s="24" t="str">
        <f t="shared" ca="1" si="99"/>
        <v/>
      </c>
      <c r="LH32" s="24" t="str">
        <f t="shared" ca="1" si="100"/>
        <v/>
      </c>
      <c r="LI32" s="24" t="str">
        <f t="shared" ca="1" si="100"/>
        <v/>
      </c>
      <c r="LJ32" s="24" t="str">
        <f t="shared" ca="1" si="100"/>
        <v/>
      </c>
      <c r="LK32" s="24" t="str">
        <f t="shared" ca="1" si="100"/>
        <v/>
      </c>
      <c r="LL32" s="24" t="str">
        <f t="shared" ca="1" si="100"/>
        <v/>
      </c>
      <c r="LM32" s="24" t="str">
        <f t="shared" ca="1" si="100"/>
        <v/>
      </c>
      <c r="LN32" s="24" t="str">
        <f t="shared" ca="1" si="100"/>
        <v/>
      </c>
      <c r="LO32" s="24" t="str">
        <f t="shared" ca="1" si="100"/>
        <v/>
      </c>
      <c r="LP32" s="24" t="str">
        <f t="shared" ca="1" si="100"/>
        <v/>
      </c>
      <c r="LQ32" s="24" t="str">
        <f t="shared" ca="1" si="100"/>
        <v/>
      </c>
      <c r="LR32" s="24" t="str">
        <f t="shared" ca="1" si="101"/>
        <v/>
      </c>
      <c r="LS32" s="24" t="str">
        <f t="shared" ca="1" si="101"/>
        <v/>
      </c>
      <c r="LT32" s="24" t="str">
        <f t="shared" ca="1" si="101"/>
        <v/>
      </c>
      <c r="LU32" s="24" t="str">
        <f t="shared" ca="1" si="101"/>
        <v/>
      </c>
      <c r="LV32" s="24" t="str">
        <f t="shared" ca="1" si="101"/>
        <v/>
      </c>
      <c r="LW32" s="24" t="str">
        <f t="shared" ca="1" si="101"/>
        <v/>
      </c>
      <c r="LX32" s="24" t="str">
        <f t="shared" ca="1" si="101"/>
        <v/>
      </c>
      <c r="LY32" s="24" t="str">
        <f t="shared" ca="1" si="101"/>
        <v/>
      </c>
      <c r="LZ32" s="24" t="str">
        <f t="shared" ca="1" si="101"/>
        <v/>
      </c>
      <c r="MA32" s="24" t="str">
        <f t="shared" ca="1" si="101"/>
        <v/>
      </c>
      <c r="MB32" s="24" t="str">
        <f t="shared" ca="1" si="102"/>
        <v/>
      </c>
      <c r="MC32" s="24" t="str">
        <f t="shared" ca="1" si="102"/>
        <v/>
      </c>
      <c r="MD32" s="24" t="str">
        <f t="shared" ca="1" si="102"/>
        <v/>
      </c>
      <c r="ME32" s="24" t="str">
        <f t="shared" ca="1" si="102"/>
        <v/>
      </c>
      <c r="MF32" s="24" t="str">
        <f t="shared" ca="1" si="102"/>
        <v/>
      </c>
      <c r="MG32" s="24" t="str">
        <f t="shared" ca="1" si="102"/>
        <v/>
      </c>
      <c r="MH32" s="24" t="str">
        <f t="shared" ca="1" si="102"/>
        <v/>
      </c>
      <c r="MI32" s="24" t="str">
        <f t="shared" ca="1" si="102"/>
        <v/>
      </c>
      <c r="MJ32" s="24" t="str">
        <f t="shared" ca="1" si="102"/>
        <v/>
      </c>
      <c r="MK32" s="24" t="str">
        <f t="shared" ca="1" si="102"/>
        <v/>
      </c>
      <c r="ML32" s="24" t="str">
        <f t="shared" ca="1" si="103"/>
        <v/>
      </c>
      <c r="MM32" s="24" t="str">
        <f t="shared" ca="1" si="103"/>
        <v/>
      </c>
      <c r="MN32" s="24" t="str">
        <f t="shared" ca="1" si="103"/>
        <v/>
      </c>
      <c r="MO32" s="24" t="str">
        <f t="shared" ca="1" si="103"/>
        <v/>
      </c>
      <c r="MP32" s="24" t="str">
        <f t="shared" ca="1" si="103"/>
        <v/>
      </c>
      <c r="MQ32" s="24" t="str">
        <f t="shared" ca="1" si="103"/>
        <v/>
      </c>
      <c r="MR32" s="24" t="str">
        <f t="shared" ca="1" si="103"/>
        <v/>
      </c>
      <c r="MS32" s="24" t="str">
        <f t="shared" ca="1" si="103"/>
        <v/>
      </c>
      <c r="MT32" s="24" t="str">
        <f t="shared" ca="1" si="103"/>
        <v/>
      </c>
      <c r="MU32" s="24" t="str">
        <f t="shared" ca="1" si="103"/>
        <v/>
      </c>
      <c r="MV32" s="24" t="str">
        <f t="shared" ca="1" si="104"/>
        <v/>
      </c>
      <c r="MW32" s="24" t="str">
        <f t="shared" ca="1" si="104"/>
        <v/>
      </c>
      <c r="MX32" s="24" t="str">
        <f t="shared" ca="1" si="104"/>
        <v/>
      </c>
      <c r="MY32" s="24" t="str">
        <f t="shared" ca="1" si="104"/>
        <v/>
      </c>
      <c r="MZ32" s="24" t="str">
        <f t="shared" ca="1" si="104"/>
        <v/>
      </c>
      <c r="NA32" s="24" t="str">
        <f t="shared" ca="1" si="104"/>
        <v/>
      </c>
      <c r="NB32" s="24" t="str">
        <f t="shared" ca="1" si="104"/>
        <v/>
      </c>
      <c r="NC32" s="24" t="str">
        <f t="shared" ca="1" si="104"/>
        <v/>
      </c>
      <c r="ND32" s="24" t="str">
        <f t="shared" ca="1" si="104"/>
        <v/>
      </c>
      <c r="NE32" s="24" t="str">
        <f t="shared" ca="1" si="104"/>
        <v/>
      </c>
      <c r="NF32" s="24" t="str">
        <f t="shared" ca="1" si="105"/>
        <v/>
      </c>
      <c r="NG32" s="24" t="str">
        <f t="shared" ca="1" si="105"/>
        <v/>
      </c>
      <c r="NH32" s="24" t="str">
        <f t="shared" ca="1" si="105"/>
        <v/>
      </c>
      <c r="NI32" s="24" t="str">
        <f t="shared" ca="1" si="105"/>
        <v/>
      </c>
      <c r="NJ32" s="24" t="str">
        <f t="shared" ca="1" si="105"/>
        <v/>
      </c>
      <c r="NK32" s="24" t="str">
        <f t="shared" ca="1" si="105"/>
        <v/>
      </c>
      <c r="NL32" s="24" t="str">
        <f t="shared" ca="1" si="105"/>
        <v/>
      </c>
      <c r="NM32" s="24" t="str">
        <f t="shared" ca="1" si="105"/>
        <v/>
      </c>
      <c r="NN32" s="24" t="str">
        <f t="shared" ca="1" si="105"/>
        <v/>
      </c>
      <c r="NO32" s="24" t="str">
        <f t="shared" ca="1" si="105"/>
        <v/>
      </c>
      <c r="NP32" s="24" t="str">
        <f t="shared" ca="1" si="106"/>
        <v/>
      </c>
      <c r="NQ32" s="24" t="str">
        <f t="shared" ca="1" si="106"/>
        <v/>
      </c>
      <c r="NR32" s="24" t="str">
        <f t="shared" ca="1" si="106"/>
        <v/>
      </c>
      <c r="NS32" s="24" t="str">
        <f t="shared" ca="1" si="106"/>
        <v/>
      </c>
      <c r="NT32" s="24" t="str">
        <f t="shared" ca="1" si="106"/>
        <v/>
      </c>
      <c r="NU32" s="24" t="str">
        <f t="shared" ca="1" si="106"/>
        <v/>
      </c>
      <c r="NV32" s="24" t="str">
        <f t="shared" ca="1" si="106"/>
        <v/>
      </c>
      <c r="NW32" s="24" t="str">
        <f t="shared" ca="1" si="106"/>
        <v/>
      </c>
      <c r="NX32" s="24" t="str">
        <f t="shared" ca="1" si="106"/>
        <v/>
      </c>
      <c r="NY32" s="24" t="str">
        <f t="shared" ca="1" si="106"/>
        <v/>
      </c>
      <c r="NZ32" s="24" t="str">
        <f t="shared" ca="1" si="107"/>
        <v/>
      </c>
      <c r="OA32" s="24" t="str">
        <f t="shared" ca="1" si="107"/>
        <v/>
      </c>
      <c r="OB32" s="24" t="str">
        <f t="shared" ca="1" si="107"/>
        <v/>
      </c>
      <c r="OC32" s="24" t="str">
        <f t="shared" ca="1" si="107"/>
        <v/>
      </c>
      <c r="OD32" s="24" t="str">
        <f t="shared" ca="1" si="107"/>
        <v/>
      </c>
      <c r="OE32" s="24" t="str">
        <f t="shared" ca="1" si="107"/>
        <v/>
      </c>
      <c r="OF32" s="24" t="str">
        <f t="shared" ca="1" si="107"/>
        <v/>
      </c>
      <c r="OG32" s="24" t="str">
        <f t="shared" ca="1" si="107"/>
        <v/>
      </c>
      <c r="OH32" s="24" t="str">
        <f t="shared" ca="1" si="107"/>
        <v/>
      </c>
      <c r="OI32" s="24" t="str">
        <f t="shared" ca="1" si="107"/>
        <v/>
      </c>
      <c r="OJ32" s="24" t="str">
        <f t="shared" ca="1" si="108"/>
        <v/>
      </c>
      <c r="OK32" s="24" t="str">
        <f t="shared" ca="1" si="108"/>
        <v/>
      </c>
      <c r="OL32" s="24" t="str">
        <f t="shared" ca="1" si="108"/>
        <v/>
      </c>
      <c r="OM32" s="24" t="str">
        <f t="shared" ca="1" si="108"/>
        <v/>
      </c>
      <c r="ON32" s="24" t="str">
        <f t="shared" ca="1" si="108"/>
        <v/>
      </c>
      <c r="OO32" s="24" t="str">
        <f t="shared" ca="1" si="108"/>
        <v/>
      </c>
      <c r="OP32" s="24" t="str">
        <f t="shared" ca="1" si="108"/>
        <v/>
      </c>
      <c r="OQ32" s="24" t="str">
        <f t="shared" ca="1" si="108"/>
        <v/>
      </c>
      <c r="OR32" s="24" t="str">
        <f t="shared" ca="1" si="108"/>
        <v/>
      </c>
      <c r="OS32" s="24" t="str">
        <f t="shared" ca="1" si="108"/>
        <v/>
      </c>
      <c r="OT32" s="24" t="str">
        <f t="shared" ca="1" si="109"/>
        <v/>
      </c>
      <c r="OU32" s="24" t="str">
        <f t="shared" ca="1" si="109"/>
        <v/>
      </c>
      <c r="OV32" s="24" t="str">
        <f t="shared" ca="1" si="109"/>
        <v/>
      </c>
      <c r="OW32" s="24" t="str">
        <f t="shared" ca="1" si="109"/>
        <v/>
      </c>
      <c r="OX32" s="24" t="str">
        <f t="shared" ca="1" si="109"/>
        <v/>
      </c>
      <c r="OY32" s="24" t="str">
        <f t="shared" ca="1" si="109"/>
        <v/>
      </c>
      <c r="OZ32" s="24" t="str">
        <f t="shared" ca="1" si="109"/>
        <v/>
      </c>
      <c r="PA32" s="24" t="str">
        <f t="shared" ca="1" si="109"/>
        <v/>
      </c>
      <c r="PB32" s="24" t="str">
        <f t="shared" ca="1" si="109"/>
        <v/>
      </c>
      <c r="PC32" s="24" t="str">
        <f t="shared" ca="1" si="109"/>
        <v/>
      </c>
      <c r="PD32" s="24" t="str">
        <f t="shared" ca="1" si="110"/>
        <v/>
      </c>
      <c r="PE32" s="24" t="str">
        <f t="shared" ca="1" si="110"/>
        <v/>
      </c>
      <c r="PF32" s="24" t="str">
        <f t="shared" ca="1" si="110"/>
        <v/>
      </c>
      <c r="PG32" s="24" t="str">
        <f t="shared" ca="1" si="110"/>
        <v/>
      </c>
      <c r="PH32" s="24" t="str">
        <f t="shared" ca="1" si="110"/>
        <v/>
      </c>
      <c r="PI32" s="24" t="str">
        <f t="shared" ca="1" si="110"/>
        <v/>
      </c>
      <c r="PJ32" s="24" t="str">
        <f t="shared" ca="1" si="110"/>
        <v/>
      </c>
      <c r="PK32" s="24" t="str">
        <f t="shared" ca="1" si="110"/>
        <v/>
      </c>
      <c r="PL32" s="24" t="str">
        <f t="shared" ca="1" si="110"/>
        <v/>
      </c>
      <c r="PM32" s="24" t="str">
        <f t="shared" ca="1" si="110"/>
        <v/>
      </c>
      <c r="PN32" s="24" t="str">
        <f t="shared" ca="1" si="111"/>
        <v/>
      </c>
      <c r="PO32" s="24" t="str">
        <f t="shared" ca="1" si="111"/>
        <v/>
      </c>
      <c r="PP32" s="24" t="str">
        <f t="shared" ca="1" si="111"/>
        <v/>
      </c>
      <c r="PQ32" s="24" t="str">
        <f t="shared" ca="1" si="111"/>
        <v/>
      </c>
      <c r="PR32" s="24" t="str">
        <f t="shared" ca="1" si="111"/>
        <v/>
      </c>
      <c r="PS32" s="24" t="str">
        <f t="shared" ca="1" si="111"/>
        <v/>
      </c>
      <c r="PT32" s="24" t="str">
        <f t="shared" ca="1" si="111"/>
        <v/>
      </c>
      <c r="PU32" s="24" t="str">
        <f t="shared" ca="1" si="111"/>
        <v/>
      </c>
      <c r="PV32" s="24" t="str">
        <f t="shared" ca="1" si="111"/>
        <v/>
      </c>
      <c r="PW32" s="24" t="str">
        <f t="shared" ca="1" si="111"/>
        <v/>
      </c>
      <c r="PX32" s="24" t="str">
        <f t="shared" ca="1" si="112"/>
        <v/>
      </c>
      <c r="PY32" s="24" t="str">
        <f t="shared" ca="1" si="112"/>
        <v/>
      </c>
      <c r="PZ32" s="24" t="str">
        <f t="shared" ca="1" si="112"/>
        <v/>
      </c>
      <c r="QA32" s="24" t="str">
        <f t="shared" ca="1" si="112"/>
        <v/>
      </c>
      <c r="QB32" s="24" t="str">
        <f t="shared" ca="1" si="112"/>
        <v/>
      </c>
      <c r="QC32" s="24" t="str">
        <f t="shared" ca="1" si="112"/>
        <v/>
      </c>
      <c r="QD32" s="24" t="str">
        <f t="shared" ca="1" si="112"/>
        <v/>
      </c>
      <c r="QE32" s="24" t="str">
        <f t="shared" ca="1" si="112"/>
        <v/>
      </c>
      <c r="QF32" s="24" t="str">
        <f t="shared" ca="1" si="112"/>
        <v/>
      </c>
      <c r="QG32" s="24" t="str">
        <f t="shared" ca="1" si="112"/>
        <v/>
      </c>
      <c r="QH32" s="24" t="str">
        <f t="shared" ca="1" si="113"/>
        <v/>
      </c>
      <c r="QI32" s="24" t="str">
        <f t="shared" ca="1" si="113"/>
        <v/>
      </c>
      <c r="QJ32" s="24" t="str">
        <f t="shared" ca="1" si="113"/>
        <v/>
      </c>
      <c r="QK32" s="24" t="str">
        <f t="shared" ca="1" si="113"/>
        <v/>
      </c>
      <c r="QL32" s="24" t="str">
        <f t="shared" ca="1" si="113"/>
        <v/>
      </c>
      <c r="QM32" s="24" t="str">
        <f t="shared" ca="1" si="113"/>
        <v/>
      </c>
      <c r="QN32" s="24" t="str">
        <f t="shared" ca="1" si="113"/>
        <v/>
      </c>
      <c r="QO32" s="24" t="str">
        <f t="shared" ca="1" si="113"/>
        <v/>
      </c>
      <c r="QP32" s="24" t="str">
        <f t="shared" ca="1" si="113"/>
        <v/>
      </c>
      <c r="QQ32" s="24" t="str">
        <f t="shared" ca="1" si="113"/>
        <v/>
      </c>
      <c r="QR32" s="24" t="str">
        <f t="shared" ca="1" si="114"/>
        <v/>
      </c>
      <c r="QS32" s="24" t="str">
        <f t="shared" ca="1" si="114"/>
        <v/>
      </c>
      <c r="QT32" s="24" t="str">
        <f t="shared" ca="1" si="114"/>
        <v/>
      </c>
      <c r="QU32" s="24" t="str">
        <f t="shared" ca="1" si="114"/>
        <v/>
      </c>
      <c r="QV32" s="24" t="str">
        <f t="shared" ca="1" si="114"/>
        <v/>
      </c>
      <c r="QW32" s="24" t="str">
        <f t="shared" ca="1" si="114"/>
        <v/>
      </c>
      <c r="QX32" s="24" t="str">
        <f t="shared" ca="1" si="114"/>
        <v/>
      </c>
      <c r="QY32" s="24" t="str">
        <f t="shared" ca="1" si="114"/>
        <v/>
      </c>
      <c r="QZ32" s="24" t="str">
        <f t="shared" ca="1" si="114"/>
        <v/>
      </c>
      <c r="RA32" s="24" t="str">
        <f t="shared" ca="1" si="114"/>
        <v/>
      </c>
      <c r="RB32" s="24" t="str">
        <f t="shared" ca="1" si="115"/>
        <v/>
      </c>
      <c r="RC32" s="24" t="str">
        <f t="shared" ca="1" si="115"/>
        <v/>
      </c>
      <c r="RD32" s="24" t="str">
        <f t="shared" ca="1" si="115"/>
        <v/>
      </c>
      <c r="RE32" s="24" t="str">
        <f t="shared" ca="1" si="115"/>
        <v/>
      </c>
      <c r="RF32" s="24" t="str">
        <f t="shared" ca="1" si="115"/>
        <v/>
      </c>
      <c r="RG32" s="24" t="str">
        <f t="shared" ca="1" si="115"/>
        <v/>
      </c>
      <c r="RH32" s="24" t="str">
        <f t="shared" ca="1" si="115"/>
        <v/>
      </c>
      <c r="RI32" s="24" t="str">
        <f t="shared" ca="1" si="115"/>
        <v/>
      </c>
      <c r="RJ32" s="24" t="str">
        <f t="shared" ca="1" si="115"/>
        <v/>
      </c>
      <c r="RK32" s="24" t="str">
        <f t="shared" ca="1" si="115"/>
        <v/>
      </c>
      <c r="RL32" s="24" t="str">
        <f t="shared" ca="1" si="116"/>
        <v/>
      </c>
      <c r="RM32" s="24" t="str">
        <f t="shared" ca="1" si="116"/>
        <v/>
      </c>
      <c r="RN32" s="24" t="str">
        <f t="shared" ca="1" si="116"/>
        <v/>
      </c>
      <c r="RO32" s="24" t="str">
        <f t="shared" ca="1" si="116"/>
        <v/>
      </c>
      <c r="RP32" s="24" t="str">
        <f t="shared" ca="1" si="116"/>
        <v/>
      </c>
      <c r="RQ32" s="24" t="str">
        <f t="shared" ca="1" si="116"/>
        <v/>
      </c>
      <c r="RR32" s="24" t="str">
        <f t="shared" ca="1" si="116"/>
        <v/>
      </c>
      <c r="RS32" s="24" t="str">
        <f t="shared" ca="1" si="116"/>
        <v/>
      </c>
      <c r="RT32" s="24" t="str">
        <f t="shared" ca="1" si="116"/>
        <v/>
      </c>
      <c r="RU32" s="24" t="str">
        <f t="shared" ca="1" si="116"/>
        <v/>
      </c>
      <c r="RV32" s="24" t="str">
        <f t="shared" ca="1" si="117"/>
        <v/>
      </c>
      <c r="RW32" s="24" t="str">
        <f t="shared" ca="1" si="117"/>
        <v/>
      </c>
      <c r="RX32" s="24" t="str">
        <f t="shared" ca="1" si="117"/>
        <v/>
      </c>
      <c r="RY32" s="24" t="str">
        <f t="shared" ca="1" si="117"/>
        <v/>
      </c>
      <c r="RZ32" s="24" t="str">
        <f t="shared" ca="1" si="117"/>
        <v/>
      </c>
      <c r="SA32" s="24" t="str">
        <f t="shared" ca="1" si="117"/>
        <v/>
      </c>
      <c r="SB32" s="24" t="str">
        <f t="shared" ca="1" si="117"/>
        <v/>
      </c>
      <c r="SC32" s="24" t="str">
        <f t="shared" ca="1" si="117"/>
        <v/>
      </c>
      <c r="SD32" s="24" t="str">
        <f t="shared" ca="1" si="117"/>
        <v/>
      </c>
      <c r="SE32" s="24" t="str">
        <f t="shared" ca="1" si="117"/>
        <v/>
      </c>
      <c r="SF32" s="24" t="str">
        <f t="shared" ca="1" si="118"/>
        <v/>
      </c>
      <c r="SG32" s="24" t="str">
        <f t="shared" ca="1" si="118"/>
        <v/>
      </c>
      <c r="SH32" s="24" t="str">
        <f t="shared" ca="1" si="118"/>
        <v/>
      </c>
      <c r="SI32" s="24" t="str">
        <f t="shared" ca="1" si="118"/>
        <v/>
      </c>
      <c r="SJ32" s="24" t="str">
        <f t="shared" ca="1" si="118"/>
        <v/>
      </c>
      <c r="SK32" s="24" t="str">
        <f t="shared" ca="1" si="118"/>
        <v/>
      </c>
      <c r="SL32" s="24" t="str">
        <f t="shared" ca="1" si="118"/>
        <v/>
      </c>
      <c r="SM32" s="24" t="str">
        <f t="shared" ca="1" si="118"/>
        <v/>
      </c>
      <c r="SN32" s="24" t="str">
        <f t="shared" ca="1" si="118"/>
        <v/>
      </c>
      <c r="SO32" s="24" t="str">
        <f t="shared" ca="1" si="118"/>
        <v/>
      </c>
      <c r="SP32" s="24" t="str">
        <f t="shared" ca="1" si="119"/>
        <v/>
      </c>
      <c r="SQ32" s="24" t="str">
        <f t="shared" ca="1" si="119"/>
        <v/>
      </c>
      <c r="SR32" s="24" t="str">
        <f t="shared" ca="1" si="119"/>
        <v/>
      </c>
      <c r="SS32" s="24" t="str">
        <f t="shared" ca="1" si="119"/>
        <v/>
      </c>
      <c r="ST32" s="24" t="str">
        <f t="shared" ca="1" si="119"/>
        <v/>
      </c>
      <c r="SU32" s="24" t="str">
        <f t="shared" ca="1" si="119"/>
        <v/>
      </c>
      <c r="SV32" s="24" t="str">
        <f t="shared" ca="1" si="119"/>
        <v/>
      </c>
      <c r="SW32" s="24" t="str">
        <f t="shared" ca="1" si="119"/>
        <v/>
      </c>
      <c r="SX32" s="24" t="str">
        <f t="shared" ca="1" si="119"/>
        <v/>
      </c>
      <c r="SY32" s="24" t="str">
        <f t="shared" ca="1" si="119"/>
        <v/>
      </c>
      <c r="SZ32" s="24" t="str">
        <f t="shared" ca="1" si="120"/>
        <v/>
      </c>
      <c r="TA32" s="24" t="str">
        <f t="shared" ca="1" si="120"/>
        <v/>
      </c>
      <c r="TB32" s="24" t="str">
        <f t="shared" ca="1" si="120"/>
        <v/>
      </c>
      <c r="TC32" s="24" t="str">
        <f t="shared" ca="1" si="120"/>
        <v/>
      </c>
      <c r="TD32" s="24" t="str">
        <f t="shared" ca="1" si="120"/>
        <v/>
      </c>
      <c r="TE32" s="24" t="str">
        <f t="shared" ca="1" si="120"/>
        <v/>
      </c>
      <c r="TF32" s="24" t="str">
        <f t="shared" ca="1" si="120"/>
        <v/>
      </c>
      <c r="TG32" s="24" t="str">
        <f t="shared" ca="1" si="120"/>
        <v/>
      </c>
      <c r="TH32" s="24" t="str">
        <f t="shared" ca="1" si="120"/>
        <v/>
      </c>
      <c r="TI32" s="24" t="str">
        <f t="shared" ca="1" si="120"/>
        <v/>
      </c>
      <c r="TJ32" s="24" t="str">
        <f t="shared" ca="1" si="121"/>
        <v/>
      </c>
      <c r="TK32" s="24" t="str">
        <f t="shared" ca="1" si="121"/>
        <v/>
      </c>
      <c r="TL32" s="24" t="str">
        <f t="shared" ca="1" si="121"/>
        <v/>
      </c>
      <c r="TM32" s="24" t="str">
        <f t="shared" ca="1" si="121"/>
        <v/>
      </c>
      <c r="TN32" s="24" t="str">
        <f t="shared" ca="1" si="121"/>
        <v/>
      </c>
      <c r="TO32" s="24" t="str">
        <f t="shared" ca="1" si="121"/>
        <v/>
      </c>
      <c r="TP32" s="24" t="str">
        <f t="shared" ca="1" si="121"/>
        <v/>
      </c>
      <c r="TQ32" s="24" t="str">
        <f t="shared" ca="1" si="121"/>
        <v/>
      </c>
      <c r="TR32" s="24" t="str">
        <f t="shared" ca="1" si="121"/>
        <v/>
      </c>
      <c r="TS32" s="24" t="str">
        <f t="shared" ca="1" si="121"/>
        <v/>
      </c>
      <c r="TT32" s="24" t="str">
        <f t="shared" ca="1" si="122"/>
        <v/>
      </c>
      <c r="TU32" s="24" t="str">
        <f t="shared" ca="1" si="122"/>
        <v/>
      </c>
      <c r="TV32" s="24" t="str">
        <f t="shared" ca="1" si="122"/>
        <v/>
      </c>
      <c r="TW32" s="24" t="str">
        <f t="shared" ca="1" si="122"/>
        <v/>
      </c>
      <c r="TX32" s="24" t="str">
        <f t="shared" ca="1" si="122"/>
        <v/>
      </c>
      <c r="TY32" s="24" t="str">
        <f t="shared" ca="1" si="122"/>
        <v/>
      </c>
      <c r="TZ32" s="24" t="str">
        <f t="shared" ca="1" si="122"/>
        <v/>
      </c>
      <c r="UA32" s="24" t="str">
        <f t="shared" ca="1" si="122"/>
        <v/>
      </c>
      <c r="UB32" s="24" t="str">
        <f t="shared" ca="1" si="122"/>
        <v/>
      </c>
      <c r="UC32" s="24" t="str">
        <f t="shared" ca="1" si="122"/>
        <v/>
      </c>
      <c r="UD32" s="24" t="str">
        <f t="shared" ca="1" si="123"/>
        <v/>
      </c>
      <c r="UE32" s="24" t="str">
        <f t="shared" ca="1" si="123"/>
        <v/>
      </c>
      <c r="UF32" s="24" t="str">
        <f t="shared" ca="1" si="123"/>
        <v/>
      </c>
      <c r="UG32" s="24" t="str">
        <f t="shared" ca="1" si="123"/>
        <v/>
      </c>
      <c r="UH32" s="24" t="str">
        <f t="shared" ca="1" si="123"/>
        <v/>
      </c>
      <c r="UI32" s="24" t="str">
        <f t="shared" ca="1" si="123"/>
        <v/>
      </c>
      <c r="UJ32" s="24" t="str">
        <f t="shared" ca="1" si="123"/>
        <v/>
      </c>
      <c r="UK32" s="24" t="str">
        <f t="shared" ca="1" si="123"/>
        <v/>
      </c>
      <c r="UL32" s="24" t="str">
        <f t="shared" ca="1" si="123"/>
        <v/>
      </c>
      <c r="UM32" s="24" t="str">
        <f t="shared" ca="1" si="123"/>
        <v/>
      </c>
      <c r="UN32" s="24" t="str">
        <f t="shared" ca="1" si="124"/>
        <v/>
      </c>
      <c r="UO32" s="24" t="str">
        <f t="shared" ca="1" si="124"/>
        <v/>
      </c>
      <c r="UP32" s="24" t="str">
        <f t="shared" ca="1" si="124"/>
        <v/>
      </c>
      <c r="UQ32" s="24" t="str">
        <f t="shared" ca="1" si="124"/>
        <v/>
      </c>
      <c r="UR32" s="24" t="str">
        <f t="shared" ca="1" si="124"/>
        <v/>
      </c>
      <c r="US32" s="24" t="str">
        <f t="shared" ca="1" si="124"/>
        <v/>
      </c>
      <c r="UT32" s="24" t="str">
        <f t="shared" ca="1" si="124"/>
        <v/>
      </c>
      <c r="UU32" s="24" t="str">
        <f t="shared" ca="1" si="124"/>
        <v/>
      </c>
      <c r="UV32" s="24" t="str">
        <f t="shared" ca="1" si="124"/>
        <v/>
      </c>
      <c r="UW32" s="24" t="str">
        <f t="shared" ca="1" si="124"/>
        <v/>
      </c>
      <c r="UX32" s="24" t="str">
        <f t="shared" ca="1" si="125"/>
        <v/>
      </c>
      <c r="UY32" s="24" t="str">
        <f t="shared" ca="1" si="125"/>
        <v/>
      </c>
      <c r="UZ32" s="24" t="str">
        <f t="shared" ca="1" si="125"/>
        <v/>
      </c>
      <c r="VA32" s="24" t="str">
        <f t="shared" ca="1" si="125"/>
        <v/>
      </c>
      <c r="VB32" s="24" t="str">
        <f t="shared" ca="1" si="125"/>
        <v/>
      </c>
      <c r="VC32" s="24" t="str">
        <f t="shared" ca="1" si="125"/>
        <v/>
      </c>
      <c r="VD32" s="24" t="str">
        <f t="shared" ca="1" si="125"/>
        <v/>
      </c>
      <c r="VE32" s="24" t="str">
        <f t="shared" ca="1" si="125"/>
        <v/>
      </c>
      <c r="VF32" s="24" t="str">
        <f t="shared" ca="1" si="125"/>
        <v/>
      </c>
      <c r="VG32" s="24" t="str">
        <f t="shared" ca="1" si="125"/>
        <v/>
      </c>
      <c r="VH32" s="24" t="str">
        <f t="shared" ca="1" si="126"/>
        <v/>
      </c>
      <c r="VI32" s="24" t="str">
        <f t="shared" ca="1" si="126"/>
        <v/>
      </c>
      <c r="VJ32" s="24" t="str">
        <f t="shared" ca="1" si="126"/>
        <v/>
      </c>
      <c r="VK32" s="24" t="str">
        <f t="shared" ca="1" si="126"/>
        <v/>
      </c>
      <c r="VL32" s="24" t="str">
        <f t="shared" ca="1" si="126"/>
        <v/>
      </c>
      <c r="VM32" s="24" t="str">
        <f t="shared" ca="1" si="126"/>
        <v/>
      </c>
      <c r="VN32" s="24" t="str">
        <f t="shared" ca="1" si="126"/>
        <v/>
      </c>
      <c r="VO32" s="24" t="str">
        <f t="shared" ca="1" si="126"/>
        <v/>
      </c>
      <c r="VP32" s="24" t="str">
        <f t="shared" ca="1" si="126"/>
        <v/>
      </c>
      <c r="VQ32" s="24" t="str">
        <f t="shared" ca="1" si="126"/>
        <v/>
      </c>
      <c r="VR32" s="24" t="str">
        <f t="shared" ca="1" si="126"/>
        <v/>
      </c>
      <c r="VS32" s="24" t="str">
        <f t="shared" ca="1" si="126"/>
        <v/>
      </c>
    </row>
    <row r="33" spans="1:591" s="17" customFormat="1" ht="16.2" customHeight="1" x14ac:dyDescent="0.3">
      <c r="A33" s="81"/>
      <c r="B33" s="56" t="str">
        <f>'CoS Tracker'!$AF$7</f>
        <v>2. Design Period End</v>
      </c>
      <c r="C33" s="19" t="s">
        <v>72</v>
      </c>
      <c r="D33" s="19"/>
      <c r="E33" s="27">
        <v>0.1</v>
      </c>
      <c r="F33" s="26">
        <f>F31</f>
        <v>45995</v>
      </c>
      <c r="G33" s="26">
        <f>'CoS Tracker'!AF10</f>
        <v>46085</v>
      </c>
      <c r="H33" s="25">
        <f>Milestones43524[[#This Row],[End]]-Milestones43524[[#This Row],[Start]]</f>
        <v>90</v>
      </c>
      <c r="I33" s="19"/>
      <c r="J33" s="24" t="str">
        <f t="shared" ca="1" si="69"/>
        <v/>
      </c>
      <c r="K33" s="24" t="str">
        <f t="shared" ca="1" si="69"/>
        <v/>
      </c>
      <c r="L33" s="24" t="str">
        <f t="shared" ca="1" si="69"/>
        <v/>
      </c>
      <c r="M33" s="24" t="str">
        <f t="shared" ca="1" si="69"/>
        <v/>
      </c>
      <c r="N33" s="24" t="str">
        <f t="shared" ca="1" si="69"/>
        <v/>
      </c>
      <c r="O33" s="24" t="str">
        <f t="shared" ca="1" si="69"/>
        <v/>
      </c>
      <c r="P33" s="24" t="str">
        <f t="shared" ca="1" si="69"/>
        <v/>
      </c>
      <c r="Q33" s="24" t="str">
        <f t="shared" ca="1" si="69"/>
        <v/>
      </c>
      <c r="R33" s="24" t="str">
        <f t="shared" ca="1" si="69"/>
        <v/>
      </c>
      <c r="S33" s="24" t="str">
        <f t="shared" ca="1" si="69"/>
        <v/>
      </c>
      <c r="T33" s="24" t="str">
        <f t="shared" ca="1" si="70"/>
        <v/>
      </c>
      <c r="U33" s="24" t="str">
        <f t="shared" ca="1" si="70"/>
        <v/>
      </c>
      <c r="V33" s="24" t="str">
        <f t="shared" ca="1" si="70"/>
        <v/>
      </c>
      <c r="W33" s="24" t="str">
        <f t="shared" ca="1" si="70"/>
        <v/>
      </c>
      <c r="X33" s="24" t="str">
        <f t="shared" ca="1" si="70"/>
        <v/>
      </c>
      <c r="Y33" s="24" t="str">
        <f t="shared" ca="1" si="70"/>
        <v/>
      </c>
      <c r="Z33" s="24" t="str">
        <f t="shared" ca="1" si="70"/>
        <v/>
      </c>
      <c r="AA33" s="24" t="str">
        <f t="shared" ca="1" si="70"/>
        <v/>
      </c>
      <c r="AB33" s="24" t="str">
        <f t="shared" ca="1" si="70"/>
        <v/>
      </c>
      <c r="AC33" s="24" t="str">
        <f t="shared" ca="1" si="70"/>
        <v/>
      </c>
      <c r="AD33" s="24" t="str">
        <f t="shared" ca="1" si="71"/>
        <v/>
      </c>
      <c r="AE33" s="24" t="str">
        <f t="shared" ca="1" si="71"/>
        <v/>
      </c>
      <c r="AF33" s="24" t="str">
        <f t="shared" ca="1" si="71"/>
        <v/>
      </c>
      <c r="AG33" s="24" t="str">
        <f t="shared" ca="1" si="71"/>
        <v/>
      </c>
      <c r="AH33" s="24" t="str">
        <f t="shared" ca="1" si="71"/>
        <v/>
      </c>
      <c r="AI33" s="24" t="str">
        <f t="shared" ca="1" si="71"/>
        <v/>
      </c>
      <c r="AJ33" s="24" t="str">
        <f t="shared" ca="1" si="71"/>
        <v/>
      </c>
      <c r="AK33" s="24" t="str">
        <f t="shared" ca="1" si="71"/>
        <v/>
      </c>
      <c r="AL33" s="24" t="str">
        <f t="shared" ca="1" si="71"/>
        <v/>
      </c>
      <c r="AM33" s="24" t="str">
        <f t="shared" ca="1" si="71"/>
        <v/>
      </c>
      <c r="AN33" s="24" t="str">
        <f t="shared" ca="1" si="72"/>
        <v/>
      </c>
      <c r="AO33" s="24" t="str">
        <f t="shared" ca="1" si="72"/>
        <v/>
      </c>
      <c r="AP33" s="24" t="str">
        <f t="shared" ca="1" si="72"/>
        <v/>
      </c>
      <c r="AQ33" s="24" t="str">
        <f t="shared" ca="1" si="72"/>
        <v/>
      </c>
      <c r="AR33" s="24" t="str">
        <f t="shared" ca="1" si="72"/>
        <v/>
      </c>
      <c r="AS33" s="24" t="str">
        <f t="shared" ca="1" si="72"/>
        <v/>
      </c>
      <c r="AT33" s="24" t="str">
        <f t="shared" ca="1" si="72"/>
        <v/>
      </c>
      <c r="AU33" s="24" t="str">
        <f t="shared" ca="1" si="72"/>
        <v/>
      </c>
      <c r="AV33" s="24" t="str">
        <f t="shared" ca="1" si="72"/>
        <v/>
      </c>
      <c r="AW33" s="24" t="str">
        <f t="shared" ca="1" si="72"/>
        <v/>
      </c>
      <c r="AX33" s="24" t="str">
        <f t="shared" ca="1" si="73"/>
        <v/>
      </c>
      <c r="AY33" s="24" t="str">
        <f t="shared" ca="1" si="73"/>
        <v/>
      </c>
      <c r="AZ33" s="24" t="str">
        <f t="shared" ca="1" si="73"/>
        <v/>
      </c>
      <c r="BA33" s="24" t="str">
        <f t="shared" ca="1" si="73"/>
        <v/>
      </c>
      <c r="BB33" s="24" t="str">
        <f t="shared" ca="1" si="73"/>
        <v/>
      </c>
      <c r="BC33" s="24" t="str">
        <f t="shared" ca="1" si="73"/>
        <v/>
      </c>
      <c r="BD33" s="24" t="str">
        <f t="shared" ca="1" si="73"/>
        <v/>
      </c>
      <c r="BE33" s="24" t="str">
        <f t="shared" ca="1" si="73"/>
        <v/>
      </c>
      <c r="BF33" s="24" t="str">
        <f t="shared" ca="1" si="73"/>
        <v/>
      </c>
      <c r="BG33" s="24" t="str">
        <f t="shared" ca="1" si="73"/>
        <v/>
      </c>
      <c r="BH33" s="24" t="str">
        <f t="shared" ca="1" si="74"/>
        <v/>
      </c>
      <c r="BI33" s="24" t="str">
        <f t="shared" ca="1" si="74"/>
        <v/>
      </c>
      <c r="BJ33" s="24" t="str">
        <f t="shared" ca="1" si="74"/>
        <v/>
      </c>
      <c r="BK33" s="24" t="str">
        <f t="shared" ca="1" si="74"/>
        <v/>
      </c>
      <c r="BL33" s="24" t="str">
        <f t="shared" ca="1" si="74"/>
        <v/>
      </c>
      <c r="BM33" s="24" t="str">
        <f t="shared" ca="1" si="74"/>
        <v/>
      </c>
      <c r="BN33" s="24" t="str">
        <f t="shared" ca="1" si="74"/>
        <v/>
      </c>
      <c r="BO33" s="24" t="str">
        <f t="shared" ca="1" si="74"/>
        <v/>
      </c>
      <c r="BP33" s="24" t="str">
        <f t="shared" ca="1" si="74"/>
        <v/>
      </c>
      <c r="BQ33" s="24" t="str">
        <f t="shared" ca="1" si="74"/>
        <v/>
      </c>
      <c r="BR33" s="24" t="str">
        <f t="shared" ca="1" si="75"/>
        <v/>
      </c>
      <c r="BS33" s="24" t="str">
        <f t="shared" ca="1" si="75"/>
        <v/>
      </c>
      <c r="BT33" s="24" t="str">
        <f t="shared" ca="1" si="75"/>
        <v/>
      </c>
      <c r="BU33" s="24" t="str">
        <f t="shared" ca="1" si="75"/>
        <v/>
      </c>
      <c r="BV33" s="24" t="str">
        <f t="shared" ca="1" si="75"/>
        <v/>
      </c>
      <c r="BW33" s="24" t="str">
        <f t="shared" ca="1" si="75"/>
        <v/>
      </c>
      <c r="BX33" s="24" t="str">
        <f t="shared" ca="1" si="75"/>
        <v/>
      </c>
      <c r="BY33" s="24" t="str">
        <f t="shared" ca="1" si="75"/>
        <v/>
      </c>
      <c r="BZ33" s="24" t="str">
        <f t="shared" ca="1" si="75"/>
        <v/>
      </c>
      <c r="CA33" s="24" t="str">
        <f t="shared" ca="1" si="75"/>
        <v/>
      </c>
      <c r="CB33" s="24" t="str">
        <f t="shared" ca="1" si="76"/>
        <v/>
      </c>
      <c r="CC33" s="24" t="str">
        <f t="shared" ca="1" si="76"/>
        <v/>
      </c>
      <c r="CD33" s="24" t="str">
        <f t="shared" ca="1" si="76"/>
        <v/>
      </c>
      <c r="CE33" s="24" t="str">
        <f t="shared" ca="1" si="76"/>
        <v/>
      </c>
      <c r="CF33" s="24" t="str">
        <f t="shared" ca="1" si="76"/>
        <v/>
      </c>
      <c r="CG33" s="24" t="str">
        <f t="shared" ca="1" si="76"/>
        <v/>
      </c>
      <c r="CH33" s="24" t="str">
        <f t="shared" ca="1" si="76"/>
        <v/>
      </c>
      <c r="CI33" s="24" t="str">
        <f t="shared" ca="1" si="76"/>
        <v/>
      </c>
      <c r="CJ33" s="24" t="str">
        <f t="shared" ca="1" si="76"/>
        <v/>
      </c>
      <c r="CK33" s="24" t="str">
        <f t="shared" ca="1" si="76"/>
        <v/>
      </c>
      <c r="CL33" s="24" t="str">
        <f t="shared" ca="1" si="77"/>
        <v/>
      </c>
      <c r="CM33" s="24" t="str">
        <f t="shared" ca="1" si="77"/>
        <v/>
      </c>
      <c r="CN33" s="24" t="str">
        <f t="shared" ca="1" si="77"/>
        <v/>
      </c>
      <c r="CO33" s="24" t="str">
        <f t="shared" ca="1" si="77"/>
        <v/>
      </c>
      <c r="CP33" s="24" t="str">
        <f t="shared" ca="1" si="77"/>
        <v/>
      </c>
      <c r="CQ33" s="24" t="str">
        <f t="shared" ca="1" si="77"/>
        <v/>
      </c>
      <c r="CR33" s="24" t="str">
        <f t="shared" ca="1" si="77"/>
        <v/>
      </c>
      <c r="CS33" s="24" t="str">
        <f t="shared" ca="1" si="77"/>
        <v/>
      </c>
      <c r="CT33" s="24" t="str">
        <f t="shared" ca="1" si="77"/>
        <v/>
      </c>
      <c r="CU33" s="24" t="str">
        <f t="shared" ca="1" si="77"/>
        <v/>
      </c>
      <c r="CV33" s="24" t="str">
        <f t="shared" ca="1" si="78"/>
        <v/>
      </c>
      <c r="CW33" s="24" t="str">
        <f t="shared" ca="1" si="78"/>
        <v/>
      </c>
      <c r="CX33" s="24" t="str">
        <f t="shared" ca="1" si="78"/>
        <v/>
      </c>
      <c r="CY33" s="24" t="str">
        <f t="shared" ca="1" si="78"/>
        <v/>
      </c>
      <c r="CZ33" s="24" t="str">
        <f t="shared" ca="1" si="78"/>
        <v/>
      </c>
      <c r="DA33" s="24" t="str">
        <f t="shared" ca="1" si="78"/>
        <v/>
      </c>
      <c r="DB33" s="24" t="str">
        <f t="shared" ca="1" si="78"/>
        <v/>
      </c>
      <c r="DC33" s="24" t="str">
        <f t="shared" ca="1" si="78"/>
        <v/>
      </c>
      <c r="DD33" s="24" t="str">
        <f t="shared" ca="1" si="78"/>
        <v/>
      </c>
      <c r="DE33" s="24" t="str">
        <f t="shared" ca="1" si="78"/>
        <v/>
      </c>
      <c r="DF33" s="24" t="str">
        <f t="shared" ca="1" si="79"/>
        <v/>
      </c>
      <c r="DG33" s="24" t="str">
        <f t="shared" ca="1" si="79"/>
        <v/>
      </c>
      <c r="DH33" s="24" t="str">
        <f t="shared" ca="1" si="79"/>
        <v/>
      </c>
      <c r="DI33" s="24" t="str">
        <f t="shared" ca="1" si="79"/>
        <v/>
      </c>
      <c r="DJ33" s="24" t="str">
        <f t="shared" ca="1" si="79"/>
        <v/>
      </c>
      <c r="DK33" s="24" t="str">
        <f t="shared" ca="1" si="79"/>
        <v/>
      </c>
      <c r="DL33" s="24" t="str">
        <f t="shared" ca="1" si="79"/>
        <v/>
      </c>
      <c r="DM33" s="24" t="str">
        <f t="shared" ca="1" si="79"/>
        <v/>
      </c>
      <c r="DN33" s="24" t="str">
        <f t="shared" ca="1" si="79"/>
        <v/>
      </c>
      <c r="DO33" s="24" t="str">
        <f t="shared" ca="1" si="79"/>
        <v/>
      </c>
      <c r="DP33" s="24" t="str">
        <f t="shared" ca="1" si="80"/>
        <v/>
      </c>
      <c r="DQ33" s="24" t="str">
        <f t="shared" ca="1" si="80"/>
        <v/>
      </c>
      <c r="DR33" s="24" t="str">
        <f t="shared" ca="1" si="80"/>
        <v/>
      </c>
      <c r="DS33" s="24" t="str">
        <f t="shared" ca="1" si="80"/>
        <v/>
      </c>
      <c r="DT33" s="24" t="str">
        <f t="shared" ca="1" si="80"/>
        <v/>
      </c>
      <c r="DU33" s="24" t="str">
        <f t="shared" ca="1" si="80"/>
        <v/>
      </c>
      <c r="DV33" s="24" t="str">
        <f t="shared" ca="1" si="80"/>
        <v/>
      </c>
      <c r="DW33" s="24" t="str">
        <f t="shared" ca="1" si="80"/>
        <v/>
      </c>
      <c r="DX33" s="24" t="str">
        <f t="shared" ca="1" si="80"/>
        <v/>
      </c>
      <c r="DY33" s="24" t="str">
        <f t="shared" ca="1" si="80"/>
        <v/>
      </c>
      <c r="DZ33" s="24" t="str">
        <f t="shared" ca="1" si="81"/>
        <v/>
      </c>
      <c r="EA33" s="24" t="str">
        <f t="shared" ca="1" si="81"/>
        <v/>
      </c>
      <c r="EB33" s="24" t="str">
        <f t="shared" ca="1" si="81"/>
        <v/>
      </c>
      <c r="EC33" s="24" t="str">
        <f t="shared" ca="1" si="81"/>
        <v/>
      </c>
      <c r="ED33" s="24" t="str">
        <f t="shared" ca="1" si="81"/>
        <v/>
      </c>
      <c r="EE33" s="24" t="str">
        <f t="shared" ca="1" si="81"/>
        <v/>
      </c>
      <c r="EF33" s="24" t="str">
        <f t="shared" ca="1" si="81"/>
        <v/>
      </c>
      <c r="EG33" s="24" t="str">
        <f t="shared" ca="1" si="81"/>
        <v/>
      </c>
      <c r="EH33" s="24" t="str">
        <f t="shared" ca="1" si="81"/>
        <v/>
      </c>
      <c r="EI33" s="24" t="str">
        <f t="shared" ca="1" si="81"/>
        <v/>
      </c>
      <c r="EJ33" s="24" t="str">
        <f t="shared" ca="1" si="82"/>
        <v/>
      </c>
      <c r="EK33" s="24" t="str">
        <f t="shared" ca="1" si="82"/>
        <v/>
      </c>
      <c r="EL33" s="24" t="str">
        <f t="shared" ca="1" si="82"/>
        <v/>
      </c>
      <c r="EM33" s="24" t="str">
        <f t="shared" ca="1" si="82"/>
        <v/>
      </c>
      <c r="EN33" s="24" t="str">
        <f t="shared" ca="1" si="82"/>
        <v/>
      </c>
      <c r="EO33" s="24" t="str">
        <f t="shared" ca="1" si="82"/>
        <v/>
      </c>
      <c r="EP33" s="24" t="str">
        <f t="shared" ca="1" si="82"/>
        <v/>
      </c>
      <c r="EQ33" s="24" t="str">
        <f t="shared" ca="1" si="82"/>
        <v/>
      </c>
      <c r="ER33" s="24" t="str">
        <f t="shared" ca="1" si="82"/>
        <v/>
      </c>
      <c r="ES33" s="24" t="str">
        <f t="shared" ca="1" si="82"/>
        <v/>
      </c>
      <c r="ET33" s="24" t="str">
        <f t="shared" ca="1" si="83"/>
        <v/>
      </c>
      <c r="EU33" s="24" t="str">
        <f t="shared" ca="1" si="83"/>
        <v/>
      </c>
      <c r="EV33" s="24" t="str">
        <f t="shared" ca="1" si="83"/>
        <v/>
      </c>
      <c r="EW33" s="24" t="str">
        <f t="shared" ca="1" si="83"/>
        <v/>
      </c>
      <c r="EX33" s="24" t="str">
        <f t="shared" ca="1" si="83"/>
        <v/>
      </c>
      <c r="EY33" s="24" t="str">
        <f t="shared" ca="1" si="83"/>
        <v/>
      </c>
      <c r="EZ33" s="24" t="str">
        <f t="shared" ca="1" si="83"/>
        <v/>
      </c>
      <c r="FA33" s="24" t="str">
        <f t="shared" ca="1" si="83"/>
        <v/>
      </c>
      <c r="FB33" s="24" t="str">
        <f t="shared" ca="1" si="83"/>
        <v/>
      </c>
      <c r="FC33" s="24" t="str">
        <f t="shared" ca="1" si="83"/>
        <v/>
      </c>
      <c r="FD33" s="24" t="str">
        <f t="shared" ca="1" si="84"/>
        <v/>
      </c>
      <c r="FE33" s="24" t="str">
        <f t="shared" ca="1" si="84"/>
        <v/>
      </c>
      <c r="FF33" s="24" t="str">
        <f t="shared" ca="1" si="84"/>
        <v/>
      </c>
      <c r="FG33" s="24" t="str">
        <f t="shared" ca="1" si="84"/>
        <v/>
      </c>
      <c r="FH33" s="24" t="str">
        <f t="shared" ca="1" si="84"/>
        <v/>
      </c>
      <c r="FI33" s="24" t="str">
        <f t="shared" ca="1" si="84"/>
        <v/>
      </c>
      <c r="FJ33" s="24" t="str">
        <f t="shared" ca="1" si="84"/>
        <v/>
      </c>
      <c r="FK33" s="24" t="str">
        <f t="shared" ca="1" si="84"/>
        <v/>
      </c>
      <c r="FL33" s="24" t="str">
        <f t="shared" ca="1" si="84"/>
        <v/>
      </c>
      <c r="FM33" s="24" t="str">
        <f t="shared" ca="1" si="84"/>
        <v/>
      </c>
      <c r="FN33" s="24" t="str">
        <f t="shared" ca="1" si="85"/>
        <v/>
      </c>
      <c r="FO33" s="24" t="str">
        <f t="shared" ca="1" si="85"/>
        <v/>
      </c>
      <c r="FP33" s="24" t="str">
        <f t="shared" ca="1" si="85"/>
        <v/>
      </c>
      <c r="FQ33" s="24" t="str">
        <f t="shared" ca="1" si="85"/>
        <v/>
      </c>
      <c r="FR33" s="24" t="str">
        <f t="shared" ca="1" si="85"/>
        <v/>
      </c>
      <c r="FS33" s="24" t="str">
        <f t="shared" ca="1" si="85"/>
        <v/>
      </c>
      <c r="FT33" s="24" t="str">
        <f t="shared" ca="1" si="85"/>
        <v/>
      </c>
      <c r="FU33" s="24" t="str">
        <f t="shared" ca="1" si="85"/>
        <v/>
      </c>
      <c r="FV33" s="24" t="str">
        <f t="shared" ca="1" si="85"/>
        <v/>
      </c>
      <c r="FW33" s="24" t="str">
        <f t="shared" ca="1" si="85"/>
        <v/>
      </c>
      <c r="FX33" s="24" t="str">
        <f t="shared" ca="1" si="86"/>
        <v/>
      </c>
      <c r="FY33" s="24" t="str">
        <f t="shared" ca="1" si="86"/>
        <v/>
      </c>
      <c r="FZ33" s="24" t="str">
        <f t="shared" ca="1" si="86"/>
        <v/>
      </c>
      <c r="GA33" s="24" t="str">
        <f t="shared" ca="1" si="86"/>
        <v/>
      </c>
      <c r="GB33" s="24" t="str">
        <f t="shared" ca="1" si="86"/>
        <v/>
      </c>
      <c r="GC33" s="24" t="str">
        <f t="shared" ca="1" si="86"/>
        <v/>
      </c>
      <c r="GD33" s="24" t="str">
        <f t="shared" ca="1" si="86"/>
        <v/>
      </c>
      <c r="GE33" s="24" t="str">
        <f t="shared" ca="1" si="86"/>
        <v/>
      </c>
      <c r="GF33" s="24" t="str">
        <f t="shared" ca="1" si="86"/>
        <v/>
      </c>
      <c r="GG33" s="24" t="str">
        <f t="shared" ca="1" si="86"/>
        <v/>
      </c>
      <c r="GH33" s="24" t="str">
        <f t="shared" ca="1" si="87"/>
        <v/>
      </c>
      <c r="GI33" s="24" t="str">
        <f t="shared" ca="1" si="87"/>
        <v/>
      </c>
      <c r="GJ33" s="24" t="str">
        <f t="shared" ca="1" si="87"/>
        <v/>
      </c>
      <c r="GK33" s="24" t="str">
        <f t="shared" ca="1" si="87"/>
        <v/>
      </c>
      <c r="GL33" s="24" t="str">
        <f t="shared" ca="1" si="87"/>
        <v/>
      </c>
      <c r="GM33" s="24" t="str">
        <f t="shared" ca="1" si="87"/>
        <v/>
      </c>
      <c r="GN33" s="24" t="str">
        <f t="shared" ca="1" si="87"/>
        <v/>
      </c>
      <c r="GO33" s="24" t="str">
        <f t="shared" ca="1" si="87"/>
        <v/>
      </c>
      <c r="GP33" s="24" t="str">
        <f t="shared" ca="1" si="87"/>
        <v/>
      </c>
      <c r="GQ33" s="24" t="str">
        <f t="shared" ca="1" si="87"/>
        <v/>
      </c>
      <c r="GR33" s="24" t="str">
        <f t="shared" ca="1" si="88"/>
        <v/>
      </c>
      <c r="GS33" s="24" t="str">
        <f t="shared" ca="1" si="88"/>
        <v/>
      </c>
      <c r="GT33" s="24" t="str">
        <f t="shared" ca="1" si="88"/>
        <v/>
      </c>
      <c r="GU33" s="24" t="str">
        <f t="shared" ca="1" si="88"/>
        <v/>
      </c>
      <c r="GV33" s="24" t="str">
        <f t="shared" ca="1" si="88"/>
        <v/>
      </c>
      <c r="GW33" s="24" t="str">
        <f t="shared" ca="1" si="88"/>
        <v/>
      </c>
      <c r="GX33" s="24" t="str">
        <f t="shared" ca="1" si="88"/>
        <v/>
      </c>
      <c r="GY33" s="24" t="str">
        <f t="shared" ca="1" si="88"/>
        <v/>
      </c>
      <c r="GZ33" s="24" t="str">
        <f t="shared" ca="1" si="88"/>
        <v/>
      </c>
      <c r="HA33" s="24" t="str">
        <f t="shared" ca="1" si="88"/>
        <v/>
      </c>
      <c r="HB33" s="24" t="str">
        <f t="shared" ca="1" si="89"/>
        <v/>
      </c>
      <c r="HC33" s="24" t="str">
        <f t="shared" ca="1" si="89"/>
        <v/>
      </c>
      <c r="HD33" s="24" t="str">
        <f t="shared" ca="1" si="89"/>
        <v/>
      </c>
      <c r="HE33" s="24" t="str">
        <f t="shared" ca="1" si="89"/>
        <v/>
      </c>
      <c r="HF33" s="24" t="str">
        <f t="shared" ca="1" si="89"/>
        <v/>
      </c>
      <c r="HG33" s="24" t="str">
        <f t="shared" ca="1" si="89"/>
        <v/>
      </c>
      <c r="HH33" s="24" t="str">
        <f t="shared" ca="1" si="89"/>
        <v/>
      </c>
      <c r="HI33" s="24" t="str">
        <f t="shared" ca="1" si="89"/>
        <v/>
      </c>
      <c r="HJ33" s="24" t="str">
        <f t="shared" ca="1" si="89"/>
        <v/>
      </c>
      <c r="HK33" s="24" t="str">
        <f t="shared" ca="1" si="89"/>
        <v/>
      </c>
      <c r="HL33" s="24" t="str">
        <f t="shared" ca="1" si="90"/>
        <v/>
      </c>
      <c r="HM33" s="24" t="str">
        <f t="shared" ca="1" si="90"/>
        <v/>
      </c>
      <c r="HN33" s="24" t="str">
        <f t="shared" ca="1" si="90"/>
        <v/>
      </c>
      <c r="HO33" s="24" t="str">
        <f t="shared" ca="1" si="90"/>
        <v/>
      </c>
      <c r="HP33" s="24" t="str">
        <f t="shared" ca="1" si="90"/>
        <v/>
      </c>
      <c r="HQ33" s="24" t="str">
        <f t="shared" ca="1" si="90"/>
        <v/>
      </c>
      <c r="HR33" s="24" t="str">
        <f t="shared" ca="1" si="90"/>
        <v/>
      </c>
      <c r="HS33" s="24" t="str">
        <f t="shared" ca="1" si="90"/>
        <v/>
      </c>
      <c r="HT33" s="24" t="str">
        <f t="shared" ca="1" si="90"/>
        <v/>
      </c>
      <c r="HU33" s="24" t="str">
        <f t="shared" ca="1" si="90"/>
        <v/>
      </c>
      <c r="HV33" s="24" t="str">
        <f t="shared" ca="1" si="91"/>
        <v/>
      </c>
      <c r="HW33" s="24" t="str">
        <f t="shared" ca="1" si="91"/>
        <v/>
      </c>
      <c r="HX33" s="24" t="str">
        <f t="shared" ca="1" si="91"/>
        <v/>
      </c>
      <c r="HY33" s="24" t="str">
        <f t="shared" ca="1" si="91"/>
        <v/>
      </c>
      <c r="HZ33" s="24" t="str">
        <f t="shared" ca="1" si="91"/>
        <v/>
      </c>
      <c r="IA33" s="24" t="str">
        <f t="shared" ca="1" si="91"/>
        <v/>
      </c>
      <c r="IB33" s="24" t="str">
        <f t="shared" ca="1" si="91"/>
        <v/>
      </c>
      <c r="IC33" s="24" t="str">
        <f t="shared" ca="1" si="91"/>
        <v/>
      </c>
      <c r="ID33" s="24" t="str">
        <f t="shared" ca="1" si="91"/>
        <v/>
      </c>
      <c r="IE33" s="24" t="str">
        <f t="shared" ca="1" si="91"/>
        <v/>
      </c>
      <c r="IF33" s="24" t="str">
        <f t="shared" ca="1" si="92"/>
        <v/>
      </c>
      <c r="IG33" s="24" t="str">
        <f t="shared" ca="1" si="92"/>
        <v/>
      </c>
      <c r="IH33" s="24" t="str">
        <f t="shared" ca="1" si="92"/>
        <v/>
      </c>
      <c r="II33" s="24" t="str">
        <f t="shared" ca="1" si="92"/>
        <v/>
      </c>
      <c r="IJ33" s="24" t="str">
        <f t="shared" ca="1" si="92"/>
        <v/>
      </c>
      <c r="IK33" s="24" t="str">
        <f t="shared" ca="1" si="92"/>
        <v/>
      </c>
      <c r="IL33" s="24" t="str">
        <f t="shared" ca="1" si="92"/>
        <v/>
      </c>
      <c r="IM33" s="24" t="str">
        <f t="shared" ca="1" si="92"/>
        <v/>
      </c>
      <c r="IN33" s="24" t="str">
        <f t="shared" ca="1" si="92"/>
        <v/>
      </c>
      <c r="IO33" s="24" t="str">
        <f t="shared" ca="1" si="92"/>
        <v/>
      </c>
      <c r="IP33" s="24" t="str">
        <f t="shared" ca="1" si="93"/>
        <v/>
      </c>
      <c r="IQ33" s="24" t="str">
        <f t="shared" ca="1" si="93"/>
        <v/>
      </c>
      <c r="IR33" s="24" t="str">
        <f t="shared" ca="1" si="93"/>
        <v/>
      </c>
      <c r="IS33" s="24" t="str">
        <f t="shared" ca="1" si="93"/>
        <v/>
      </c>
      <c r="IT33" s="24" t="str">
        <f t="shared" ca="1" si="93"/>
        <v/>
      </c>
      <c r="IU33" s="24" t="str">
        <f t="shared" ca="1" si="93"/>
        <v/>
      </c>
      <c r="IV33" s="24" t="str">
        <f t="shared" ca="1" si="93"/>
        <v/>
      </c>
      <c r="IW33" s="24" t="str">
        <f t="shared" ca="1" si="93"/>
        <v/>
      </c>
      <c r="IX33" s="24" t="str">
        <f t="shared" ca="1" si="93"/>
        <v/>
      </c>
      <c r="IY33" s="24" t="str">
        <f t="shared" ca="1" si="93"/>
        <v/>
      </c>
      <c r="IZ33" s="24" t="str">
        <f t="shared" ca="1" si="94"/>
        <v/>
      </c>
      <c r="JA33" s="24" t="str">
        <f t="shared" ca="1" si="94"/>
        <v/>
      </c>
      <c r="JB33" s="24" t="str">
        <f t="shared" ca="1" si="94"/>
        <v/>
      </c>
      <c r="JC33" s="24" t="str">
        <f t="shared" ca="1" si="94"/>
        <v/>
      </c>
      <c r="JD33" s="24" t="str">
        <f t="shared" ca="1" si="94"/>
        <v/>
      </c>
      <c r="JE33" s="24" t="str">
        <f t="shared" ca="1" si="94"/>
        <v/>
      </c>
      <c r="JF33" s="24" t="str">
        <f t="shared" ca="1" si="94"/>
        <v/>
      </c>
      <c r="JG33" s="24" t="str">
        <f t="shared" ca="1" si="94"/>
        <v/>
      </c>
      <c r="JH33" s="24" t="str">
        <f t="shared" ca="1" si="94"/>
        <v/>
      </c>
      <c r="JI33" s="24" t="str">
        <f t="shared" ca="1" si="94"/>
        <v/>
      </c>
      <c r="JJ33" s="24" t="str">
        <f t="shared" ca="1" si="95"/>
        <v/>
      </c>
      <c r="JK33" s="24" t="str">
        <f t="shared" ca="1" si="95"/>
        <v/>
      </c>
      <c r="JL33" s="24" t="str">
        <f t="shared" ca="1" si="95"/>
        <v/>
      </c>
      <c r="JM33" s="24" t="str">
        <f t="shared" ca="1" si="95"/>
        <v/>
      </c>
      <c r="JN33" s="24" t="str">
        <f t="shared" ca="1" si="95"/>
        <v/>
      </c>
      <c r="JO33" s="24" t="str">
        <f t="shared" ca="1" si="95"/>
        <v/>
      </c>
      <c r="JP33" s="24" t="str">
        <f t="shared" ca="1" si="95"/>
        <v/>
      </c>
      <c r="JQ33" s="24" t="str">
        <f t="shared" ca="1" si="95"/>
        <v/>
      </c>
      <c r="JR33" s="24" t="str">
        <f t="shared" ca="1" si="95"/>
        <v/>
      </c>
      <c r="JS33" s="24" t="str">
        <f t="shared" ca="1" si="95"/>
        <v/>
      </c>
      <c r="JT33" s="24" t="str">
        <f t="shared" ca="1" si="96"/>
        <v/>
      </c>
      <c r="JU33" s="24" t="str">
        <f t="shared" ca="1" si="96"/>
        <v/>
      </c>
      <c r="JV33" s="24" t="str">
        <f t="shared" ca="1" si="96"/>
        <v/>
      </c>
      <c r="JW33" s="24" t="str">
        <f t="shared" ca="1" si="96"/>
        <v/>
      </c>
      <c r="JX33" s="24" t="str">
        <f t="shared" ca="1" si="96"/>
        <v/>
      </c>
      <c r="JY33" s="24" t="str">
        <f t="shared" ca="1" si="96"/>
        <v/>
      </c>
      <c r="JZ33" s="24" t="str">
        <f t="shared" ca="1" si="96"/>
        <v/>
      </c>
      <c r="KA33" s="24" t="str">
        <f t="shared" ca="1" si="96"/>
        <v/>
      </c>
      <c r="KB33" s="24" t="str">
        <f t="shared" ca="1" si="96"/>
        <v/>
      </c>
      <c r="KC33" s="24" t="str">
        <f t="shared" ca="1" si="96"/>
        <v/>
      </c>
      <c r="KD33" s="24" t="str">
        <f t="shared" ca="1" si="97"/>
        <v/>
      </c>
      <c r="KE33" s="24" t="str">
        <f t="shared" ca="1" si="97"/>
        <v/>
      </c>
      <c r="KF33" s="24" t="str">
        <f t="shared" ca="1" si="97"/>
        <v/>
      </c>
      <c r="KG33" s="24" t="str">
        <f t="shared" ca="1" si="97"/>
        <v/>
      </c>
      <c r="KH33" s="24" t="str">
        <f t="shared" ca="1" si="97"/>
        <v/>
      </c>
      <c r="KI33" s="24" t="str">
        <f t="shared" ca="1" si="97"/>
        <v/>
      </c>
      <c r="KJ33" s="24" t="str">
        <f t="shared" ca="1" si="97"/>
        <v/>
      </c>
      <c r="KK33" s="24" t="str">
        <f t="shared" ca="1" si="97"/>
        <v/>
      </c>
      <c r="KL33" s="24" t="str">
        <f t="shared" ca="1" si="97"/>
        <v/>
      </c>
      <c r="KM33" s="24" t="str">
        <f t="shared" ca="1" si="97"/>
        <v/>
      </c>
      <c r="KN33" s="24" t="str">
        <f t="shared" ca="1" si="98"/>
        <v/>
      </c>
      <c r="KO33" s="24" t="str">
        <f t="shared" ca="1" si="98"/>
        <v/>
      </c>
      <c r="KP33" s="24" t="str">
        <f t="shared" ca="1" si="98"/>
        <v/>
      </c>
      <c r="KQ33" s="24" t="str">
        <f t="shared" ca="1" si="98"/>
        <v/>
      </c>
      <c r="KR33" s="24" t="str">
        <f t="shared" ca="1" si="98"/>
        <v/>
      </c>
      <c r="KS33" s="24" t="str">
        <f t="shared" ca="1" si="98"/>
        <v/>
      </c>
      <c r="KT33" s="24" t="str">
        <f t="shared" ca="1" si="98"/>
        <v/>
      </c>
      <c r="KU33" s="24" t="str">
        <f t="shared" ca="1" si="98"/>
        <v/>
      </c>
      <c r="KV33" s="24" t="str">
        <f t="shared" ca="1" si="98"/>
        <v/>
      </c>
      <c r="KW33" s="24" t="str">
        <f t="shared" ca="1" si="98"/>
        <v/>
      </c>
      <c r="KX33" s="24" t="str">
        <f t="shared" ca="1" si="99"/>
        <v/>
      </c>
      <c r="KY33" s="24" t="str">
        <f t="shared" ca="1" si="99"/>
        <v/>
      </c>
      <c r="KZ33" s="24" t="str">
        <f t="shared" ca="1" si="99"/>
        <v/>
      </c>
      <c r="LA33" s="24" t="str">
        <f t="shared" ca="1" si="99"/>
        <v/>
      </c>
      <c r="LB33" s="24" t="str">
        <f t="shared" ca="1" si="99"/>
        <v/>
      </c>
      <c r="LC33" s="24" t="str">
        <f t="shared" ca="1" si="99"/>
        <v/>
      </c>
      <c r="LD33" s="24" t="str">
        <f t="shared" ca="1" si="99"/>
        <v/>
      </c>
      <c r="LE33" s="24" t="str">
        <f t="shared" ca="1" si="99"/>
        <v/>
      </c>
      <c r="LF33" s="24" t="str">
        <f t="shared" ca="1" si="99"/>
        <v/>
      </c>
      <c r="LG33" s="24" t="str">
        <f t="shared" ca="1" si="99"/>
        <v/>
      </c>
      <c r="LH33" s="24" t="str">
        <f t="shared" ca="1" si="100"/>
        <v/>
      </c>
      <c r="LI33" s="24" t="str">
        <f t="shared" ca="1" si="100"/>
        <v/>
      </c>
      <c r="LJ33" s="24" t="str">
        <f t="shared" ca="1" si="100"/>
        <v/>
      </c>
      <c r="LK33" s="24" t="str">
        <f t="shared" ca="1" si="100"/>
        <v/>
      </c>
      <c r="LL33" s="24" t="str">
        <f t="shared" ca="1" si="100"/>
        <v/>
      </c>
      <c r="LM33" s="24" t="str">
        <f t="shared" ca="1" si="100"/>
        <v/>
      </c>
      <c r="LN33" s="24" t="str">
        <f t="shared" ca="1" si="100"/>
        <v/>
      </c>
      <c r="LO33" s="24" t="str">
        <f t="shared" ca="1" si="100"/>
        <v/>
      </c>
      <c r="LP33" s="24" t="str">
        <f t="shared" ca="1" si="100"/>
        <v/>
      </c>
      <c r="LQ33" s="24" t="str">
        <f t="shared" ca="1" si="100"/>
        <v/>
      </c>
      <c r="LR33" s="24" t="str">
        <f t="shared" ca="1" si="101"/>
        <v/>
      </c>
      <c r="LS33" s="24" t="str">
        <f t="shared" ca="1" si="101"/>
        <v/>
      </c>
      <c r="LT33" s="24" t="str">
        <f t="shared" ca="1" si="101"/>
        <v/>
      </c>
      <c r="LU33" s="24" t="str">
        <f t="shared" ca="1" si="101"/>
        <v/>
      </c>
      <c r="LV33" s="24" t="str">
        <f t="shared" ca="1" si="101"/>
        <v/>
      </c>
      <c r="LW33" s="24" t="str">
        <f t="shared" ca="1" si="101"/>
        <v/>
      </c>
      <c r="LX33" s="24" t="str">
        <f t="shared" ca="1" si="101"/>
        <v/>
      </c>
      <c r="LY33" s="24" t="str">
        <f t="shared" ca="1" si="101"/>
        <v/>
      </c>
      <c r="LZ33" s="24" t="str">
        <f t="shared" ca="1" si="101"/>
        <v/>
      </c>
      <c r="MA33" s="24" t="str">
        <f t="shared" ca="1" si="101"/>
        <v/>
      </c>
      <c r="MB33" s="24" t="str">
        <f t="shared" ca="1" si="102"/>
        <v/>
      </c>
      <c r="MC33" s="24" t="str">
        <f t="shared" ca="1" si="102"/>
        <v/>
      </c>
      <c r="MD33" s="24" t="str">
        <f t="shared" ca="1" si="102"/>
        <v/>
      </c>
      <c r="ME33" s="24" t="str">
        <f t="shared" ca="1" si="102"/>
        <v/>
      </c>
      <c r="MF33" s="24" t="str">
        <f t="shared" ca="1" si="102"/>
        <v/>
      </c>
      <c r="MG33" s="24" t="str">
        <f t="shared" ca="1" si="102"/>
        <v/>
      </c>
      <c r="MH33" s="24" t="str">
        <f t="shared" ca="1" si="102"/>
        <v/>
      </c>
      <c r="MI33" s="24" t="str">
        <f t="shared" ca="1" si="102"/>
        <v/>
      </c>
      <c r="MJ33" s="24" t="str">
        <f t="shared" ca="1" si="102"/>
        <v/>
      </c>
      <c r="MK33" s="24" t="str">
        <f t="shared" ca="1" si="102"/>
        <v/>
      </c>
      <c r="ML33" s="24" t="str">
        <f t="shared" ca="1" si="103"/>
        <v/>
      </c>
      <c r="MM33" s="24" t="str">
        <f t="shared" ca="1" si="103"/>
        <v/>
      </c>
      <c r="MN33" s="24" t="str">
        <f t="shared" ca="1" si="103"/>
        <v/>
      </c>
      <c r="MO33" s="24" t="str">
        <f t="shared" ca="1" si="103"/>
        <v/>
      </c>
      <c r="MP33" s="24" t="str">
        <f t="shared" ca="1" si="103"/>
        <v/>
      </c>
      <c r="MQ33" s="24" t="str">
        <f t="shared" ca="1" si="103"/>
        <v/>
      </c>
      <c r="MR33" s="24" t="str">
        <f t="shared" ca="1" si="103"/>
        <v/>
      </c>
      <c r="MS33" s="24" t="str">
        <f t="shared" ca="1" si="103"/>
        <v/>
      </c>
      <c r="MT33" s="24" t="str">
        <f t="shared" ca="1" si="103"/>
        <v/>
      </c>
      <c r="MU33" s="24" t="str">
        <f t="shared" ca="1" si="103"/>
        <v/>
      </c>
      <c r="MV33" s="24" t="str">
        <f t="shared" ca="1" si="104"/>
        <v/>
      </c>
      <c r="MW33" s="24" t="str">
        <f t="shared" ca="1" si="104"/>
        <v/>
      </c>
      <c r="MX33" s="24" t="str">
        <f t="shared" ca="1" si="104"/>
        <v/>
      </c>
      <c r="MY33" s="24" t="str">
        <f t="shared" ca="1" si="104"/>
        <v/>
      </c>
      <c r="MZ33" s="24" t="str">
        <f t="shared" ca="1" si="104"/>
        <v/>
      </c>
      <c r="NA33" s="24" t="str">
        <f t="shared" ca="1" si="104"/>
        <v/>
      </c>
      <c r="NB33" s="24" t="str">
        <f t="shared" ca="1" si="104"/>
        <v/>
      </c>
      <c r="NC33" s="24" t="str">
        <f t="shared" ca="1" si="104"/>
        <v/>
      </c>
      <c r="ND33" s="24" t="str">
        <f t="shared" ca="1" si="104"/>
        <v/>
      </c>
      <c r="NE33" s="24" t="str">
        <f t="shared" ca="1" si="104"/>
        <v/>
      </c>
      <c r="NF33" s="24" t="str">
        <f t="shared" ca="1" si="105"/>
        <v/>
      </c>
      <c r="NG33" s="24" t="str">
        <f t="shared" ca="1" si="105"/>
        <v/>
      </c>
      <c r="NH33" s="24" t="str">
        <f t="shared" ca="1" si="105"/>
        <v/>
      </c>
      <c r="NI33" s="24" t="str">
        <f t="shared" ca="1" si="105"/>
        <v/>
      </c>
      <c r="NJ33" s="24" t="str">
        <f t="shared" ca="1" si="105"/>
        <v/>
      </c>
      <c r="NK33" s="24" t="str">
        <f t="shared" ca="1" si="105"/>
        <v/>
      </c>
      <c r="NL33" s="24" t="str">
        <f t="shared" ca="1" si="105"/>
        <v/>
      </c>
      <c r="NM33" s="24" t="str">
        <f t="shared" ca="1" si="105"/>
        <v/>
      </c>
      <c r="NN33" s="24" t="str">
        <f t="shared" ca="1" si="105"/>
        <v/>
      </c>
      <c r="NO33" s="24" t="str">
        <f t="shared" ca="1" si="105"/>
        <v/>
      </c>
      <c r="NP33" s="24" t="str">
        <f t="shared" ca="1" si="106"/>
        <v/>
      </c>
      <c r="NQ33" s="24" t="str">
        <f t="shared" ca="1" si="106"/>
        <v/>
      </c>
      <c r="NR33" s="24" t="str">
        <f t="shared" ca="1" si="106"/>
        <v/>
      </c>
      <c r="NS33" s="24" t="str">
        <f t="shared" ca="1" si="106"/>
        <v/>
      </c>
      <c r="NT33" s="24" t="str">
        <f t="shared" ca="1" si="106"/>
        <v/>
      </c>
      <c r="NU33" s="24" t="str">
        <f t="shared" ca="1" si="106"/>
        <v/>
      </c>
      <c r="NV33" s="24" t="str">
        <f t="shared" ca="1" si="106"/>
        <v/>
      </c>
      <c r="NW33" s="24" t="str">
        <f t="shared" ca="1" si="106"/>
        <v/>
      </c>
      <c r="NX33" s="24" t="str">
        <f t="shared" ca="1" si="106"/>
        <v/>
      </c>
      <c r="NY33" s="24" t="str">
        <f t="shared" ca="1" si="106"/>
        <v/>
      </c>
      <c r="NZ33" s="24" t="str">
        <f t="shared" ca="1" si="107"/>
        <v/>
      </c>
      <c r="OA33" s="24" t="str">
        <f t="shared" ca="1" si="107"/>
        <v/>
      </c>
      <c r="OB33" s="24" t="str">
        <f t="shared" ca="1" si="107"/>
        <v/>
      </c>
      <c r="OC33" s="24" t="str">
        <f t="shared" ca="1" si="107"/>
        <v/>
      </c>
      <c r="OD33" s="24" t="str">
        <f t="shared" ca="1" si="107"/>
        <v/>
      </c>
      <c r="OE33" s="24" t="str">
        <f t="shared" ca="1" si="107"/>
        <v/>
      </c>
      <c r="OF33" s="24" t="str">
        <f t="shared" ca="1" si="107"/>
        <v/>
      </c>
      <c r="OG33" s="24" t="str">
        <f t="shared" ca="1" si="107"/>
        <v/>
      </c>
      <c r="OH33" s="24" t="str">
        <f t="shared" ca="1" si="107"/>
        <v/>
      </c>
      <c r="OI33" s="24" t="str">
        <f t="shared" ca="1" si="107"/>
        <v/>
      </c>
      <c r="OJ33" s="24" t="str">
        <f t="shared" ca="1" si="108"/>
        <v/>
      </c>
      <c r="OK33" s="24" t="str">
        <f t="shared" ca="1" si="108"/>
        <v/>
      </c>
      <c r="OL33" s="24" t="str">
        <f t="shared" ca="1" si="108"/>
        <v/>
      </c>
      <c r="OM33" s="24" t="str">
        <f t="shared" ca="1" si="108"/>
        <v/>
      </c>
      <c r="ON33" s="24" t="str">
        <f t="shared" ca="1" si="108"/>
        <v/>
      </c>
      <c r="OO33" s="24" t="str">
        <f t="shared" ca="1" si="108"/>
        <v/>
      </c>
      <c r="OP33" s="24" t="str">
        <f t="shared" ca="1" si="108"/>
        <v/>
      </c>
      <c r="OQ33" s="24" t="str">
        <f t="shared" ca="1" si="108"/>
        <v/>
      </c>
      <c r="OR33" s="24" t="str">
        <f t="shared" ca="1" si="108"/>
        <v/>
      </c>
      <c r="OS33" s="24" t="str">
        <f t="shared" ca="1" si="108"/>
        <v/>
      </c>
      <c r="OT33" s="24" t="str">
        <f t="shared" ca="1" si="109"/>
        <v/>
      </c>
      <c r="OU33" s="24" t="str">
        <f t="shared" ca="1" si="109"/>
        <v/>
      </c>
      <c r="OV33" s="24" t="str">
        <f t="shared" ca="1" si="109"/>
        <v/>
      </c>
      <c r="OW33" s="24" t="str">
        <f t="shared" ca="1" si="109"/>
        <v/>
      </c>
      <c r="OX33" s="24" t="str">
        <f t="shared" ca="1" si="109"/>
        <v/>
      </c>
      <c r="OY33" s="24" t="str">
        <f t="shared" ca="1" si="109"/>
        <v/>
      </c>
      <c r="OZ33" s="24" t="str">
        <f t="shared" ca="1" si="109"/>
        <v/>
      </c>
      <c r="PA33" s="24" t="str">
        <f t="shared" ca="1" si="109"/>
        <v/>
      </c>
      <c r="PB33" s="24" t="str">
        <f t="shared" ca="1" si="109"/>
        <v/>
      </c>
      <c r="PC33" s="24" t="str">
        <f t="shared" ca="1" si="109"/>
        <v/>
      </c>
      <c r="PD33" s="24" t="str">
        <f t="shared" ca="1" si="110"/>
        <v/>
      </c>
      <c r="PE33" s="24" t="str">
        <f t="shared" ca="1" si="110"/>
        <v/>
      </c>
      <c r="PF33" s="24" t="str">
        <f t="shared" ca="1" si="110"/>
        <v/>
      </c>
      <c r="PG33" s="24" t="str">
        <f t="shared" ca="1" si="110"/>
        <v/>
      </c>
      <c r="PH33" s="24" t="str">
        <f t="shared" ca="1" si="110"/>
        <v/>
      </c>
      <c r="PI33" s="24" t="str">
        <f t="shared" ca="1" si="110"/>
        <v/>
      </c>
      <c r="PJ33" s="24" t="str">
        <f t="shared" ca="1" si="110"/>
        <v/>
      </c>
      <c r="PK33" s="24" t="str">
        <f t="shared" ca="1" si="110"/>
        <v/>
      </c>
      <c r="PL33" s="24" t="str">
        <f t="shared" ca="1" si="110"/>
        <v/>
      </c>
      <c r="PM33" s="24" t="str">
        <f t="shared" ca="1" si="110"/>
        <v/>
      </c>
      <c r="PN33" s="24" t="str">
        <f t="shared" ca="1" si="111"/>
        <v/>
      </c>
      <c r="PO33" s="24" t="str">
        <f t="shared" ca="1" si="111"/>
        <v/>
      </c>
      <c r="PP33" s="24" t="str">
        <f t="shared" ca="1" si="111"/>
        <v/>
      </c>
      <c r="PQ33" s="24" t="str">
        <f t="shared" ca="1" si="111"/>
        <v/>
      </c>
      <c r="PR33" s="24" t="str">
        <f t="shared" ca="1" si="111"/>
        <v/>
      </c>
      <c r="PS33" s="24" t="str">
        <f t="shared" ca="1" si="111"/>
        <v/>
      </c>
      <c r="PT33" s="24" t="str">
        <f t="shared" ca="1" si="111"/>
        <v/>
      </c>
      <c r="PU33" s="24" t="str">
        <f t="shared" ca="1" si="111"/>
        <v/>
      </c>
      <c r="PV33" s="24" t="str">
        <f t="shared" ca="1" si="111"/>
        <v/>
      </c>
      <c r="PW33" s="24" t="str">
        <f t="shared" ca="1" si="111"/>
        <v/>
      </c>
      <c r="PX33" s="24" t="str">
        <f t="shared" ca="1" si="112"/>
        <v/>
      </c>
      <c r="PY33" s="24" t="str">
        <f t="shared" ca="1" si="112"/>
        <v/>
      </c>
      <c r="PZ33" s="24" t="str">
        <f t="shared" ca="1" si="112"/>
        <v/>
      </c>
      <c r="QA33" s="24" t="str">
        <f t="shared" ca="1" si="112"/>
        <v/>
      </c>
      <c r="QB33" s="24" t="str">
        <f t="shared" ca="1" si="112"/>
        <v/>
      </c>
      <c r="QC33" s="24" t="str">
        <f t="shared" ca="1" si="112"/>
        <v/>
      </c>
      <c r="QD33" s="24" t="str">
        <f t="shared" ca="1" si="112"/>
        <v/>
      </c>
      <c r="QE33" s="24" t="str">
        <f t="shared" ca="1" si="112"/>
        <v/>
      </c>
      <c r="QF33" s="24" t="str">
        <f t="shared" ca="1" si="112"/>
        <v/>
      </c>
      <c r="QG33" s="24" t="str">
        <f t="shared" ca="1" si="112"/>
        <v/>
      </c>
      <c r="QH33" s="24" t="str">
        <f t="shared" ca="1" si="113"/>
        <v/>
      </c>
      <c r="QI33" s="24" t="str">
        <f t="shared" ca="1" si="113"/>
        <v/>
      </c>
      <c r="QJ33" s="24" t="str">
        <f t="shared" ca="1" si="113"/>
        <v/>
      </c>
      <c r="QK33" s="24" t="str">
        <f t="shared" ca="1" si="113"/>
        <v/>
      </c>
      <c r="QL33" s="24" t="str">
        <f t="shared" ca="1" si="113"/>
        <v/>
      </c>
      <c r="QM33" s="24" t="str">
        <f t="shared" ca="1" si="113"/>
        <v/>
      </c>
      <c r="QN33" s="24" t="str">
        <f t="shared" ca="1" si="113"/>
        <v/>
      </c>
      <c r="QO33" s="24" t="str">
        <f t="shared" ca="1" si="113"/>
        <v/>
      </c>
      <c r="QP33" s="24" t="str">
        <f t="shared" ca="1" si="113"/>
        <v/>
      </c>
      <c r="QQ33" s="24" t="str">
        <f t="shared" ca="1" si="113"/>
        <v/>
      </c>
      <c r="QR33" s="24" t="str">
        <f t="shared" ca="1" si="114"/>
        <v/>
      </c>
      <c r="QS33" s="24" t="str">
        <f t="shared" ca="1" si="114"/>
        <v/>
      </c>
      <c r="QT33" s="24" t="str">
        <f t="shared" ca="1" si="114"/>
        <v/>
      </c>
      <c r="QU33" s="24" t="str">
        <f t="shared" ca="1" si="114"/>
        <v/>
      </c>
      <c r="QV33" s="24" t="str">
        <f t="shared" ca="1" si="114"/>
        <v/>
      </c>
      <c r="QW33" s="24" t="str">
        <f t="shared" ca="1" si="114"/>
        <v/>
      </c>
      <c r="QX33" s="24" t="str">
        <f t="shared" ca="1" si="114"/>
        <v/>
      </c>
      <c r="QY33" s="24" t="str">
        <f t="shared" ca="1" si="114"/>
        <v/>
      </c>
      <c r="QZ33" s="24" t="str">
        <f t="shared" ca="1" si="114"/>
        <v/>
      </c>
      <c r="RA33" s="24" t="str">
        <f t="shared" ca="1" si="114"/>
        <v/>
      </c>
      <c r="RB33" s="24" t="str">
        <f t="shared" ca="1" si="115"/>
        <v/>
      </c>
      <c r="RC33" s="24" t="str">
        <f t="shared" ca="1" si="115"/>
        <v/>
      </c>
      <c r="RD33" s="24" t="str">
        <f t="shared" ca="1" si="115"/>
        <v/>
      </c>
      <c r="RE33" s="24" t="str">
        <f t="shared" ca="1" si="115"/>
        <v/>
      </c>
      <c r="RF33" s="24" t="str">
        <f t="shared" ca="1" si="115"/>
        <v/>
      </c>
      <c r="RG33" s="24" t="str">
        <f t="shared" ca="1" si="115"/>
        <v/>
      </c>
      <c r="RH33" s="24" t="str">
        <f t="shared" ca="1" si="115"/>
        <v/>
      </c>
      <c r="RI33" s="24" t="str">
        <f t="shared" ca="1" si="115"/>
        <v/>
      </c>
      <c r="RJ33" s="24" t="str">
        <f t="shared" ca="1" si="115"/>
        <v/>
      </c>
      <c r="RK33" s="24" t="str">
        <f t="shared" ca="1" si="115"/>
        <v/>
      </c>
      <c r="RL33" s="24" t="str">
        <f t="shared" ca="1" si="116"/>
        <v/>
      </c>
      <c r="RM33" s="24" t="str">
        <f t="shared" ca="1" si="116"/>
        <v/>
      </c>
      <c r="RN33" s="24" t="str">
        <f t="shared" ca="1" si="116"/>
        <v/>
      </c>
      <c r="RO33" s="24" t="str">
        <f t="shared" ca="1" si="116"/>
        <v/>
      </c>
      <c r="RP33" s="24" t="str">
        <f t="shared" ca="1" si="116"/>
        <v/>
      </c>
      <c r="RQ33" s="24" t="str">
        <f t="shared" ca="1" si="116"/>
        <v/>
      </c>
      <c r="RR33" s="24" t="str">
        <f t="shared" ca="1" si="116"/>
        <v/>
      </c>
      <c r="RS33" s="24" t="str">
        <f t="shared" ca="1" si="116"/>
        <v/>
      </c>
      <c r="RT33" s="24" t="str">
        <f t="shared" ca="1" si="116"/>
        <v/>
      </c>
      <c r="RU33" s="24" t="str">
        <f t="shared" ca="1" si="116"/>
        <v/>
      </c>
      <c r="RV33" s="24" t="str">
        <f t="shared" ca="1" si="117"/>
        <v/>
      </c>
      <c r="RW33" s="24" t="str">
        <f t="shared" ca="1" si="117"/>
        <v/>
      </c>
      <c r="RX33" s="24" t="str">
        <f t="shared" ca="1" si="117"/>
        <v/>
      </c>
      <c r="RY33" s="24" t="str">
        <f t="shared" ca="1" si="117"/>
        <v/>
      </c>
      <c r="RZ33" s="24" t="str">
        <f t="shared" ca="1" si="117"/>
        <v/>
      </c>
      <c r="SA33" s="24" t="str">
        <f t="shared" ca="1" si="117"/>
        <v/>
      </c>
      <c r="SB33" s="24" t="str">
        <f t="shared" ca="1" si="117"/>
        <v/>
      </c>
      <c r="SC33" s="24" t="str">
        <f t="shared" ca="1" si="117"/>
        <v/>
      </c>
      <c r="SD33" s="24" t="str">
        <f t="shared" ca="1" si="117"/>
        <v/>
      </c>
      <c r="SE33" s="24" t="str">
        <f t="shared" ca="1" si="117"/>
        <v/>
      </c>
      <c r="SF33" s="24" t="str">
        <f t="shared" ca="1" si="118"/>
        <v/>
      </c>
      <c r="SG33" s="24" t="str">
        <f t="shared" ca="1" si="118"/>
        <v/>
      </c>
      <c r="SH33" s="24" t="str">
        <f t="shared" ca="1" si="118"/>
        <v/>
      </c>
      <c r="SI33" s="24" t="str">
        <f t="shared" ca="1" si="118"/>
        <v/>
      </c>
      <c r="SJ33" s="24" t="str">
        <f t="shared" ca="1" si="118"/>
        <v/>
      </c>
      <c r="SK33" s="24" t="str">
        <f t="shared" ca="1" si="118"/>
        <v/>
      </c>
      <c r="SL33" s="24" t="str">
        <f t="shared" ca="1" si="118"/>
        <v/>
      </c>
      <c r="SM33" s="24" t="str">
        <f t="shared" ca="1" si="118"/>
        <v/>
      </c>
      <c r="SN33" s="24" t="str">
        <f t="shared" ca="1" si="118"/>
        <v/>
      </c>
      <c r="SO33" s="24" t="str">
        <f t="shared" ca="1" si="118"/>
        <v/>
      </c>
      <c r="SP33" s="24" t="str">
        <f t="shared" ca="1" si="119"/>
        <v/>
      </c>
      <c r="SQ33" s="24" t="str">
        <f t="shared" ca="1" si="119"/>
        <v/>
      </c>
      <c r="SR33" s="24" t="str">
        <f t="shared" ca="1" si="119"/>
        <v/>
      </c>
      <c r="SS33" s="24" t="str">
        <f t="shared" ca="1" si="119"/>
        <v/>
      </c>
      <c r="ST33" s="24" t="str">
        <f t="shared" ca="1" si="119"/>
        <v/>
      </c>
      <c r="SU33" s="24" t="str">
        <f t="shared" ca="1" si="119"/>
        <v/>
      </c>
      <c r="SV33" s="24" t="str">
        <f t="shared" ca="1" si="119"/>
        <v/>
      </c>
      <c r="SW33" s="24" t="str">
        <f t="shared" ca="1" si="119"/>
        <v/>
      </c>
      <c r="SX33" s="24" t="str">
        <f t="shared" ca="1" si="119"/>
        <v/>
      </c>
      <c r="SY33" s="24" t="str">
        <f t="shared" ca="1" si="119"/>
        <v/>
      </c>
      <c r="SZ33" s="24" t="str">
        <f t="shared" ca="1" si="120"/>
        <v/>
      </c>
      <c r="TA33" s="24" t="str">
        <f t="shared" ca="1" si="120"/>
        <v/>
      </c>
      <c r="TB33" s="24" t="str">
        <f t="shared" ca="1" si="120"/>
        <v/>
      </c>
      <c r="TC33" s="24" t="str">
        <f t="shared" ca="1" si="120"/>
        <v/>
      </c>
      <c r="TD33" s="24" t="str">
        <f t="shared" ca="1" si="120"/>
        <v/>
      </c>
      <c r="TE33" s="24" t="str">
        <f t="shared" ca="1" si="120"/>
        <v/>
      </c>
      <c r="TF33" s="24" t="str">
        <f t="shared" ca="1" si="120"/>
        <v/>
      </c>
      <c r="TG33" s="24" t="str">
        <f t="shared" ca="1" si="120"/>
        <v/>
      </c>
      <c r="TH33" s="24" t="str">
        <f t="shared" ca="1" si="120"/>
        <v/>
      </c>
      <c r="TI33" s="24" t="str">
        <f t="shared" ca="1" si="120"/>
        <v/>
      </c>
      <c r="TJ33" s="24" t="str">
        <f t="shared" ca="1" si="121"/>
        <v/>
      </c>
      <c r="TK33" s="24" t="str">
        <f t="shared" ca="1" si="121"/>
        <v/>
      </c>
      <c r="TL33" s="24" t="str">
        <f t="shared" ca="1" si="121"/>
        <v/>
      </c>
      <c r="TM33" s="24" t="str">
        <f t="shared" ca="1" si="121"/>
        <v/>
      </c>
      <c r="TN33" s="24" t="str">
        <f t="shared" ca="1" si="121"/>
        <v/>
      </c>
      <c r="TO33" s="24" t="str">
        <f t="shared" ca="1" si="121"/>
        <v/>
      </c>
      <c r="TP33" s="24" t="str">
        <f t="shared" ca="1" si="121"/>
        <v/>
      </c>
      <c r="TQ33" s="24" t="str">
        <f t="shared" ca="1" si="121"/>
        <v/>
      </c>
      <c r="TR33" s="24" t="str">
        <f t="shared" ca="1" si="121"/>
        <v/>
      </c>
      <c r="TS33" s="24" t="str">
        <f t="shared" ca="1" si="121"/>
        <v/>
      </c>
      <c r="TT33" s="24" t="str">
        <f t="shared" ca="1" si="122"/>
        <v/>
      </c>
      <c r="TU33" s="24" t="str">
        <f t="shared" ca="1" si="122"/>
        <v/>
      </c>
      <c r="TV33" s="24" t="str">
        <f t="shared" ca="1" si="122"/>
        <v/>
      </c>
      <c r="TW33" s="24" t="str">
        <f t="shared" ca="1" si="122"/>
        <v/>
      </c>
      <c r="TX33" s="24" t="str">
        <f t="shared" ca="1" si="122"/>
        <v/>
      </c>
      <c r="TY33" s="24" t="str">
        <f t="shared" ca="1" si="122"/>
        <v/>
      </c>
      <c r="TZ33" s="24" t="str">
        <f t="shared" ca="1" si="122"/>
        <v/>
      </c>
      <c r="UA33" s="24" t="str">
        <f t="shared" ca="1" si="122"/>
        <v/>
      </c>
      <c r="UB33" s="24" t="str">
        <f t="shared" ca="1" si="122"/>
        <v/>
      </c>
      <c r="UC33" s="24" t="str">
        <f t="shared" ca="1" si="122"/>
        <v/>
      </c>
      <c r="UD33" s="24" t="str">
        <f t="shared" ca="1" si="123"/>
        <v/>
      </c>
      <c r="UE33" s="24" t="str">
        <f t="shared" ca="1" si="123"/>
        <v/>
      </c>
      <c r="UF33" s="24" t="str">
        <f t="shared" ca="1" si="123"/>
        <v/>
      </c>
      <c r="UG33" s="24" t="str">
        <f t="shared" ca="1" si="123"/>
        <v/>
      </c>
      <c r="UH33" s="24" t="str">
        <f t="shared" ca="1" si="123"/>
        <v/>
      </c>
      <c r="UI33" s="24" t="str">
        <f t="shared" ca="1" si="123"/>
        <v/>
      </c>
      <c r="UJ33" s="24" t="str">
        <f t="shared" ca="1" si="123"/>
        <v/>
      </c>
      <c r="UK33" s="24" t="str">
        <f t="shared" ca="1" si="123"/>
        <v/>
      </c>
      <c r="UL33" s="24" t="str">
        <f t="shared" ca="1" si="123"/>
        <v/>
      </c>
      <c r="UM33" s="24" t="str">
        <f t="shared" ca="1" si="123"/>
        <v/>
      </c>
      <c r="UN33" s="24" t="str">
        <f t="shared" ca="1" si="124"/>
        <v/>
      </c>
      <c r="UO33" s="24" t="str">
        <f t="shared" ca="1" si="124"/>
        <v/>
      </c>
      <c r="UP33" s="24" t="str">
        <f t="shared" ca="1" si="124"/>
        <v/>
      </c>
      <c r="UQ33" s="24" t="str">
        <f t="shared" ca="1" si="124"/>
        <v/>
      </c>
      <c r="UR33" s="24" t="str">
        <f t="shared" ca="1" si="124"/>
        <v/>
      </c>
      <c r="US33" s="24" t="str">
        <f t="shared" ca="1" si="124"/>
        <v/>
      </c>
      <c r="UT33" s="24" t="str">
        <f t="shared" ca="1" si="124"/>
        <v/>
      </c>
      <c r="UU33" s="24" t="str">
        <f t="shared" ca="1" si="124"/>
        <v/>
      </c>
      <c r="UV33" s="24" t="str">
        <f t="shared" ca="1" si="124"/>
        <v/>
      </c>
      <c r="UW33" s="24" t="str">
        <f t="shared" ca="1" si="124"/>
        <v/>
      </c>
      <c r="UX33" s="24" t="str">
        <f t="shared" ca="1" si="125"/>
        <v/>
      </c>
      <c r="UY33" s="24" t="str">
        <f t="shared" ca="1" si="125"/>
        <v/>
      </c>
      <c r="UZ33" s="24" t="str">
        <f t="shared" ca="1" si="125"/>
        <v/>
      </c>
      <c r="VA33" s="24" t="str">
        <f t="shared" ca="1" si="125"/>
        <v/>
      </c>
      <c r="VB33" s="24" t="str">
        <f t="shared" ca="1" si="125"/>
        <v/>
      </c>
      <c r="VC33" s="24" t="str">
        <f t="shared" ca="1" si="125"/>
        <v/>
      </c>
      <c r="VD33" s="24" t="str">
        <f t="shared" ca="1" si="125"/>
        <v/>
      </c>
      <c r="VE33" s="24" t="str">
        <f t="shared" ca="1" si="125"/>
        <v/>
      </c>
      <c r="VF33" s="24" t="str">
        <f t="shared" ca="1" si="125"/>
        <v/>
      </c>
      <c r="VG33" s="24" t="str">
        <f t="shared" ca="1" si="125"/>
        <v/>
      </c>
      <c r="VH33" s="24" t="str">
        <f t="shared" ca="1" si="126"/>
        <v/>
      </c>
      <c r="VI33" s="24" t="str">
        <f t="shared" ca="1" si="126"/>
        <v/>
      </c>
      <c r="VJ33" s="24" t="str">
        <f t="shared" ca="1" si="126"/>
        <v/>
      </c>
      <c r="VK33" s="24" t="str">
        <f t="shared" ca="1" si="126"/>
        <v/>
      </c>
      <c r="VL33" s="24" t="str">
        <f t="shared" ca="1" si="126"/>
        <v/>
      </c>
      <c r="VM33" s="24" t="str">
        <f t="shared" ca="1" si="126"/>
        <v/>
      </c>
      <c r="VN33" s="24" t="str">
        <f t="shared" ca="1" si="126"/>
        <v/>
      </c>
      <c r="VO33" s="24" t="str">
        <f t="shared" ca="1" si="126"/>
        <v/>
      </c>
      <c r="VP33" s="24" t="str">
        <f t="shared" ca="1" si="126"/>
        <v/>
      </c>
      <c r="VQ33" s="24" t="str">
        <f t="shared" ca="1" si="126"/>
        <v/>
      </c>
      <c r="VR33" s="24" t="str">
        <f t="shared" ca="1" si="126"/>
        <v/>
      </c>
      <c r="VS33" s="24" t="str">
        <f t="shared" ca="1" si="126"/>
        <v/>
      </c>
    </row>
    <row r="34" spans="1:591" s="17" customFormat="1" ht="16.2" customHeight="1" x14ac:dyDescent="0.3">
      <c r="A34" s="81"/>
      <c r="B34" s="56" t="str">
        <f>'CoS Tracker'!$AI$7</f>
        <v>3. QS Cost Certification</v>
      </c>
      <c r="C34" s="19" t="s">
        <v>72</v>
      </c>
      <c r="D34" s="19"/>
      <c r="E34" s="27">
        <v>1.1000000000000001</v>
      </c>
      <c r="F34" s="26">
        <f>G33</f>
        <v>46085</v>
      </c>
      <c r="G34" s="26">
        <f>'CoS Tracker'!AI10</f>
        <v>46177</v>
      </c>
      <c r="H34" s="25">
        <f>Milestones43524[[#This Row],[End]]-Milestones43524[[#This Row],[Start]]</f>
        <v>92</v>
      </c>
      <c r="I34" s="19"/>
      <c r="J34" s="24" t="str">
        <f t="shared" ca="1" si="69"/>
        <v/>
      </c>
      <c r="K34" s="24" t="str">
        <f t="shared" ca="1" si="69"/>
        <v/>
      </c>
      <c r="L34" s="24" t="str">
        <f t="shared" ca="1" si="69"/>
        <v/>
      </c>
      <c r="M34" s="24" t="str">
        <f t="shared" ca="1" si="69"/>
        <v/>
      </c>
      <c r="N34" s="24" t="str">
        <f t="shared" ca="1" si="69"/>
        <v/>
      </c>
      <c r="O34" s="24" t="str">
        <f t="shared" ca="1" si="69"/>
        <v/>
      </c>
      <c r="P34" s="24" t="str">
        <f t="shared" ca="1" si="69"/>
        <v/>
      </c>
      <c r="Q34" s="24" t="str">
        <f t="shared" ca="1" si="69"/>
        <v/>
      </c>
      <c r="R34" s="24" t="str">
        <f t="shared" ca="1" si="69"/>
        <v/>
      </c>
      <c r="S34" s="24" t="str">
        <f t="shared" ca="1" si="69"/>
        <v/>
      </c>
      <c r="T34" s="24" t="str">
        <f t="shared" ca="1" si="70"/>
        <v/>
      </c>
      <c r="U34" s="24" t="str">
        <f t="shared" ca="1" si="70"/>
        <v/>
      </c>
      <c r="V34" s="24" t="str">
        <f t="shared" ca="1" si="70"/>
        <v/>
      </c>
      <c r="W34" s="24" t="str">
        <f t="shared" ca="1" si="70"/>
        <v/>
      </c>
      <c r="X34" s="24" t="str">
        <f t="shared" ca="1" si="70"/>
        <v/>
      </c>
      <c r="Y34" s="24" t="str">
        <f t="shared" ca="1" si="70"/>
        <v/>
      </c>
      <c r="Z34" s="24" t="str">
        <f t="shared" ca="1" si="70"/>
        <v/>
      </c>
      <c r="AA34" s="24" t="str">
        <f t="shared" ca="1" si="70"/>
        <v/>
      </c>
      <c r="AB34" s="24" t="str">
        <f t="shared" ca="1" si="70"/>
        <v/>
      </c>
      <c r="AC34" s="24" t="str">
        <f t="shared" ca="1" si="70"/>
        <v/>
      </c>
      <c r="AD34" s="24" t="str">
        <f t="shared" ca="1" si="71"/>
        <v/>
      </c>
      <c r="AE34" s="24" t="str">
        <f t="shared" ca="1" si="71"/>
        <v/>
      </c>
      <c r="AF34" s="24" t="str">
        <f t="shared" ca="1" si="71"/>
        <v/>
      </c>
      <c r="AG34" s="24" t="str">
        <f t="shared" ca="1" si="71"/>
        <v/>
      </c>
      <c r="AH34" s="24" t="str">
        <f t="shared" ca="1" si="71"/>
        <v/>
      </c>
      <c r="AI34" s="24" t="str">
        <f t="shared" ca="1" si="71"/>
        <v/>
      </c>
      <c r="AJ34" s="24" t="str">
        <f t="shared" ca="1" si="71"/>
        <v/>
      </c>
      <c r="AK34" s="24" t="str">
        <f t="shared" ca="1" si="71"/>
        <v/>
      </c>
      <c r="AL34" s="24" t="str">
        <f t="shared" ca="1" si="71"/>
        <v/>
      </c>
      <c r="AM34" s="24" t="str">
        <f t="shared" ca="1" si="71"/>
        <v/>
      </c>
      <c r="AN34" s="24" t="str">
        <f t="shared" ca="1" si="72"/>
        <v/>
      </c>
      <c r="AO34" s="24" t="str">
        <f t="shared" ca="1" si="72"/>
        <v/>
      </c>
      <c r="AP34" s="24" t="str">
        <f t="shared" ca="1" si="72"/>
        <v/>
      </c>
      <c r="AQ34" s="24" t="str">
        <f t="shared" ca="1" si="72"/>
        <v/>
      </c>
      <c r="AR34" s="24" t="str">
        <f t="shared" ca="1" si="72"/>
        <v/>
      </c>
      <c r="AS34" s="24" t="str">
        <f t="shared" ca="1" si="72"/>
        <v/>
      </c>
      <c r="AT34" s="24" t="str">
        <f t="shared" ca="1" si="72"/>
        <v/>
      </c>
      <c r="AU34" s="24" t="str">
        <f t="shared" ca="1" si="72"/>
        <v/>
      </c>
      <c r="AV34" s="24" t="str">
        <f t="shared" ca="1" si="72"/>
        <v/>
      </c>
      <c r="AW34" s="24" t="str">
        <f t="shared" ca="1" si="72"/>
        <v/>
      </c>
      <c r="AX34" s="24" t="str">
        <f t="shared" ca="1" si="73"/>
        <v/>
      </c>
      <c r="AY34" s="24" t="str">
        <f t="shared" ca="1" si="73"/>
        <v/>
      </c>
      <c r="AZ34" s="24" t="str">
        <f t="shared" ca="1" si="73"/>
        <v/>
      </c>
      <c r="BA34" s="24" t="str">
        <f t="shared" ca="1" si="73"/>
        <v/>
      </c>
      <c r="BB34" s="24" t="str">
        <f t="shared" ca="1" si="73"/>
        <v/>
      </c>
      <c r="BC34" s="24" t="str">
        <f t="shared" ca="1" si="73"/>
        <v/>
      </c>
      <c r="BD34" s="24" t="str">
        <f t="shared" ca="1" si="73"/>
        <v/>
      </c>
      <c r="BE34" s="24" t="str">
        <f t="shared" ca="1" si="73"/>
        <v/>
      </c>
      <c r="BF34" s="24" t="str">
        <f t="shared" ca="1" si="73"/>
        <v/>
      </c>
      <c r="BG34" s="24" t="str">
        <f t="shared" ca="1" si="73"/>
        <v/>
      </c>
      <c r="BH34" s="24" t="str">
        <f t="shared" ca="1" si="74"/>
        <v/>
      </c>
      <c r="BI34" s="24" t="str">
        <f t="shared" ca="1" si="74"/>
        <v/>
      </c>
      <c r="BJ34" s="24" t="str">
        <f t="shared" ca="1" si="74"/>
        <v/>
      </c>
      <c r="BK34" s="24" t="str">
        <f t="shared" ca="1" si="74"/>
        <v/>
      </c>
      <c r="BL34" s="24" t="str">
        <f t="shared" ca="1" si="74"/>
        <v/>
      </c>
      <c r="BM34" s="24" t="str">
        <f t="shared" ca="1" si="74"/>
        <v/>
      </c>
      <c r="BN34" s="24" t="str">
        <f t="shared" ca="1" si="74"/>
        <v/>
      </c>
      <c r="BO34" s="24" t="str">
        <f t="shared" ca="1" si="74"/>
        <v/>
      </c>
      <c r="BP34" s="24" t="str">
        <f t="shared" ca="1" si="74"/>
        <v/>
      </c>
      <c r="BQ34" s="24" t="str">
        <f t="shared" ca="1" si="74"/>
        <v/>
      </c>
      <c r="BR34" s="24" t="str">
        <f t="shared" ca="1" si="75"/>
        <v/>
      </c>
      <c r="BS34" s="24" t="str">
        <f t="shared" ca="1" si="75"/>
        <v/>
      </c>
      <c r="BT34" s="24" t="str">
        <f t="shared" ca="1" si="75"/>
        <v/>
      </c>
      <c r="BU34" s="24" t="str">
        <f t="shared" ca="1" si="75"/>
        <v/>
      </c>
      <c r="BV34" s="24" t="str">
        <f t="shared" ca="1" si="75"/>
        <v/>
      </c>
      <c r="BW34" s="24" t="str">
        <f t="shared" ca="1" si="75"/>
        <v/>
      </c>
      <c r="BX34" s="24" t="str">
        <f t="shared" ca="1" si="75"/>
        <v/>
      </c>
      <c r="BY34" s="24" t="str">
        <f t="shared" ca="1" si="75"/>
        <v/>
      </c>
      <c r="BZ34" s="24" t="str">
        <f t="shared" ca="1" si="75"/>
        <v/>
      </c>
      <c r="CA34" s="24" t="str">
        <f t="shared" ca="1" si="75"/>
        <v/>
      </c>
      <c r="CB34" s="24" t="str">
        <f t="shared" ca="1" si="76"/>
        <v/>
      </c>
      <c r="CC34" s="24" t="str">
        <f t="shared" ca="1" si="76"/>
        <v/>
      </c>
      <c r="CD34" s="24" t="str">
        <f t="shared" ca="1" si="76"/>
        <v/>
      </c>
      <c r="CE34" s="24" t="str">
        <f t="shared" ca="1" si="76"/>
        <v/>
      </c>
      <c r="CF34" s="24" t="str">
        <f t="shared" ca="1" si="76"/>
        <v/>
      </c>
      <c r="CG34" s="24" t="str">
        <f t="shared" ca="1" si="76"/>
        <v/>
      </c>
      <c r="CH34" s="24" t="str">
        <f t="shared" ca="1" si="76"/>
        <v/>
      </c>
      <c r="CI34" s="24" t="str">
        <f t="shared" ca="1" si="76"/>
        <v/>
      </c>
      <c r="CJ34" s="24" t="str">
        <f t="shared" ca="1" si="76"/>
        <v/>
      </c>
      <c r="CK34" s="24" t="str">
        <f t="shared" ca="1" si="76"/>
        <v/>
      </c>
      <c r="CL34" s="24" t="str">
        <f t="shared" ca="1" si="77"/>
        <v/>
      </c>
      <c r="CM34" s="24" t="str">
        <f t="shared" ca="1" si="77"/>
        <v/>
      </c>
      <c r="CN34" s="24" t="str">
        <f t="shared" ca="1" si="77"/>
        <v/>
      </c>
      <c r="CO34" s="24" t="str">
        <f t="shared" ca="1" si="77"/>
        <v/>
      </c>
      <c r="CP34" s="24" t="str">
        <f t="shared" ca="1" si="77"/>
        <v/>
      </c>
      <c r="CQ34" s="24" t="str">
        <f t="shared" ca="1" si="77"/>
        <v/>
      </c>
      <c r="CR34" s="24" t="str">
        <f t="shared" ca="1" si="77"/>
        <v/>
      </c>
      <c r="CS34" s="24" t="str">
        <f t="shared" ca="1" si="77"/>
        <v/>
      </c>
      <c r="CT34" s="24" t="str">
        <f t="shared" ca="1" si="77"/>
        <v/>
      </c>
      <c r="CU34" s="24" t="str">
        <f t="shared" ca="1" si="77"/>
        <v/>
      </c>
      <c r="CV34" s="24" t="str">
        <f t="shared" ca="1" si="78"/>
        <v/>
      </c>
      <c r="CW34" s="24" t="str">
        <f t="shared" ca="1" si="78"/>
        <v/>
      </c>
      <c r="CX34" s="24" t="str">
        <f t="shared" ca="1" si="78"/>
        <v/>
      </c>
      <c r="CY34" s="24" t="str">
        <f t="shared" ca="1" si="78"/>
        <v/>
      </c>
      <c r="CZ34" s="24" t="str">
        <f t="shared" ca="1" si="78"/>
        <v/>
      </c>
      <c r="DA34" s="24" t="str">
        <f t="shared" ca="1" si="78"/>
        <v/>
      </c>
      <c r="DB34" s="24" t="str">
        <f t="shared" ca="1" si="78"/>
        <v/>
      </c>
      <c r="DC34" s="24" t="str">
        <f t="shared" ca="1" si="78"/>
        <v/>
      </c>
      <c r="DD34" s="24" t="str">
        <f t="shared" ca="1" si="78"/>
        <v/>
      </c>
      <c r="DE34" s="24" t="str">
        <f t="shared" ca="1" si="78"/>
        <v/>
      </c>
      <c r="DF34" s="24" t="str">
        <f t="shared" ca="1" si="79"/>
        <v/>
      </c>
      <c r="DG34" s="24" t="str">
        <f t="shared" ca="1" si="79"/>
        <v/>
      </c>
      <c r="DH34" s="24" t="str">
        <f t="shared" ca="1" si="79"/>
        <v/>
      </c>
      <c r="DI34" s="24" t="str">
        <f t="shared" ca="1" si="79"/>
        <v/>
      </c>
      <c r="DJ34" s="24" t="str">
        <f t="shared" ca="1" si="79"/>
        <v/>
      </c>
      <c r="DK34" s="24" t="str">
        <f t="shared" ca="1" si="79"/>
        <v/>
      </c>
      <c r="DL34" s="24" t="str">
        <f t="shared" ca="1" si="79"/>
        <v/>
      </c>
      <c r="DM34" s="24" t="str">
        <f t="shared" ca="1" si="79"/>
        <v/>
      </c>
      <c r="DN34" s="24" t="str">
        <f t="shared" ca="1" si="79"/>
        <v/>
      </c>
      <c r="DO34" s="24" t="str">
        <f t="shared" ca="1" si="79"/>
        <v/>
      </c>
      <c r="DP34" s="24" t="str">
        <f t="shared" ca="1" si="80"/>
        <v/>
      </c>
      <c r="DQ34" s="24" t="str">
        <f t="shared" ca="1" si="80"/>
        <v/>
      </c>
      <c r="DR34" s="24" t="str">
        <f t="shared" ca="1" si="80"/>
        <v/>
      </c>
      <c r="DS34" s="24" t="str">
        <f t="shared" ca="1" si="80"/>
        <v/>
      </c>
      <c r="DT34" s="24" t="str">
        <f t="shared" ca="1" si="80"/>
        <v/>
      </c>
      <c r="DU34" s="24" t="str">
        <f t="shared" ca="1" si="80"/>
        <v/>
      </c>
      <c r="DV34" s="24" t="str">
        <f t="shared" ca="1" si="80"/>
        <v/>
      </c>
      <c r="DW34" s="24" t="str">
        <f t="shared" ca="1" si="80"/>
        <v/>
      </c>
      <c r="DX34" s="24" t="str">
        <f t="shared" ca="1" si="80"/>
        <v/>
      </c>
      <c r="DY34" s="24" t="str">
        <f t="shared" ca="1" si="80"/>
        <v/>
      </c>
      <c r="DZ34" s="24" t="str">
        <f t="shared" ca="1" si="81"/>
        <v/>
      </c>
      <c r="EA34" s="24" t="str">
        <f t="shared" ca="1" si="81"/>
        <v/>
      </c>
      <c r="EB34" s="24" t="str">
        <f t="shared" ca="1" si="81"/>
        <v/>
      </c>
      <c r="EC34" s="24" t="str">
        <f t="shared" ca="1" si="81"/>
        <v/>
      </c>
      <c r="ED34" s="24" t="str">
        <f t="shared" ca="1" si="81"/>
        <v/>
      </c>
      <c r="EE34" s="24" t="str">
        <f t="shared" ca="1" si="81"/>
        <v/>
      </c>
      <c r="EF34" s="24" t="str">
        <f t="shared" ca="1" si="81"/>
        <v/>
      </c>
      <c r="EG34" s="24" t="str">
        <f t="shared" ca="1" si="81"/>
        <v/>
      </c>
      <c r="EH34" s="24" t="str">
        <f t="shared" ca="1" si="81"/>
        <v/>
      </c>
      <c r="EI34" s="24" t="str">
        <f t="shared" ca="1" si="81"/>
        <v/>
      </c>
      <c r="EJ34" s="24" t="str">
        <f t="shared" ca="1" si="82"/>
        <v/>
      </c>
      <c r="EK34" s="24" t="str">
        <f t="shared" ca="1" si="82"/>
        <v/>
      </c>
      <c r="EL34" s="24" t="str">
        <f t="shared" ca="1" si="82"/>
        <v/>
      </c>
      <c r="EM34" s="24" t="str">
        <f t="shared" ca="1" si="82"/>
        <v/>
      </c>
      <c r="EN34" s="24" t="str">
        <f t="shared" ca="1" si="82"/>
        <v/>
      </c>
      <c r="EO34" s="24" t="str">
        <f t="shared" ca="1" si="82"/>
        <v/>
      </c>
      <c r="EP34" s="24" t="str">
        <f t="shared" ca="1" si="82"/>
        <v/>
      </c>
      <c r="EQ34" s="24" t="str">
        <f t="shared" ca="1" si="82"/>
        <v/>
      </c>
      <c r="ER34" s="24" t="str">
        <f t="shared" ca="1" si="82"/>
        <v/>
      </c>
      <c r="ES34" s="24" t="str">
        <f t="shared" ca="1" si="82"/>
        <v/>
      </c>
      <c r="ET34" s="24" t="str">
        <f t="shared" ca="1" si="83"/>
        <v/>
      </c>
      <c r="EU34" s="24" t="str">
        <f t="shared" ca="1" si="83"/>
        <v/>
      </c>
      <c r="EV34" s="24" t="str">
        <f t="shared" ca="1" si="83"/>
        <v/>
      </c>
      <c r="EW34" s="24" t="str">
        <f t="shared" ca="1" si="83"/>
        <v/>
      </c>
      <c r="EX34" s="24" t="str">
        <f t="shared" ca="1" si="83"/>
        <v/>
      </c>
      <c r="EY34" s="24" t="str">
        <f t="shared" ca="1" si="83"/>
        <v/>
      </c>
      <c r="EZ34" s="24" t="str">
        <f t="shared" ca="1" si="83"/>
        <v/>
      </c>
      <c r="FA34" s="24" t="str">
        <f t="shared" ca="1" si="83"/>
        <v/>
      </c>
      <c r="FB34" s="24" t="str">
        <f t="shared" ca="1" si="83"/>
        <v/>
      </c>
      <c r="FC34" s="24" t="str">
        <f t="shared" ca="1" si="83"/>
        <v/>
      </c>
      <c r="FD34" s="24" t="str">
        <f t="shared" ca="1" si="84"/>
        <v/>
      </c>
      <c r="FE34" s="24" t="str">
        <f t="shared" ca="1" si="84"/>
        <v/>
      </c>
      <c r="FF34" s="24" t="str">
        <f t="shared" ca="1" si="84"/>
        <v/>
      </c>
      <c r="FG34" s="24" t="str">
        <f t="shared" ca="1" si="84"/>
        <v/>
      </c>
      <c r="FH34" s="24" t="str">
        <f t="shared" ca="1" si="84"/>
        <v/>
      </c>
      <c r="FI34" s="24" t="str">
        <f t="shared" ca="1" si="84"/>
        <v/>
      </c>
      <c r="FJ34" s="24" t="str">
        <f t="shared" ca="1" si="84"/>
        <v/>
      </c>
      <c r="FK34" s="24" t="str">
        <f t="shared" ca="1" si="84"/>
        <v/>
      </c>
      <c r="FL34" s="24" t="str">
        <f t="shared" ca="1" si="84"/>
        <v/>
      </c>
      <c r="FM34" s="24" t="str">
        <f t="shared" ca="1" si="84"/>
        <v/>
      </c>
      <c r="FN34" s="24" t="str">
        <f t="shared" ca="1" si="85"/>
        <v/>
      </c>
      <c r="FO34" s="24" t="str">
        <f t="shared" ca="1" si="85"/>
        <v/>
      </c>
      <c r="FP34" s="24" t="str">
        <f t="shared" ca="1" si="85"/>
        <v/>
      </c>
      <c r="FQ34" s="24" t="str">
        <f t="shared" ca="1" si="85"/>
        <v/>
      </c>
      <c r="FR34" s="24" t="str">
        <f t="shared" ca="1" si="85"/>
        <v/>
      </c>
      <c r="FS34" s="24" t="str">
        <f t="shared" ca="1" si="85"/>
        <v/>
      </c>
      <c r="FT34" s="24" t="str">
        <f t="shared" ca="1" si="85"/>
        <v/>
      </c>
      <c r="FU34" s="24" t="str">
        <f t="shared" ca="1" si="85"/>
        <v/>
      </c>
      <c r="FV34" s="24" t="str">
        <f t="shared" ca="1" si="85"/>
        <v/>
      </c>
      <c r="FW34" s="24" t="str">
        <f t="shared" ca="1" si="85"/>
        <v/>
      </c>
      <c r="FX34" s="24" t="str">
        <f t="shared" ca="1" si="86"/>
        <v/>
      </c>
      <c r="FY34" s="24" t="str">
        <f t="shared" ca="1" si="86"/>
        <v/>
      </c>
      <c r="FZ34" s="24" t="str">
        <f t="shared" ca="1" si="86"/>
        <v/>
      </c>
      <c r="GA34" s="24" t="str">
        <f t="shared" ca="1" si="86"/>
        <v/>
      </c>
      <c r="GB34" s="24" t="str">
        <f t="shared" ca="1" si="86"/>
        <v/>
      </c>
      <c r="GC34" s="24" t="str">
        <f t="shared" ca="1" si="86"/>
        <v/>
      </c>
      <c r="GD34" s="24" t="str">
        <f t="shared" ca="1" si="86"/>
        <v/>
      </c>
      <c r="GE34" s="24" t="str">
        <f t="shared" ca="1" si="86"/>
        <v/>
      </c>
      <c r="GF34" s="24" t="str">
        <f t="shared" ca="1" si="86"/>
        <v/>
      </c>
      <c r="GG34" s="24" t="str">
        <f t="shared" ca="1" si="86"/>
        <v/>
      </c>
      <c r="GH34" s="24" t="str">
        <f t="shared" ca="1" si="87"/>
        <v/>
      </c>
      <c r="GI34" s="24" t="str">
        <f t="shared" ca="1" si="87"/>
        <v/>
      </c>
      <c r="GJ34" s="24" t="str">
        <f t="shared" ca="1" si="87"/>
        <v/>
      </c>
      <c r="GK34" s="24" t="str">
        <f t="shared" ca="1" si="87"/>
        <v/>
      </c>
      <c r="GL34" s="24" t="str">
        <f t="shared" ca="1" si="87"/>
        <v/>
      </c>
      <c r="GM34" s="24" t="str">
        <f t="shared" ca="1" si="87"/>
        <v/>
      </c>
      <c r="GN34" s="24" t="str">
        <f t="shared" ca="1" si="87"/>
        <v/>
      </c>
      <c r="GO34" s="24" t="str">
        <f t="shared" ca="1" si="87"/>
        <v/>
      </c>
      <c r="GP34" s="24" t="str">
        <f t="shared" ca="1" si="87"/>
        <v/>
      </c>
      <c r="GQ34" s="24" t="str">
        <f t="shared" ca="1" si="87"/>
        <v/>
      </c>
      <c r="GR34" s="24" t="str">
        <f t="shared" ca="1" si="88"/>
        <v/>
      </c>
      <c r="GS34" s="24" t="str">
        <f t="shared" ca="1" si="88"/>
        <v/>
      </c>
      <c r="GT34" s="24" t="str">
        <f t="shared" ca="1" si="88"/>
        <v/>
      </c>
      <c r="GU34" s="24" t="str">
        <f t="shared" ca="1" si="88"/>
        <v/>
      </c>
      <c r="GV34" s="24" t="str">
        <f t="shared" ca="1" si="88"/>
        <v/>
      </c>
      <c r="GW34" s="24" t="str">
        <f t="shared" ca="1" si="88"/>
        <v/>
      </c>
      <c r="GX34" s="24" t="str">
        <f t="shared" ca="1" si="88"/>
        <v/>
      </c>
      <c r="GY34" s="24" t="str">
        <f t="shared" ca="1" si="88"/>
        <v/>
      </c>
      <c r="GZ34" s="24" t="str">
        <f t="shared" ca="1" si="88"/>
        <v/>
      </c>
      <c r="HA34" s="24" t="str">
        <f t="shared" ca="1" si="88"/>
        <v/>
      </c>
      <c r="HB34" s="24" t="str">
        <f t="shared" ca="1" si="89"/>
        <v/>
      </c>
      <c r="HC34" s="24" t="str">
        <f t="shared" ca="1" si="89"/>
        <v/>
      </c>
      <c r="HD34" s="24" t="str">
        <f t="shared" ca="1" si="89"/>
        <v/>
      </c>
      <c r="HE34" s="24" t="str">
        <f t="shared" ca="1" si="89"/>
        <v/>
      </c>
      <c r="HF34" s="24" t="str">
        <f t="shared" ca="1" si="89"/>
        <v/>
      </c>
      <c r="HG34" s="24" t="str">
        <f t="shared" ca="1" si="89"/>
        <v/>
      </c>
      <c r="HH34" s="24" t="str">
        <f t="shared" ca="1" si="89"/>
        <v/>
      </c>
      <c r="HI34" s="24" t="str">
        <f t="shared" ca="1" si="89"/>
        <v/>
      </c>
      <c r="HJ34" s="24" t="str">
        <f t="shared" ca="1" si="89"/>
        <v/>
      </c>
      <c r="HK34" s="24" t="str">
        <f t="shared" ca="1" si="89"/>
        <v/>
      </c>
      <c r="HL34" s="24" t="str">
        <f t="shared" ca="1" si="90"/>
        <v/>
      </c>
      <c r="HM34" s="24" t="str">
        <f t="shared" ca="1" si="90"/>
        <v/>
      </c>
      <c r="HN34" s="24" t="str">
        <f t="shared" ca="1" si="90"/>
        <v/>
      </c>
      <c r="HO34" s="24" t="str">
        <f t="shared" ca="1" si="90"/>
        <v/>
      </c>
      <c r="HP34" s="24" t="str">
        <f t="shared" ca="1" si="90"/>
        <v/>
      </c>
      <c r="HQ34" s="24" t="str">
        <f t="shared" ca="1" si="90"/>
        <v/>
      </c>
      <c r="HR34" s="24" t="str">
        <f t="shared" ca="1" si="90"/>
        <v/>
      </c>
      <c r="HS34" s="24" t="str">
        <f t="shared" ca="1" si="90"/>
        <v/>
      </c>
      <c r="HT34" s="24" t="str">
        <f t="shared" ca="1" si="90"/>
        <v/>
      </c>
      <c r="HU34" s="24" t="str">
        <f t="shared" ca="1" si="90"/>
        <v/>
      </c>
      <c r="HV34" s="24" t="str">
        <f t="shared" ca="1" si="91"/>
        <v/>
      </c>
      <c r="HW34" s="24" t="str">
        <f t="shared" ca="1" si="91"/>
        <v/>
      </c>
      <c r="HX34" s="24" t="str">
        <f t="shared" ca="1" si="91"/>
        <v/>
      </c>
      <c r="HY34" s="24" t="str">
        <f t="shared" ca="1" si="91"/>
        <v/>
      </c>
      <c r="HZ34" s="24" t="str">
        <f t="shared" ca="1" si="91"/>
        <v/>
      </c>
      <c r="IA34" s="24" t="str">
        <f t="shared" ca="1" si="91"/>
        <v/>
      </c>
      <c r="IB34" s="24" t="str">
        <f t="shared" ca="1" si="91"/>
        <v/>
      </c>
      <c r="IC34" s="24" t="str">
        <f t="shared" ca="1" si="91"/>
        <v/>
      </c>
      <c r="ID34" s="24" t="str">
        <f t="shared" ca="1" si="91"/>
        <v/>
      </c>
      <c r="IE34" s="24" t="str">
        <f t="shared" ca="1" si="91"/>
        <v/>
      </c>
      <c r="IF34" s="24" t="str">
        <f t="shared" ca="1" si="92"/>
        <v/>
      </c>
      <c r="IG34" s="24" t="str">
        <f t="shared" ca="1" si="92"/>
        <v/>
      </c>
      <c r="IH34" s="24" t="str">
        <f t="shared" ca="1" si="92"/>
        <v/>
      </c>
      <c r="II34" s="24" t="str">
        <f t="shared" ca="1" si="92"/>
        <v/>
      </c>
      <c r="IJ34" s="24" t="str">
        <f t="shared" ca="1" si="92"/>
        <v/>
      </c>
      <c r="IK34" s="24" t="str">
        <f t="shared" ca="1" si="92"/>
        <v/>
      </c>
      <c r="IL34" s="24" t="str">
        <f t="shared" ca="1" si="92"/>
        <v/>
      </c>
      <c r="IM34" s="24" t="str">
        <f t="shared" ca="1" si="92"/>
        <v/>
      </c>
      <c r="IN34" s="24" t="str">
        <f t="shared" ca="1" si="92"/>
        <v/>
      </c>
      <c r="IO34" s="24" t="str">
        <f t="shared" ca="1" si="92"/>
        <v/>
      </c>
      <c r="IP34" s="24" t="str">
        <f t="shared" ca="1" si="93"/>
        <v/>
      </c>
      <c r="IQ34" s="24" t="str">
        <f t="shared" ca="1" si="93"/>
        <v/>
      </c>
      <c r="IR34" s="24" t="str">
        <f t="shared" ca="1" si="93"/>
        <v/>
      </c>
      <c r="IS34" s="24" t="str">
        <f t="shared" ca="1" si="93"/>
        <v/>
      </c>
      <c r="IT34" s="24" t="str">
        <f t="shared" ca="1" si="93"/>
        <v/>
      </c>
      <c r="IU34" s="24" t="str">
        <f t="shared" ca="1" si="93"/>
        <v/>
      </c>
      <c r="IV34" s="24" t="str">
        <f t="shared" ca="1" si="93"/>
        <v/>
      </c>
      <c r="IW34" s="24" t="str">
        <f t="shared" ca="1" si="93"/>
        <v/>
      </c>
      <c r="IX34" s="24" t="str">
        <f t="shared" ca="1" si="93"/>
        <v/>
      </c>
      <c r="IY34" s="24" t="str">
        <f t="shared" ca="1" si="93"/>
        <v/>
      </c>
      <c r="IZ34" s="24" t="str">
        <f t="shared" ca="1" si="94"/>
        <v/>
      </c>
      <c r="JA34" s="24" t="str">
        <f t="shared" ca="1" si="94"/>
        <v/>
      </c>
      <c r="JB34" s="24" t="str">
        <f t="shared" ca="1" si="94"/>
        <v/>
      </c>
      <c r="JC34" s="24" t="str">
        <f t="shared" ca="1" si="94"/>
        <v/>
      </c>
      <c r="JD34" s="24" t="str">
        <f t="shared" ca="1" si="94"/>
        <v/>
      </c>
      <c r="JE34" s="24" t="str">
        <f t="shared" ca="1" si="94"/>
        <v/>
      </c>
      <c r="JF34" s="24" t="str">
        <f t="shared" ca="1" si="94"/>
        <v/>
      </c>
      <c r="JG34" s="24" t="str">
        <f t="shared" ca="1" si="94"/>
        <v/>
      </c>
      <c r="JH34" s="24" t="str">
        <f t="shared" ca="1" si="94"/>
        <v/>
      </c>
      <c r="JI34" s="24" t="str">
        <f t="shared" ca="1" si="94"/>
        <v/>
      </c>
      <c r="JJ34" s="24" t="str">
        <f t="shared" ca="1" si="95"/>
        <v/>
      </c>
      <c r="JK34" s="24" t="str">
        <f t="shared" ca="1" si="95"/>
        <v/>
      </c>
      <c r="JL34" s="24" t="str">
        <f t="shared" ca="1" si="95"/>
        <v/>
      </c>
      <c r="JM34" s="24" t="str">
        <f t="shared" ca="1" si="95"/>
        <v/>
      </c>
      <c r="JN34" s="24" t="str">
        <f t="shared" ca="1" si="95"/>
        <v/>
      </c>
      <c r="JO34" s="24" t="str">
        <f t="shared" ca="1" si="95"/>
        <v/>
      </c>
      <c r="JP34" s="24" t="str">
        <f t="shared" ca="1" si="95"/>
        <v/>
      </c>
      <c r="JQ34" s="24" t="str">
        <f t="shared" ca="1" si="95"/>
        <v/>
      </c>
      <c r="JR34" s="24" t="str">
        <f t="shared" ca="1" si="95"/>
        <v/>
      </c>
      <c r="JS34" s="24" t="str">
        <f t="shared" ca="1" si="95"/>
        <v/>
      </c>
      <c r="JT34" s="24" t="str">
        <f t="shared" ca="1" si="96"/>
        <v/>
      </c>
      <c r="JU34" s="24" t="str">
        <f t="shared" ca="1" si="96"/>
        <v/>
      </c>
      <c r="JV34" s="24" t="str">
        <f t="shared" ca="1" si="96"/>
        <v/>
      </c>
      <c r="JW34" s="24" t="str">
        <f t="shared" ca="1" si="96"/>
        <v/>
      </c>
      <c r="JX34" s="24" t="str">
        <f t="shared" ca="1" si="96"/>
        <v/>
      </c>
      <c r="JY34" s="24" t="str">
        <f t="shared" ca="1" si="96"/>
        <v/>
      </c>
      <c r="JZ34" s="24" t="str">
        <f t="shared" ca="1" si="96"/>
        <v/>
      </c>
      <c r="KA34" s="24" t="str">
        <f t="shared" ca="1" si="96"/>
        <v/>
      </c>
      <c r="KB34" s="24" t="str">
        <f t="shared" ca="1" si="96"/>
        <v/>
      </c>
      <c r="KC34" s="24" t="str">
        <f t="shared" ca="1" si="96"/>
        <v/>
      </c>
      <c r="KD34" s="24" t="str">
        <f t="shared" ca="1" si="97"/>
        <v/>
      </c>
      <c r="KE34" s="24" t="str">
        <f t="shared" ca="1" si="97"/>
        <v/>
      </c>
      <c r="KF34" s="24" t="str">
        <f t="shared" ca="1" si="97"/>
        <v/>
      </c>
      <c r="KG34" s="24" t="str">
        <f t="shared" ca="1" si="97"/>
        <v/>
      </c>
      <c r="KH34" s="24" t="str">
        <f t="shared" ca="1" si="97"/>
        <v/>
      </c>
      <c r="KI34" s="24" t="str">
        <f t="shared" ca="1" si="97"/>
        <v/>
      </c>
      <c r="KJ34" s="24" t="str">
        <f t="shared" ca="1" si="97"/>
        <v/>
      </c>
      <c r="KK34" s="24" t="str">
        <f t="shared" ca="1" si="97"/>
        <v/>
      </c>
      <c r="KL34" s="24" t="str">
        <f t="shared" ca="1" si="97"/>
        <v/>
      </c>
      <c r="KM34" s="24" t="str">
        <f t="shared" ca="1" si="97"/>
        <v/>
      </c>
      <c r="KN34" s="24" t="str">
        <f t="shared" ca="1" si="98"/>
        <v/>
      </c>
      <c r="KO34" s="24" t="str">
        <f t="shared" ca="1" si="98"/>
        <v/>
      </c>
      <c r="KP34" s="24" t="str">
        <f t="shared" ca="1" si="98"/>
        <v/>
      </c>
      <c r="KQ34" s="24" t="str">
        <f t="shared" ca="1" si="98"/>
        <v/>
      </c>
      <c r="KR34" s="24" t="str">
        <f t="shared" ca="1" si="98"/>
        <v/>
      </c>
      <c r="KS34" s="24" t="str">
        <f t="shared" ca="1" si="98"/>
        <v/>
      </c>
      <c r="KT34" s="24" t="str">
        <f t="shared" ca="1" si="98"/>
        <v/>
      </c>
      <c r="KU34" s="24" t="str">
        <f t="shared" ca="1" si="98"/>
        <v/>
      </c>
      <c r="KV34" s="24" t="str">
        <f t="shared" ca="1" si="98"/>
        <v/>
      </c>
      <c r="KW34" s="24" t="str">
        <f t="shared" ca="1" si="98"/>
        <v/>
      </c>
      <c r="KX34" s="24" t="str">
        <f t="shared" ca="1" si="99"/>
        <v/>
      </c>
      <c r="KY34" s="24" t="str">
        <f t="shared" ca="1" si="99"/>
        <v/>
      </c>
      <c r="KZ34" s="24" t="str">
        <f t="shared" ca="1" si="99"/>
        <v/>
      </c>
      <c r="LA34" s="24" t="str">
        <f t="shared" ca="1" si="99"/>
        <v/>
      </c>
      <c r="LB34" s="24" t="str">
        <f t="shared" ca="1" si="99"/>
        <v/>
      </c>
      <c r="LC34" s="24" t="str">
        <f t="shared" ca="1" si="99"/>
        <v/>
      </c>
      <c r="LD34" s="24" t="str">
        <f t="shared" ca="1" si="99"/>
        <v/>
      </c>
      <c r="LE34" s="24" t="str">
        <f t="shared" ca="1" si="99"/>
        <v/>
      </c>
      <c r="LF34" s="24" t="str">
        <f t="shared" ca="1" si="99"/>
        <v/>
      </c>
      <c r="LG34" s="24" t="str">
        <f t="shared" ca="1" si="99"/>
        <v/>
      </c>
      <c r="LH34" s="24" t="str">
        <f t="shared" ca="1" si="100"/>
        <v/>
      </c>
      <c r="LI34" s="24" t="str">
        <f t="shared" ca="1" si="100"/>
        <v/>
      </c>
      <c r="LJ34" s="24" t="str">
        <f t="shared" ca="1" si="100"/>
        <v/>
      </c>
      <c r="LK34" s="24" t="str">
        <f t="shared" ca="1" si="100"/>
        <v/>
      </c>
      <c r="LL34" s="24" t="str">
        <f t="shared" ca="1" si="100"/>
        <v/>
      </c>
      <c r="LM34" s="24" t="str">
        <f t="shared" ca="1" si="100"/>
        <v/>
      </c>
      <c r="LN34" s="24" t="str">
        <f t="shared" ca="1" si="100"/>
        <v/>
      </c>
      <c r="LO34" s="24" t="str">
        <f t="shared" ca="1" si="100"/>
        <v/>
      </c>
      <c r="LP34" s="24" t="str">
        <f t="shared" ca="1" si="100"/>
        <v/>
      </c>
      <c r="LQ34" s="24" t="str">
        <f t="shared" ca="1" si="100"/>
        <v/>
      </c>
      <c r="LR34" s="24" t="str">
        <f t="shared" ca="1" si="101"/>
        <v/>
      </c>
      <c r="LS34" s="24" t="str">
        <f t="shared" ca="1" si="101"/>
        <v/>
      </c>
      <c r="LT34" s="24" t="str">
        <f t="shared" ca="1" si="101"/>
        <v/>
      </c>
      <c r="LU34" s="24" t="str">
        <f t="shared" ca="1" si="101"/>
        <v/>
      </c>
      <c r="LV34" s="24" t="str">
        <f t="shared" ca="1" si="101"/>
        <v/>
      </c>
      <c r="LW34" s="24" t="str">
        <f t="shared" ca="1" si="101"/>
        <v/>
      </c>
      <c r="LX34" s="24" t="str">
        <f t="shared" ca="1" si="101"/>
        <v/>
      </c>
      <c r="LY34" s="24" t="str">
        <f t="shared" ca="1" si="101"/>
        <v/>
      </c>
      <c r="LZ34" s="24" t="str">
        <f t="shared" ca="1" si="101"/>
        <v/>
      </c>
      <c r="MA34" s="24" t="str">
        <f t="shared" ca="1" si="101"/>
        <v/>
      </c>
      <c r="MB34" s="24" t="str">
        <f t="shared" ca="1" si="102"/>
        <v/>
      </c>
      <c r="MC34" s="24" t="str">
        <f t="shared" ca="1" si="102"/>
        <v/>
      </c>
      <c r="MD34" s="24" t="str">
        <f t="shared" ca="1" si="102"/>
        <v/>
      </c>
      <c r="ME34" s="24" t="str">
        <f t="shared" ca="1" si="102"/>
        <v/>
      </c>
      <c r="MF34" s="24" t="str">
        <f t="shared" ca="1" si="102"/>
        <v/>
      </c>
      <c r="MG34" s="24" t="str">
        <f t="shared" ca="1" si="102"/>
        <v/>
      </c>
      <c r="MH34" s="24" t="str">
        <f t="shared" ca="1" si="102"/>
        <v/>
      </c>
      <c r="MI34" s="24" t="str">
        <f t="shared" ca="1" si="102"/>
        <v/>
      </c>
      <c r="MJ34" s="24" t="str">
        <f t="shared" ca="1" si="102"/>
        <v/>
      </c>
      <c r="MK34" s="24" t="str">
        <f t="shared" ca="1" si="102"/>
        <v/>
      </c>
      <c r="ML34" s="24" t="str">
        <f t="shared" ca="1" si="103"/>
        <v/>
      </c>
      <c r="MM34" s="24" t="str">
        <f t="shared" ca="1" si="103"/>
        <v/>
      </c>
      <c r="MN34" s="24" t="str">
        <f t="shared" ca="1" si="103"/>
        <v/>
      </c>
      <c r="MO34" s="24" t="str">
        <f t="shared" ca="1" si="103"/>
        <v/>
      </c>
      <c r="MP34" s="24" t="str">
        <f t="shared" ca="1" si="103"/>
        <v/>
      </c>
      <c r="MQ34" s="24" t="str">
        <f t="shared" ca="1" si="103"/>
        <v/>
      </c>
      <c r="MR34" s="24" t="str">
        <f t="shared" ca="1" si="103"/>
        <v/>
      </c>
      <c r="MS34" s="24" t="str">
        <f t="shared" ca="1" si="103"/>
        <v/>
      </c>
      <c r="MT34" s="24" t="str">
        <f t="shared" ca="1" si="103"/>
        <v/>
      </c>
      <c r="MU34" s="24" t="str">
        <f t="shared" ca="1" si="103"/>
        <v/>
      </c>
      <c r="MV34" s="24" t="str">
        <f t="shared" ca="1" si="104"/>
        <v/>
      </c>
      <c r="MW34" s="24" t="str">
        <f t="shared" ca="1" si="104"/>
        <v/>
      </c>
      <c r="MX34" s="24" t="str">
        <f t="shared" ca="1" si="104"/>
        <v/>
      </c>
      <c r="MY34" s="24" t="str">
        <f t="shared" ca="1" si="104"/>
        <v/>
      </c>
      <c r="MZ34" s="24" t="str">
        <f t="shared" ca="1" si="104"/>
        <v/>
      </c>
      <c r="NA34" s="24" t="str">
        <f t="shared" ca="1" si="104"/>
        <v/>
      </c>
      <c r="NB34" s="24" t="str">
        <f t="shared" ca="1" si="104"/>
        <v/>
      </c>
      <c r="NC34" s="24" t="str">
        <f t="shared" ca="1" si="104"/>
        <v/>
      </c>
      <c r="ND34" s="24" t="str">
        <f t="shared" ca="1" si="104"/>
        <v/>
      </c>
      <c r="NE34" s="24" t="str">
        <f t="shared" ca="1" si="104"/>
        <v/>
      </c>
      <c r="NF34" s="24" t="str">
        <f t="shared" ca="1" si="105"/>
        <v/>
      </c>
      <c r="NG34" s="24" t="str">
        <f t="shared" ca="1" si="105"/>
        <v/>
      </c>
      <c r="NH34" s="24" t="str">
        <f t="shared" ca="1" si="105"/>
        <v/>
      </c>
      <c r="NI34" s="24" t="str">
        <f t="shared" ca="1" si="105"/>
        <v/>
      </c>
      <c r="NJ34" s="24" t="str">
        <f t="shared" ca="1" si="105"/>
        <v/>
      </c>
      <c r="NK34" s="24" t="str">
        <f t="shared" ca="1" si="105"/>
        <v/>
      </c>
      <c r="NL34" s="24" t="str">
        <f t="shared" ca="1" si="105"/>
        <v/>
      </c>
      <c r="NM34" s="24" t="str">
        <f t="shared" ca="1" si="105"/>
        <v/>
      </c>
      <c r="NN34" s="24" t="str">
        <f t="shared" ca="1" si="105"/>
        <v/>
      </c>
      <c r="NO34" s="24" t="str">
        <f t="shared" ca="1" si="105"/>
        <v/>
      </c>
      <c r="NP34" s="24" t="str">
        <f t="shared" ca="1" si="106"/>
        <v/>
      </c>
      <c r="NQ34" s="24" t="str">
        <f t="shared" ca="1" si="106"/>
        <v/>
      </c>
      <c r="NR34" s="24" t="str">
        <f t="shared" ca="1" si="106"/>
        <v/>
      </c>
      <c r="NS34" s="24" t="str">
        <f t="shared" ca="1" si="106"/>
        <v/>
      </c>
      <c r="NT34" s="24" t="str">
        <f t="shared" ca="1" si="106"/>
        <v/>
      </c>
      <c r="NU34" s="24" t="str">
        <f t="shared" ca="1" si="106"/>
        <v/>
      </c>
      <c r="NV34" s="24" t="str">
        <f t="shared" ca="1" si="106"/>
        <v/>
      </c>
      <c r="NW34" s="24" t="str">
        <f t="shared" ca="1" si="106"/>
        <v/>
      </c>
      <c r="NX34" s="24" t="str">
        <f t="shared" ca="1" si="106"/>
        <v/>
      </c>
      <c r="NY34" s="24" t="str">
        <f t="shared" ca="1" si="106"/>
        <v/>
      </c>
      <c r="NZ34" s="24" t="str">
        <f t="shared" ca="1" si="107"/>
        <v/>
      </c>
      <c r="OA34" s="24" t="str">
        <f t="shared" ca="1" si="107"/>
        <v/>
      </c>
      <c r="OB34" s="24" t="str">
        <f t="shared" ca="1" si="107"/>
        <v/>
      </c>
      <c r="OC34" s="24" t="str">
        <f t="shared" ca="1" si="107"/>
        <v/>
      </c>
      <c r="OD34" s="24" t="str">
        <f t="shared" ca="1" si="107"/>
        <v/>
      </c>
      <c r="OE34" s="24" t="str">
        <f t="shared" ca="1" si="107"/>
        <v/>
      </c>
      <c r="OF34" s="24" t="str">
        <f t="shared" ca="1" si="107"/>
        <v/>
      </c>
      <c r="OG34" s="24" t="str">
        <f t="shared" ca="1" si="107"/>
        <v/>
      </c>
      <c r="OH34" s="24" t="str">
        <f t="shared" ca="1" si="107"/>
        <v/>
      </c>
      <c r="OI34" s="24" t="str">
        <f t="shared" ca="1" si="107"/>
        <v/>
      </c>
      <c r="OJ34" s="24" t="str">
        <f t="shared" ca="1" si="108"/>
        <v/>
      </c>
      <c r="OK34" s="24" t="str">
        <f t="shared" ca="1" si="108"/>
        <v/>
      </c>
      <c r="OL34" s="24" t="str">
        <f t="shared" ca="1" si="108"/>
        <v/>
      </c>
      <c r="OM34" s="24" t="str">
        <f t="shared" ca="1" si="108"/>
        <v/>
      </c>
      <c r="ON34" s="24" t="str">
        <f t="shared" ca="1" si="108"/>
        <v/>
      </c>
      <c r="OO34" s="24" t="str">
        <f t="shared" ca="1" si="108"/>
        <v/>
      </c>
      <c r="OP34" s="24" t="str">
        <f t="shared" ca="1" si="108"/>
        <v/>
      </c>
      <c r="OQ34" s="24" t="str">
        <f t="shared" ca="1" si="108"/>
        <v/>
      </c>
      <c r="OR34" s="24" t="str">
        <f t="shared" ca="1" si="108"/>
        <v/>
      </c>
      <c r="OS34" s="24" t="str">
        <f t="shared" ca="1" si="108"/>
        <v/>
      </c>
      <c r="OT34" s="24" t="str">
        <f t="shared" ca="1" si="109"/>
        <v/>
      </c>
      <c r="OU34" s="24" t="str">
        <f t="shared" ca="1" si="109"/>
        <v/>
      </c>
      <c r="OV34" s="24" t="str">
        <f t="shared" ca="1" si="109"/>
        <v/>
      </c>
      <c r="OW34" s="24" t="str">
        <f t="shared" ca="1" si="109"/>
        <v/>
      </c>
      <c r="OX34" s="24" t="str">
        <f t="shared" ca="1" si="109"/>
        <v/>
      </c>
      <c r="OY34" s="24" t="str">
        <f t="shared" ca="1" si="109"/>
        <v/>
      </c>
      <c r="OZ34" s="24" t="str">
        <f t="shared" ca="1" si="109"/>
        <v/>
      </c>
      <c r="PA34" s="24" t="str">
        <f t="shared" ca="1" si="109"/>
        <v/>
      </c>
      <c r="PB34" s="24" t="str">
        <f t="shared" ca="1" si="109"/>
        <v/>
      </c>
      <c r="PC34" s="24" t="str">
        <f t="shared" ca="1" si="109"/>
        <v/>
      </c>
      <c r="PD34" s="24" t="str">
        <f t="shared" ca="1" si="110"/>
        <v/>
      </c>
      <c r="PE34" s="24" t="str">
        <f t="shared" ca="1" si="110"/>
        <v/>
      </c>
      <c r="PF34" s="24" t="str">
        <f t="shared" ca="1" si="110"/>
        <v/>
      </c>
      <c r="PG34" s="24" t="str">
        <f t="shared" ca="1" si="110"/>
        <v/>
      </c>
      <c r="PH34" s="24" t="str">
        <f t="shared" ca="1" si="110"/>
        <v/>
      </c>
      <c r="PI34" s="24" t="str">
        <f t="shared" ca="1" si="110"/>
        <v/>
      </c>
      <c r="PJ34" s="24" t="str">
        <f t="shared" ca="1" si="110"/>
        <v/>
      </c>
      <c r="PK34" s="24" t="str">
        <f t="shared" ca="1" si="110"/>
        <v/>
      </c>
      <c r="PL34" s="24" t="str">
        <f t="shared" ca="1" si="110"/>
        <v/>
      </c>
      <c r="PM34" s="24" t="str">
        <f t="shared" ca="1" si="110"/>
        <v/>
      </c>
      <c r="PN34" s="24" t="str">
        <f t="shared" ca="1" si="111"/>
        <v/>
      </c>
      <c r="PO34" s="24" t="str">
        <f t="shared" ca="1" si="111"/>
        <v/>
      </c>
      <c r="PP34" s="24" t="str">
        <f t="shared" ca="1" si="111"/>
        <v/>
      </c>
      <c r="PQ34" s="24" t="str">
        <f t="shared" ca="1" si="111"/>
        <v/>
      </c>
      <c r="PR34" s="24" t="str">
        <f t="shared" ca="1" si="111"/>
        <v/>
      </c>
      <c r="PS34" s="24" t="str">
        <f t="shared" ca="1" si="111"/>
        <v/>
      </c>
      <c r="PT34" s="24" t="str">
        <f t="shared" ca="1" si="111"/>
        <v/>
      </c>
      <c r="PU34" s="24" t="str">
        <f t="shared" ca="1" si="111"/>
        <v/>
      </c>
      <c r="PV34" s="24" t="str">
        <f t="shared" ca="1" si="111"/>
        <v/>
      </c>
      <c r="PW34" s="24" t="str">
        <f t="shared" ca="1" si="111"/>
        <v/>
      </c>
      <c r="PX34" s="24" t="str">
        <f t="shared" ca="1" si="112"/>
        <v/>
      </c>
      <c r="PY34" s="24" t="str">
        <f t="shared" ca="1" si="112"/>
        <v/>
      </c>
      <c r="PZ34" s="24" t="str">
        <f t="shared" ca="1" si="112"/>
        <v/>
      </c>
      <c r="QA34" s="24" t="str">
        <f t="shared" ca="1" si="112"/>
        <v/>
      </c>
      <c r="QB34" s="24" t="str">
        <f t="shared" ca="1" si="112"/>
        <v/>
      </c>
      <c r="QC34" s="24" t="str">
        <f t="shared" ca="1" si="112"/>
        <v/>
      </c>
      <c r="QD34" s="24" t="str">
        <f t="shared" ca="1" si="112"/>
        <v/>
      </c>
      <c r="QE34" s="24" t="str">
        <f t="shared" ca="1" si="112"/>
        <v/>
      </c>
      <c r="QF34" s="24" t="str">
        <f t="shared" ca="1" si="112"/>
        <v/>
      </c>
      <c r="QG34" s="24" t="str">
        <f t="shared" ca="1" si="112"/>
        <v/>
      </c>
      <c r="QH34" s="24" t="str">
        <f t="shared" ca="1" si="113"/>
        <v/>
      </c>
      <c r="QI34" s="24" t="str">
        <f t="shared" ca="1" si="113"/>
        <v/>
      </c>
      <c r="QJ34" s="24" t="str">
        <f t="shared" ca="1" si="113"/>
        <v/>
      </c>
      <c r="QK34" s="24" t="str">
        <f t="shared" ca="1" si="113"/>
        <v/>
      </c>
      <c r="QL34" s="24" t="str">
        <f t="shared" ca="1" si="113"/>
        <v/>
      </c>
      <c r="QM34" s="24" t="str">
        <f t="shared" ca="1" si="113"/>
        <v/>
      </c>
      <c r="QN34" s="24" t="str">
        <f t="shared" ca="1" si="113"/>
        <v/>
      </c>
      <c r="QO34" s="24" t="str">
        <f t="shared" ca="1" si="113"/>
        <v/>
      </c>
      <c r="QP34" s="24" t="str">
        <f t="shared" ca="1" si="113"/>
        <v/>
      </c>
      <c r="QQ34" s="24" t="str">
        <f t="shared" ca="1" si="113"/>
        <v/>
      </c>
      <c r="QR34" s="24" t="str">
        <f t="shared" ca="1" si="114"/>
        <v/>
      </c>
      <c r="QS34" s="24" t="str">
        <f t="shared" ca="1" si="114"/>
        <v/>
      </c>
      <c r="QT34" s="24" t="str">
        <f t="shared" ca="1" si="114"/>
        <v/>
      </c>
      <c r="QU34" s="24" t="str">
        <f t="shared" ca="1" si="114"/>
        <v/>
      </c>
      <c r="QV34" s="24" t="str">
        <f t="shared" ca="1" si="114"/>
        <v/>
      </c>
      <c r="QW34" s="24" t="str">
        <f t="shared" ca="1" si="114"/>
        <v/>
      </c>
      <c r="QX34" s="24" t="str">
        <f t="shared" ca="1" si="114"/>
        <v/>
      </c>
      <c r="QY34" s="24" t="str">
        <f t="shared" ca="1" si="114"/>
        <v/>
      </c>
      <c r="QZ34" s="24" t="str">
        <f t="shared" ca="1" si="114"/>
        <v/>
      </c>
      <c r="RA34" s="24" t="str">
        <f t="shared" ca="1" si="114"/>
        <v/>
      </c>
      <c r="RB34" s="24" t="str">
        <f t="shared" ca="1" si="115"/>
        <v/>
      </c>
      <c r="RC34" s="24" t="str">
        <f t="shared" ca="1" si="115"/>
        <v/>
      </c>
      <c r="RD34" s="24" t="str">
        <f t="shared" ca="1" si="115"/>
        <v/>
      </c>
      <c r="RE34" s="24" t="str">
        <f t="shared" ca="1" si="115"/>
        <v/>
      </c>
      <c r="RF34" s="24" t="str">
        <f t="shared" ca="1" si="115"/>
        <v/>
      </c>
      <c r="RG34" s="24" t="str">
        <f t="shared" ca="1" si="115"/>
        <v/>
      </c>
      <c r="RH34" s="24" t="str">
        <f t="shared" ca="1" si="115"/>
        <v/>
      </c>
      <c r="RI34" s="24" t="str">
        <f t="shared" ca="1" si="115"/>
        <v/>
      </c>
      <c r="RJ34" s="24" t="str">
        <f t="shared" ca="1" si="115"/>
        <v/>
      </c>
      <c r="RK34" s="24" t="str">
        <f t="shared" ca="1" si="115"/>
        <v/>
      </c>
      <c r="RL34" s="24" t="str">
        <f t="shared" ca="1" si="116"/>
        <v/>
      </c>
      <c r="RM34" s="24" t="str">
        <f t="shared" ca="1" si="116"/>
        <v/>
      </c>
      <c r="RN34" s="24" t="str">
        <f t="shared" ca="1" si="116"/>
        <v/>
      </c>
      <c r="RO34" s="24" t="str">
        <f t="shared" ca="1" si="116"/>
        <v/>
      </c>
      <c r="RP34" s="24" t="str">
        <f t="shared" ca="1" si="116"/>
        <v/>
      </c>
      <c r="RQ34" s="24" t="str">
        <f t="shared" ca="1" si="116"/>
        <v/>
      </c>
      <c r="RR34" s="24" t="str">
        <f t="shared" ca="1" si="116"/>
        <v/>
      </c>
      <c r="RS34" s="24" t="str">
        <f t="shared" ca="1" si="116"/>
        <v/>
      </c>
      <c r="RT34" s="24" t="str">
        <f t="shared" ca="1" si="116"/>
        <v/>
      </c>
      <c r="RU34" s="24" t="str">
        <f t="shared" ca="1" si="116"/>
        <v/>
      </c>
      <c r="RV34" s="24" t="str">
        <f t="shared" ca="1" si="117"/>
        <v/>
      </c>
      <c r="RW34" s="24" t="str">
        <f t="shared" ca="1" si="117"/>
        <v/>
      </c>
      <c r="RX34" s="24" t="str">
        <f t="shared" ca="1" si="117"/>
        <v/>
      </c>
      <c r="RY34" s="24" t="str">
        <f t="shared" ca="1" si="117"/>
        <v/>
      </c>
      <c r="RZ34" s="24" t="str">
        <f t="shared" ca="1" si="117"/>
        <v/>
      </c>
      <c r="SA34" s="24" t="str">
        <f t="shared" ca="1" si="117"/>
        <v/>
      </c>
      <c r="SB34" s="24" t="str">
        <f t="shared" ca="1" si="117"/>
        <v/>
      </c>
      <c r="SC34" s="24" t="str">
        <f t="shared" ca="1" si="117"/>
        <v/>
      </c>
      <c r="SD34" s="24" t="str">
        <f t="shared" ca="1" si="117"/>
        <v/>
      </c>
      <c r="SE34" s="24" t="str">
        <f t="shared" ca="1" si="117"/>
        <v/>
      </c>
      <c r="SF34" s="24" t="str">
        <f t="shared" ca="1" si="118"/>
        <v/>
      </c>
      <c r="SG34" s="24" t="str">
        <f t="shared" ca="1" si="118"/>
        <v/>
      </c>
      <c r="SH34" s="24" t="str">
        <f t="shared" ca="1" si="118"/>
        <v/>
      </c>
      <c r="SI34" s="24" t="str">
        <f t="shared" ca="1" si="118"/>
        <v/>
      </c>
      <c r="SJ34" s="24" t="str">
        <f t="shared" ca="1" si="118"/>
        <v/>
      </c>
      <c r="SK34" s="24" t="str">
        <f t="shared" ca="1" si="118"/>
        <v/>
      </c>
      <c r="SL34" s="24" t="str">
        <f t="shared" ca="1" si="118"/>
        <v/>
      </c>
      <c r="SM34" s="24" t="str">
        <f t="shared" ca="1" si="118"/>
        <v/>
      </c>
      <c r="SN34" s="24" t="str">
        <f t="shared" ca="1" si="118"/>
        <v/>
      </c>
      <c r="SO34" s="24" t="str">
        <f t="shared" ca="1" si="118"/>
        <v/>
      </c>
      <c r="SP34" s="24" t="str">
        <f t="shared" ca="1" si="119"/>
        <v/>
      </c>
      <c r="SQ34" s="24" t="str">
        <f t="shared" ca="1" si="119"/>
        <v/>
      </c>
      <c r="SR34" s="24" t="str">
        <f t="shared" ca="1" si="119"/>
        <v/>
      </c>
      <c r="SS34" s="24" t="str">
        <f t="shared" ca="1" si="119"/>
        <v/>
      </c>
      <c r="ST34" s="24" t="str">
        <f t="shared" ca="1" si="119"/>
        <v/>
      </c>
      <c r="SU34" s="24" t="str">
        <f t="shared" ca="1" si="119"/>
        <v/>
      </c>
      <c r="SV34" s="24" t="str">
        <f t="shared" ca="1" si="119"/>
        <v/>
      </c>
      <c r="SW34" s="24" t="str">
        <f t="shared" ca="1" si="119"/>
        <v/>
      </c>
      <c r="SX34" s="24" t="str">
        <f t="shared" ca="1" si="119"/>
        <v/>
      </c>
      <c r="SY34" s="24" t="str">
        <f t="shared" ca="1" si="119"/>
        <v/>
      </c>
      <c r="SZ34" s="24" t="str">
        <f t="shared" ca="1" si="120"/>
        <v/>
      </c>
      <c r="TA34" s="24" t="str">
        <f t="shared" ca="1" si="120"/>
        <v/>
      </c>
      <c r="TB34" s="24" t="str">
        <f t="shared" ca="1" si="120"/>
        <v/>
      </c>
      <c r="TC34" s="24" t="str">
        <f t="shared" ca="1" si="120"/>
        <v/>
      </c>
      <c r="TD34" s="24" t="str">
        <f t="shared" ca="1" si="120"/>
        <v/>
      </c>
      <c r="TE34" s="24" t="str">
        <f t="shared" ca="1" si="120"/>
        <v/>
      </c>
      <c r="TF34" s="24" t="str">
        <f t="shared" ca="1" si="120"/>
        <v/>
      </c>
      <c r="TG34" s="24" t="str">
        <f t="shared" ca="1" si="120"/>
        <v/>
      </c>
      <c r="TH34" s="24" t="str">
        <f t="shared" ca="1" si="120"/>
        <v/>
      </c>
      <c r="TI34" s="24" t="str">
        <f t="shared" ca="1" si="120"/>
        <v/>
      </c>
      <c r="TJ34" s="24" t="str">
        <f t="shared" ca="1" si="121"/>
        <v/>
      </c>
      <c r="TK34" s="24" t="str">
        <f t="shared" ca="1" si="121"/>
        <v/>
      </c>
      <c r="TL34" s="24" t="str">
        <f t="shared" ca="1" si="121"/>
        <v/>
      </c>
      <c r="TM34" s="24" t="str">
        <f t="shared" ca="1" si="121"/>
        <v/>
      </c>
      <c r="TN34" s="24" t="str">
        <f t="shared" ca="1" si="121"/>
        <v/>
      </c>
      <c r="TO34" s="24" t="str">
        <f t="shared" ca="1" si="121"/>
        <v/>
      </c>
      <c r="TP34" s="24" t="str">
        <f t="shared" ca="1" si="121"/>
        <v/>
      </c>
      <c r="TQ34" s="24" t="str">
        <f t="shared" ca="1" si="121"/>
        <v/>
      </c>
      <c r="TR34" s="24" t="str">
        <f t="shared" ca="1" si="121"/>
        <v/>
      </c>
      <c r="TS34" s="24" t="str">
        <f t="shared" ca="1" si="121"/>
        <v/>
      </c>
      <c r="TT34" s="24" t="str">
        <f t="shared" ca="1" si="122"/>
        <v/>
      </c>
      <c r="TU34" s="24" t="str">
        <f t="shared" ca="1" si="122"/>
        <v/>
      </c>
      <c r="TV34" s="24" t="str">
        <f t="shared" ca="1" si="122"/>
        <v/>
      </c>
      <c r="TW34" s="24" t="str">
        <f t="shared" ca="1" si="122"/>
        <v/>
      </c>
      <c r="TX34" s="24" t="str">
        <f t="shared" ca="1" si="122"/>
        <v/>
      </c>
      <c r="TY34" s="24" t="str">
        <f t="shared" ca="1" si="122"/>
        <v/>
      </c>
      <c r="TZ34" s="24" t="str">
        <f t="shared" ca="1" si="122"/>
        <v/>
      </c>
      <c r="UA34" s="24" t="str">
        <f t="shared" ca="1" si="122"/>
        <v/>
      </c>
      <c r="UB34" s="24" t="str">
        <f t="shared" ca="1" si="122"/>
        <v/>
      </c>
      <c r="UC34" s="24" t="str">
        <f t="shared" ca="1" si="122"/>
        <v/>
      </c>
      <c r="UD34" s="24" t="str">
        <f t="shared" ca="1" si="123"/>
        <v/>
      </c>
      <c r="UE34" s="24" t="str">
        <f t="shared" ca="1" si="123"/>
        <v/>
      </c>
      <c r="UF34" s="24" t="str">
        <f t="shared" ca="1" si="123"/>
        <v/>
      </c>
      <c r="UG34" s="24" t="str">
        <f t="shared" ca="1" si="123"/>
        <v/>
      </c>
      <c r="UH34" s="24" t="str">
        <f t="shared" ca="1" si="123"/>
        <v/>
      </c>
      <c r="UI34" s="24" t="str">
        <f t="shared" ca="1" si="123"/>
        <v/>
      </c>
      <c r="UJ34" s="24" t="str">
        <f t="shared" ca="1" si="123"/>
        <v/>
      </c>
      <c r="UK34" s="24" t="str">
        <f t="shared" ca="1" si="123"/>
        <v/>
      </c>
      <c r="UL34" s="24" t="str">
        <f t="shared" ca="1" si="123"/>
        <v/>
      </c>
      <c r="UM34" s="24" t="str">
        <f t="shared" ca="1" si="123"/>
        <v/>
      </c>
      <c r="UN34" s="24" t="str">
        <f t="shared" ca="1" si="124"/>
        <v/>
      </c>
      <c r="UO34" s="24" t="str">
        <f t="shared" ca="1" si="124"/>
        <v/>
      </c>
      <c r="UP34" s="24" t="str">
        <f t="shared" ca="1" si="124"/>
        <v/>
      </c>
      <c r="UQ34" s="24" t="str">
        <f t="shared" ca="1" si="124"/>
        <v/>
      </c>
      <c r="UR34" s="24" t="str">
        <f t="shared" ca="1" si="124"/>
        <v/>
      </c>
      <c r="US34" s="24" t="str">
        <f t="shared" ca="1" si="124"/>
        <v/>
      </c>
      <c r="UT34" s="24" t="str">
        <f t="shared" ca="1" si="124"/>
        <v/>
      </c>
      <c r="UU34" s="24" t="str">
        <f t="shared" ca="1" si="124"/>
        <v/>
      </c>
      <c r="UV34" s="24" t="str">
        <f t="shared" ca="1" si="124"/>
        <v/>
      </c>
      <c r="UW34" s="24" t="str">
        <f t="shared" ca="1" si="124"/>
        <v/>
      </c>
      <c r="UX34" s="24" t="str">
        <f t="shared" ca="1" si="125"/>
        <v/>
      </c>
      <c r="UY34" s="24" t="str">
        <f t="shared" ca="1" si="125"/>
        <v/>
      </c>
      <c r="UZ34" s="24" t="str">
        <f t="shared" ca="1" si="125"/>
        <v/>
      </c>
      <c r="VA34" s="24" t="str">
        <f t="shared" ca="1" si="125"/>
        <v/>
      </c>
      <c r="VB34" s="24" t="str">
        <f t="shared" ca="1" si="125"/>
        <v/>
      </c>
      <c r="VC34" s="24" t="str">
        <f t="shared" ca="1" si="125"/>
        <v/>
      </c>
      <c r="VD34" s="24" t="str">
        <f t="shared" ca="1" si="125"/>
        <v/>
      </c>
      <c r="VE34" s="24" t="str">
        <f t="shared" ca="1" si="125"/>
        <v/>
      </c>
      <c r="VF34" s="24" t="str">
        <f t="shared" ca="1" si="125"/>
        <v/>
      </c>
      <c r="VG34" s="24" t="str">
        <f t="shared" ca="1" si="125"/>
        <v/>
      </c>
      <c r="VH34" s="24" t="str">
        <f t="shared" ca="1" si="126"/>
        <v/>
      </c>
      <c r="VI34" s="24" t="str">
        <f t="shared" ca="1" si="126"/>
        <v/>
      </c>
      <c r="VJ34" s="24" t="str">
        <f t="shared" ca="1" si="126"/>
        <v/>
      </c>
      <c r="VK34" s="24" t="str">
        <f t="shared" ca="1" si="126"/>
        <v/>
      </c>
      <c r="VL34" s="24" t="str">
        <f t="shared" ca="1" si="126"/>
        <v/>
      </c>
      <c r="VM34" s="24" t="str">
        <f t="shared" ca="1" si="126"/>
        <v/>
      </c>
      <c r="VN34" s="24" t="str">
        <f t="shared" ca="1" si="126"/>
        <v/>
      </c>
      <c r="VO34" s="24" t="str">
        <f t="shared" ca="1" si="126"/>
        <v/>
      </c>
      <c r="VP34" s="24" t="str">
        <f t="shared" ca="1" si="126"/>
        <v/>
      </c>
      <c r="VQ34" s="24" t="str">
        <f t="shared" ca="1" si="126"/>
        <v/>
      </c>
      <c r="VR34" s="24" t="str">
        <f t="shared" ca="1" si="126"/>
        <v/>
      </c>
      <c r="VS34" s="24" t="str">
        <f t="shared" ca="1" si="126"/>
        <v/>
      </c>
    </row>
    <row r="35" spans="1:591" s="17" customFormat="1" ht="16.2" customHeight="1" x14ac:dyDescent="0.3">
      <c r="A35" s="81"/>
      <c r="B35" s="56" t="str">
        <f>'CoS Tracker'!$AK$7</f>
        <v>4. DoV Issue Date (Vendor)</v>
      </c>
      <c r="C35" s="19" t="s">
        <v>75</v>
      </c>
      <c r="D35" s="19"/>
      <c r="E35" s="27">
        <v>0.1</v>
      </c>
      <c r="F35" s="26">
        <f>'CoS Tracker'!AK10</f>
        <v>46177</v>
      </c>
      <c r="G35" s="26">
        <f>'CoS Tracker'!AK10</f>
        <v>46177</v>
      </c>
      <c r="H35" s="25">
        <f>Milestones43524[[#This Row],[End]]-Milestones43524[[#This Row],[Start]]</f>
        <v>0</v>
      </c>
      <c r="I35" s="19"/>
      <c r="J35" s="74" t="str">
        <f t="shared" ca="1" si="69"/>
        <v/>
      </c>
      <c r="K35" s="74" t="str">
        <f t="shared" ca="1" si="69"/>
        <v/>
      </c>
      <c r="L35" s="74" t="str">
        <f t="shared" ca="1" si="69"/>
        <v/>
      </c>
      <c r="M35" s="74" t="str">
        <f t="shared" ca="1" si="69"/>
        <v/>
      </c>
      <c r="N35" s="74" t="str">
        <f t="shared" ca="1" si="69"/>
        <v/>
      </c>
      <c r="O35" s="74" t="str">
        <f t="shared" ca="1" si="69"/>
        <v/>
      </c>
      <c r="P35" s="74" t="str">
        <f t="shared" ca="1" si="69"/>
        <v/>
      </c>
      <c r="Q35" s="74" t="str">
        <f t="shared" ca="1" si="69"/>
        <v/>
      </c>
      <c r="R35" s="74" t="str">
        <f t="shared" ca="1" si="69"/>
        <v/>
      </c>
      <c r="S35" s="74" t="str">
        <f t="shared" ca="1" si="69"/>
        <v/>
      </c>
      <c r="T35" s="74" t="str">
        <f t="shared" ca="1" si="70"/>
        <v/>
      </c>
      <c r="U35" s="74" t="str">
        <f t="shared" ca="1" si="70"/>
        <v/>
      </c>
      <c r="V35" s="74" t="str">
        <f t="shared" ca="1" si="70"/>
        <v/>
      </c>
      <c r="W35" s="74" t="str">
        <f t="shared" ca="1" si="70"/>
        <v/>
      </c>
      <c r="X35" s="74" t="str">
        <f t="shared" ca="1" si="70"/>
        <v/>
      </c>
      <c r="Y35" s="74" t="str">
        <f t="shared" ca="1" si="70"/>
        <v/>
      </c>
      <c r="Z35" s="74" t="str">
        <f t="shared" ca="1" si="70"/>
        <v/>
      </c>
      <c r="AA35" s="74" t="str">
        <f t="shared" ca="1" si="70"/>
        <v/>
      </c>
      <c r="AB35" s="74" t="str">
        <f t="shared" ca="1" si="70"/>
        <v/>
      </c>
      <c r="AC35" s="74" t="str">
        <f t="shared" ca="1" si="70"/>
        <v/>
      </c>
      <c r="AD35" s="74" t="str">
        <f t="shared" ca="1" si="71"/>
        <v/>
      </c>
      <c r="AE35" s="74" t="str">
        <f t="shared" ca="1" si="71"/>
        <v/>
      </c>
      <c r="AF35" s="74" t="str">
        <f t="shared" ca="1" si="71"/>
        <v/>
      </c>
      <c r="AG35" s="74" t="str">
        <f t="shared" ca="1" si="71"/>
        <v/>
      </c>
      <c r="AH35" s="74" t="str">
        <f t="shared" ca="1" si="71"/>
        <v/>
      </c>
      <c r="AI35" s="74" t="str">
        <f t="shared" ca="1" si="71"/>
        <v/>
      </c>
      <c r="AJ35" s="74" t="str">
        <f t="shared" ca="1" si="71"/>
        <v/>
      </c>
      <c r="AK35" s="74" t="str">
        <f t="shared" ca="1" si="71"/>
        <v/>
      </c>
      <c r="AL35" s="74" t="str">
        <f t="shared" ca="1" si="71"/>
        <v/>
      </c>
      <c r="AM35" s="74" t="str">
        <f t="shared" ca="1" si="71"/>
        <v/>
      </c>
      <c r="AN35" s="74" t="str">
        <f t="shared" ca="1" si="72"/>
        <v/>
      </c>
      <c r="AO35" s="74" t="str">
        <f t="shared" ca="1" si="72"/>
        <v/>
      </c>
      <c r="AP35" s="74" t="str">
        <f t="shared" ca="1" si="72"/>
        <v/>
      </c>
      <c r="AQ35" s="74" t="str">
        <f t="shared" ca="1" si="72"/>
        <v/>
      </c>
      <c r="AR35" s="74" t="str">
        <f t="shared" ca="1" si="72"/>
        <v/>
      </c>
      <c r="AS35" s="74" t="str">
        <f t="shared" ca="1" si="72"/>
        <v/>
      </c>
      <c r="AT35" s="74" t="str">
        <f t="shared" ca="1" si="72"/>
        <v/>
      </c>
      <c r="AU35" s="74" t="str">
        <f t="shared" ca="1" si="72"/>
        <v/>
      </c>
      <c r="AV35" s="74" t="str">
        <f t="shared" ca="1" si="72"/>
        <v/>
      </c>
      <c r="AW35" s="74" t="str">
        <f t="shared" ca="1" si="72"/>
        <v/>
      </c>
      <c r="AX35" s="74" t="str">
        <f t="shared" ca="1" si="73"/>
        <v/>
      </c>
      <c r="AY35" s="74" t="str">
        <f t="shared" ca="1" si="73"/>
        <v/>
      </c>
      <c r="AZ35" s="74" t="str">
        <f t="shared" ca="1" si="73"/>
        <v/>
      </c>
      <c r="BA35" s="74" t="str">
        <f t="shared" ca="1" si="73"/>
        <v/>
      </c>
      <c r="BB35" s="74" t="str">
        <f t="shared" ca="1" si="73"/>
        <v/>
      </c>
      <c r="BC35" s="74" t="str">
        <f t="shared" ca="1" si="73"/>
        <v/>
      </c>
      <c r="BD35" s="74" t="str">
        <f t="shared" ca="1" si="73"/>
        <v/>
      </c>
      <c r="BE35" s="74" t="str">
        <f t="shared" ca="1" si="73"/>
        <v/>
      </c>
      <c r="BF35" s="74" t="str">
        <f t="shared" ca="1" si="73"/>
        <v/>
      </c>
      <c r="BG35" s="74" t="str">
        <f t="shared" ca="1" si="73"/>
        <v/>
      </c>
      <c r="BH35" s="74" t="str">
        <f t="shared" ca="1" si="74"/>
        <v/>
      </c>
      <c r="BI35" s="74" t="str">
        <f t="shared" ca="1" si="74"/>
        <v/>
      </c>
      <c r="BJ35" s="74" t="str">
        <f t="shared" ca="1" si="74"/>
        <v/>
      </c>
      <c r="BK35" s="74" t="str">
        <f t="shared" ca="1" si="74"/>
        <v/>
      </c>
      <c r="BL35" s="74" t="str">
        <f t="shared" ca="1" si="74"/>
        <v/>
      </c>
      <c r="BM35" s="74" t="str">
        <f t="shared" ca="1" si="74"/>
        <v/>
      </c>
      <c r="BN35" s="74" t="str">
        <f t="shared" ca="1" si="74"/>
        <v/>
      </c>
      <c r="BO35" s="74" t="str">
        <f t="shared" ca="1" si="74"/>
        <v/>
      </c>
      <c r="BP35" s="74" t="str">
        <f t="shared" ca="1" si="74"/>
        <v/>
      </c>
      <c r="BQ35" s="74" t="str">
        <f t="shared" ca="1" si="74"/>
        <v/>
      </c>
      <c r="BR35" s="74" t="str">
        <f t="shared" ca="1" si="75"/>
        <v/>
      </c>
      <c r="BS35" s="74" t="str">
        <f t="shared" ca="1" si="75"/>
        <v/>
      </c>
      <c r="BT35" s="74" t="str">
        <f t="shared" ca="1" si="75"/>
        <v/>
      </c>
      <c r="BU35" s="74" t="str">
        <f t="shared" ca="1" si="75"/>
        <v/>
      </c>
      <c r="BV35" s="74" t="str">
        <f t="shared" ca="1" si="75"/>
        <v/>
      </c>
      <c r="BW35" s="74" t="str">
        <f t="shared" ca="1" si="75"/>
        <v/>
      </c>
      <c r="BX35" s="74" t="str">
        <f t="shared" ca="1" si="75"/>
        <v/>
      </c>
      <c r="BY35" s="74" t="str">
        <f t="shared" ca="1" si="75"/>
        <v/>
      </c>
      <c r="BZ35" s="74" t="str">
        <f t="shared" ca="1" si="75"/>
        <v/>
      </c>
      <c r="CA35" s="74" t="str">
        <f t="shared" ca="1" si="75"/>
        <v/>
      </c>
      <c r="CB35" s="74" t="str">
        <f t="shared" ca="1" si="76"/>
        <v/>
      </c>
      <c r="CC35" s="74" t="str">
        <f t="shared" ca="1" si="76"/>
        <v/>
      </c>
      <c r="CD35" s="74" t="str">
        <f t="shared" ca="1" si="76"/>
        <v/>
      </c>
      <c r="CE35" s="74" t="str">
        <f t="shared" ca="1" si="76"/>
        <v/>
      </c>
      <c r="CF35" s="74" t="str">
        <f t="shared" ca="1" si="76"/>
        <v/>
      </c>
      <c r="CG35" s="74" t="str">
        <f t="shared" ca="1" si="76"/>
        <v/>
      </c>
      <c r="CH35" s="74" t="str">
        <f t="shared" ca="1" si="76"/>
        <v/>
      </c>
      <c r="CI35" s="74" t="str">
        <f t="shared" ca="1" si="76"/>
        <v/>
      </c>
      <c r="CJ35" s="74" t="str">
        <f t="shared" ca="1" si="76"/>
        <v/>
      </c>
      <c r="CK35" s="74" t="str">
        <f t="shared" ca="1" si="76"/>
        <v/>
      </c>
      <c r="CL35" s="74" t="str">
        <f t="shared" ca="1" si="77"/>
        <v/>
      </c>
      <c r="CM35" s="74" t="str">
        <f t="shared" ca="1" si="77"/>
        <v/>
      </c>
      <c r="CN35" s="74" t="str">
        <f t="shared" ca="1" si="77"/>
        <v/>
      </c>
      <c r="CO35" s="74" t="str">
        <f t="shared" ca="1" si="77"/>
        <v/>
      </c>
      <c r="CP35" s="74" t="str">
        <f t="shared" ca="1" si="77"/>
        <v/>
      </c>
      <c r="CQ35" s="74" t="str">
        <f t="shared" ca="1" si="77"/>
        <v/>
      </c>
      <c r="CR35" s="74" t="str">
        <f t="shared" ca="1" si="77"/>
        <v/>
      </c>
      <c r="CS35" s="74" t="str">
        <f t="shared" ca="1" si="77"/>
        <v/>
      </c>
      <c r="CT35" s="74" t="str">
        <f t="shared" ca="1" si="77"/>
        <v/>
      </c>
      <c r="CU35" s="74" t="str">
        <f t="shared" ca="1" si="77"/>
        <v/>
      </c>
      <c r="CV35" s="74" t="str">
        <f t="shared" ca="1" si="78"/>
        <v/>
      </c>
      <c r="CW35" s="74" t="str">
        <f t="shared" ca="1" si="78"/>
        <v/>
      </c>
      <c r="CX35" s="74" t="str">
        <f t="shared" ca="1" si="78"/>
        <v/>
      </c>
      <c r="CY35" s="74" t="str">
        <f t="shared" ca="1" si="78"/>
        <v/>
      </c>
      <c r="CZ35" s="74" t="str">
        <f t="shared" ca="1" si="78"/>
        <v/>
      </c>
      <c r="DA35" s="74" t="str">
        <f t="shared" ca="1" si="78"/>
        <v/>
      </c>
      <c r="DB35" s="74" t="str">
        <f t="shared" ca="1" si="78"/>
        <v/>
      </c>
      <c r="DC35" s="74" t="str">
        <f t="shared" ca="1" si="78"/>
        <v/>
      </c>
      <c r="DD35" s="74" t="str">
        <f t="shared" ca="1" si="78"/>
        <v/>
      </c>
      <c r="DE35" s="74" t="str">
        <f t="shared" ca="1" si="78"/>
        <v/>
      </c>
      <c r="DF35" s="74" t="str">
        <f t="shared" ca="1" si="79"/>
        <v/>
      </c>
      <c r="DG35" s="74" t="str">
        <f t="shared" ca="1" si="79"/>
        <v/>
      </c>
      <c r="DH35" s="74" t="str">
        <f t="shared" ca="1" si="79"/>
        <v/>
      </c>
      <c r="DI35" s="74" t="str">
        <f t="shared" ca="1" si="79"/>
        <v/>
      </c>
      <c r="DJ35" s="74" t="str">
        <f t="shared" ca="1" si="79"/>
        <v/>
      </c>
      <c r="DK35" s="74" t="str">
        <f t="shared" ca="1" si="79"/>
        <v/>
      </c>
      <c r="DL35" s="74" t="str">
        <f t="shared" ca="1" si="79"/>
        <v/>
      </c>
      <c r="DM35" s="74" t="str">
        <f t="shared" ca="1" si="79"/>
        <v/>
      </c>
      <c r="DN35" s="74" t="str">
        <f t="shared" ca="1" si="79"/>
        <v/>
      </c>
      <c r="DO35" s="74" t="str">
        <f t="shared" ca="1" si="79"/>
        <v/>
      </c>
      <c r="DP35" s="74" t="str">
        <f t="shared" ca="1" si="80"/>
        <v/>
      </c>
      <c r="DQ35" s="74" t="str">
        <f t="shared" ca="1" si="80"/>
        <v/>
      </c>
      <c r="DR35" s="74" t="str">
        <f t="shared" ca="1" si="80"/>
        <v/>
      </c>
      <c r="DS35" s="74" t="str">
        <f t="shared" ca="1" si="80"/>
        <v/>
      </c>
      <c r="DT35" s="74" t="str">
        <f t="shared" ca="1" si="80"/>
        <v/>
      </c>
      <c r="DU35" s="74" t="str">
        <f t="shared" ca="1" si="80"/>
        <v/>
      </c>
      <c r="DV35" s="74" t="str">
        <f t="shared" ca="1" si="80"/>
        <v/>
      </c>
      <c r="DW35" s="74" t="str">
        <f t="shared" ca="1" si="80"/>
        <v/>
      </c>
      <c r="DX35" s="74" t="str">
        <f t="shared" ca="1" si="80"/>
        <v/>
      </c>
      <c r="DY35" s="74" t="str">
        <f t="shared" ca="1" si="80"/>
        <v/>
      </c>
      <c r="DZ35" s="74" t="str">
        <f t="shared" ca="1" si="81"/>
        <v/>
      </c>
      <c r="EA35" s="74" t="str">
        <f t="shared" ca="1" si="81"/>
        <v/>
      </c>
      <c r="EB35" s="74" t="str">
        <f t="shared" ca="1" si="81"/>
        <v/>
      </c>
      <c r="EC35" s="74" t="str">
        <f t="shared" ca="1" si="81"/>
        <v/>
      </c>
      <c r="ED35" s="74" t="str">
        <f t="shared" ca="1" si="81"/>
        <v/>
      </c>
      <c r="EE35" s="74" t="str">
        <f t="shared" ca="1" si="81"/>
        <v/>
      </c>
      <c r="EF35" s="74" t="str">
        <f t="shared" ca="1" si="81"/>
        <v/>
      </c>
      <c r="EG35" s="74" t="str">
        <f t="shared" ca="1" si="81"/>
        <v/>
      </c>
      <c r="EH35" s="74" t="str">
        <f t="shared" ca="1" si="81"/>
        <v/>
      </c>
      <c r="EI35" s="74" t="str">
        <f t="shared" ca="1" si="81"/>
        <v/>
      </c>
      <c r="EJ35" s="74" t="str">
        <f t="shared" ca="1" si="82"/>
        <v/>
      </c>
      <c r="EK35" s="74" t="str">
        <f t="shared" ca="1" si="82"/>
        <v/>
      </c>
      <c r="EL35" s="74" t="str">
        <f t="shared" ca="1" si="82"/>
        <v/>
      </c>
      <c r="EM35" s="74" t="str">
        <f t="shared" ca="1" si="82"/>
        <v/>
      </c>
      <c r="EN35" s="74" t="str">
        <f t="shared" ca="1" si="82"/>
        <v/>
      </c>
      <c r="EO35" s="74" t="str">
        <f t="shared" ca="1" si="82"/>
        <v/>
      </c>
      <c r="EP35" s="74" t="str">
        <f t="shared" ca="1" si="82"/>
        <v/>
      </c>
      <c r="EQ35" s="74" t="str">
        <f t="shared" ca="1" si="82"/>
        <v/>
      </c>
      <c r="ER35" s="74" t="str">
        <f t="shared" ca="1" si="82"/>
        <v/>
      </c>
      <c r="ES35" s="74" t="str">
        <f t="shared" ca="1" si="82"/>
        <v/>
      </c>
      <c r="ET35" s="74" t="str">
        <f t="shared" ca="1" si="83"/>
        <v/>
      </c>
      <c r="EU35" s="74" t="str">
        <f t="shared" ca="1" si="83"/>
        <v/>
      </c>
      <c r="EV35" s="74" t="str">
        <f t="shared" ca="1" si="83"/>
        <v/>
      </c>
      <c r="EW35" s="74" t="str">
        <f t="shared" ca="1" si="83"/>
        <v/>
      </c>
      <c r="EX35" s="74" t="str">
        <f t="shared" ca="1" si="83"/>
        <v/>
      </c>
      <c r="EY35" s="74" t="str">
        <f t="shared" ca="1" si="83"/>
        <v/>
      </c>
      <c r="EZ35" s="74" t="str">
        <f t="shared" ca="1" si="83"/>
        <v/>
      </c>
      <c r="FA35" s="74" t="str">
        <f t="shared" ca="1" si="83"/>
        <v/>
      </c>
      <c r="FB35" s="74" t="str">
        <f t="shared" ca="1" si="83"/>
        <v/>
      </c>
      <c r="FC35" s="74" t="str">
        <f t="shared" ca="1" si="83"/>
        <v/>
      </c>
      <c r="FD35" s="74" t="str">
        <f t="shared" ca="1" si="84"/>
        <v/>
      </c>
      <c r="FE35" s="74" t="str">
        <f t="shared" ca="1" si="84"/>
        <v/>
      </c>
      <c r="FF35" s="74" t="str">
        <f t="shared" ca="1" si="84"/>
        <v/>
      </c>
      <c r="FG35" s="74" t="str">
        <f t="shared" ca="1" si="84"/>
        <v/>
      </c>
      <c r="FH35" s="74" t="str">
        <f t="shared" ca="1" si="84"/>
        <v/>
      </c>
      <c r="FI35" s="74" t="str">
        <f t="shared" ca="1" si="84"/>
        <v/>
      </c>
      <c r="FJ35" s="74" t="str">
        <f t="shared" ca="1" si="84"/>
        <v/>
      </c>
      <c r="FK35" s="74" t="str">
        <f t="shared" ca="1" si="84"/>
        <v/>
      </c>
      <c r="FL35" s="74" t="str">
        <f t="shared" ca="1" si="84"/>
        <v/>
      </c>
      <c r="FM35" s="74" t="str">
        <f t="shared" ca="1" si="84"/>
        <v/>
      </c>
      <c r="FN35" s="74" t="str">
        <f t="shared" ca="1" si="85"/>
        <v/>
      </c>
      <c r="FO35" s="74" t="str">
        <f t="shared" ca="1" si="85"/>
        <v/>
      </c>
      <c r="FP35" s="74" t="str">
        <f t="shared" ca="1" si="85"/>
        <v/>
      </c>
      <c r="FQ35" s="74" t="str">
        <f t="shared" ca="1" si="85"/>
        <v/>
      </c>
      <c r="FR35" s="74" t="str">
        <f t="shared" ca="1" si="85"/>
        <v/>
      </c>
      <c r="FS35" s="74" t="str">
        <f t="shared" ca="1" si="85"/>
        <v/>
      </c>
      <c r="FT35" s="74" t="str">
        <f t="shared" ca="1" si="85"/>
        <v/>
      </c>
      <c r="FU35" s="74" t="str">
        <f t="shared" ca="1" si="85"/>
        <v/>
      </c>
      <c r="FV35" s="74" t="str">
        <f t="shared" ca="1" si="85"/>
        <v/>
      </c>
      <c r="FW35" s="74" t="str">
        <f t="shared" ca="1" si="85"/>
        <v/>
      </c>
      <c r="FX35" s="74" t="str">
        <f t="shared" ca="1" si="86"/>
        <v/>
      </c>
      <c r="FY35" s="74" t="str">
        <f t="shared" ca="1" si="86"/>
        <v/>
      </c>
      <c r="FZ35" s="74" t="str">
        <f t="shared" ca="1" si="86"/>
        <v/>
      </c>
      <c r="GA35" s="74" t="str">
        <f t="shared" ca="1" si="86"/>
        <v/>
      </c>
      <c r="GB35" s="74" t="str">
        <f t="shared" ca="1" si="86"/>
        <v/>
      </c>
      <c r="GC35" s="74" t="str">
        <f t="shared" ca="1" si="86"/>
        <v/>
      </c>
      <c r="GD35" s="74" t="str">
        <f t="shared" ca="1" si="86"/>
        <v/>
      </c>
      <c r="GE35" s="74" t="str">
        <f t="shared" ca="1" si="86"/>
        <v/>
      </c>
      <c r="GF35" s="74" t="str">
        <f t="shared" ca="1" si="86"/>
        <v/>
      </c>
      <c r="GG35" s="74" t="str">
        <f t="shared" ca="1" si="86"/>
        <v/>
      </c>
      <c r="GH35" s="74" t="str">
        <f t="shared" ca="1" si="87"/>
        <v/>
      </c>
      <c r="GI35" s="74" t="str">
        <f t="shared" ca="1" si="87"/>
        <v/>
      </c>
      <c r="GJ35" s="74" t="str">
        <f t="shared" ca="1" si="87"/>
        <v/>
      </c>
      <c r="GK35" s="74" t="str">
        <f t="shared" ca="1" si="87"/>
        <v/>
      </c>
      <c r="GL35" s="74" t="str">
        <f t="shared" ca="1" si="87"/>
        <v/>
      </c>
      <c r="GM35" s="74" t="str">
        <f t="shared" ca="1" si="87"/>
        <v/>
      </c>
      <c r="GN35" s="74" t="str">
        <f t="shared" ca="1" si="87"/>
        <v/>
      </c>
      <c r="GO35" s="74" t="str">
        <f t="shared" ca="1" si="87"/>
        <v/>
      </c>
      <c r="GP35" s="74" t="str">
        <f t="shared" ca="1" si="87"/>
        <v/>
      </c>
      <c r="GQ35" s="74" t="str">
        <f t="shared" ca="1" si="87"/>
        <v/>
      </c>
      <c r="GR35" s="74" t="str">
        <f t="shared" ca="1" si="88"/>
        <v/>
      </c>
      <c r="GS35" s="74" t="str">
        <f t="shared" ca="1" si="88"/>
        <v/>
      </c>
      <c r="GT35" s="74" t="str">
        <f t="shared" ca="1" si="88"/>
        <v/>
      </c>
      <c r="GU35" s="74" t="str">
        <f t="shared" ca="1" si="88"/>
        <v/>
      </c>
      <c r="GV35" s="74" t="str">
        <f t="shared" ca="1" si="88"/>
        <v/>
      </c>
      <c r="GW35" s="74" t="str">
        <f t="shared" ca="1" si="88"/>
        <v/>
      </c>
      <c r="GX35" s="74" t="str">
        <f t="shared" ca="1" si="88"/>
        <v/>
      </c>
      <c r="GY35" s="74" t="str">
        <f t="shared" ca="1" si="88"/>
        <v/>
      </c>
      <c r="GZ35" s="74" t="str">
        <f t="shared" ca="1" si="88"/>
        <v/>
      </c>
      <c r="HA35" s="74" t="str">
        <f t="shared" ca="1" si="88"/>
        <v/>
      </c>
      <c r="HB35" s="74" t="str">
        <f t="shared" ca="1" si="89"/>
        <v/>
      </c>
      <c r="HC35" s="74" t="str">
        <f t="shared" ca="1" si="89"/>
        <v/>
      </c>
      <c r="HD35" s="74" t="str">
        <f t="shared" ca="1" si="89"/>
        <v/>
      </c>
      <c r="HE35" s="74" t="str">
        <f t="shared" ca="1" si="89"/>
        <v/>
      </c>
      <c r="HF35" s="74" t="str">
        <f t="shared" ca="1" si="89"/>
        <v/>
      </c>
      <c r="HG35" s="74" t="str">
        <f t="shared" ca="1" si="89"/>
        <v/>
      </c>
      <c r="HH35" s="74" t="str">
        <f t="shared" ca="1" si="89"/>
        <v/>
      </c>
      <c r="HI35" s="74" t="str">
        <f t="shared" ca="1" si="89"/>
        <v/>
      </c>
      <c r="HJ35" s="74" t="str">
        <f t="shared" ca="1" si="89"/>
        <v/>
      </c>
      <c r="HK35" s="74" t="str">
        <f t="shared" ca="1" si="89"/>
        <v/>
      </c>
      <c r="HL35" s="74" t="str">
        <f t="shared" ca="1" si="90"/>
        <v/>
      </c>
      <c r="HM35" s="74" t="str">
        <f t="shared" ca="1" si="90"/>
        <v/>
      </c>
      <c r="HN35" s="74" t="str">
        <f t="shared" ca="1" si="90"/>
        <v/>
      </c>
      <c r="HO35" s="74" t="str">
        <f t="shared" ca="1" si="90"/>
        <v/>
      </c>
      <c r="HP35" s="74" t="str">
        <f t="shared" ca="1" si="90"/>
        <v/>
      </c>
      <c r="HQ35" s="74" t="str">
        <f t="shared" ca="1" si="90"/>
        <v/>
      </c>
      <c r="HR35" s="74" t="str">
        <f t="shared" ca="1" si="90"/>
        <v/>
      </c>
      <c r="HS35" s="74" t="str">
        <f t="shared" ca="1" si="90"/>
        <v/>
      </c>
      <c r="HT35" s="74" t="str">
        <f t="shared" ca="1" si="90"/>
        <v/>
      </c>
      <c r="HU35" s="74" t="str">
        <f t="shared" ca="1" si="90"/>
        <v/>
      </c>
      <c r="HV35" s="74" t="str">
        <f t="shared" ca="1" si="91"/>
        <v/>
      </c>
      <c r="HW35" s="74" t="str">
        <f t="shared" ca="1" si="91"/>
        <v/>
      </c>
      <c r="HX35" s="74" t="str">
        <f t="shared" ca="1" si="91"/>
        <v/>
      </c>
      <c r="HY35" s="74" t="str">
        <f t="shared" ca="1" si="91"/>
        <v/>
      </c>
      <c r="HZ35" s="74" t="str">
        <f t="shared" ca="1" si="91"/>
        <v/>
      </c>
      <c r="IA35" s="74" t="str">
        <f t="shared" ca="1" si="91"/>
        <v/>
      </c>
      <c r="IB35" s="74" t="str">
        <f t="shared" ca="1" si="91"/>
        <v/>
      </c>
      <c r="IC35" s="74" t="str">
        <f t="shared" ca="1" si="91"/>
        <v/>
      </c>
      <c r="ID35" s="74" t="str">
        <f t="shared" ca="1" si="91"/>
        <v/>
      </c>
      <c r="IE35" s="74" t="str">
        <f t="shared" ca="1" si="91"/>
        <v/>
      </c>
      <c r="IF35" s="74" t="str">
        <f t="shared" ca="1" si="92"/>
        <v/>
      </c>
      <c r="IG35" s="74" t="str">
        <f t="shared" ca="1" si="92"/>
        <v/>
      </c>
      <c r="IH35" s="74" t="str">
        <f t="shared" ca="1" si="92"/>
        <v/>
      </c>
      <c r="II35" s="74" t="str">
        <f t="shared" ca="1" si="92"/>
        <v/>
      </c>
      <c r="IJ35" s="74" t="str">
        <f t="shared" ca="1" si="92"/>
        <v/>
      </c>
      <c r="IK35" s="74" t="str">
        <f t="shared" ca="1" si="92"/>
        <v/>
      </c>
      <c r="IL35" s="74" t="str">
        <f t="shared" ca="1" si="92"/>
        <v/>
      </c>
      <c r="IM35" s="74" t="str">
        <f t="shared" ca="1" si="92"/>
        <v/>
      </c>
      <c r="IN35" s="74" t="str">
        <f t="shared" ca="1" si="92"/>
        <v/>
      </c>
      <c r="IO35" s="74" t="str">
        <f t="shared" ca="1" si="92"/>
        <v/>
      </c>
      <c r="IP35" s="74" t="str">
        <f t="shared" ca="1" si="93"/>
        <v/>
      </c>
      <c r="IQ35" s="74" t="str">
        <f t="shared" ca="1" si="93"/>
        <v/>
      </c>
      <c r="IR35" s="74" t="str">
        <f t="shared" ca="1" si="93"/>
        <v/>
      </c>
      <c r="IS35" s="74" t="str">
        <f t="shared" ca="1" si="93"/>
        <v/>
      </c>
      <c r="IT35" s="74" t="str">
        <f t="shared" ca="1" si="93"/>
        <v/>
      </c>
      <c r="IU35" s="74" t="str">
        <f t="shared" ca="1" si="93"/>
        <v/>
      </c>
      <c r="IV35" s="74" t="str">
        <f t="shared" ca="1" si="93"/>
        <v/>
      </c>
      <c r="IW35" s="74" t="str">
        <f t="shared" ca="1" si="93"/>
        <v/>
      </c>
      <c r="IX35" s="74" t="str">
        <f t="shared" ca="1" si="93"/>
        <v/>
      </c>
      <c r="IY35" s="74" t="str">
        <f t="shared" ca="1" si="93"/>
        <v/>
      </c>
      <c r="IZ35" s="74" t="str">
        <f t="shared" ca="1" si="94"/>
        <v/>
      </c>
      <c r="JA35" s="74" t="str">
        <f t="shared" ca="1" si="94"/>
        <v/>
      </c>
      <c r="JB35" s="74" t="str">
        <f t="shared" ca="1" si="94"/>
        <v/>
      </c>
      <c r="JC35" s="74" t="str">
        <f t="shared" ca="1" si="94"/>
        <v/>
      </c>
      <c r="JD35" s="74" t="str">
        <f t="shared" ca="1" si="94"/>
        <v/>
      </c>
      <c r="JE35" s="74" t="str">
        <f t="shared" ca="1" si="94"/>
        <v/>
      </c>
      <c r="JF35" s="74" t="str">
        <f t="shared" ca="1" si="94"/>
        <v/>
      </c>
      <c r="JG35" s="74" t="str">
        <f t="shared" ca="1" si="94"/>
        <v/>
      </c>
      <c r="JH35" s="74" t="str">
        <f t="shared" ca="1" si="94"/>
        <v/>
      </c>
      <c r="JI35" s="74" t="str">
        <f t="shared" ca="1" si="94"/>
        <v/>
      </c>
      <c r="JJ35" s="74" t="str">
        <f t="shared" ca="1" si="95"/>
        <v/>
      </c>
      <c r="JK35" s="74" t="str">
        <f t="shared" ca="1" si="95"/>
        <v/>
      </c>
      <c r="JL35" s="74" t="str">
        <f t="shared" ca="1" si="95"/>
        <v/>
      </c>
      <c r="JM35" s="74" t="str">
        <f t="shared" ca="1" si="95"/>
        <v/>
      </c>
      <c r="JN35" s="74" t="str">
        <f t="shared" ca="1" si="95"/>
        <v/>
      </c>
      <c r="JO35" s="74" t="str">
        <f t="shared" ca="1" si="95"/>
        <v/>
      </c>
      <c r="JP35" s="74" t="str">
        <f t="shared" ca="1" si="95"/>
        <v/>
      </c>
      <c r="JQ35" s="74" t="str">
        <f t="shared" ca="1" si="95"/>
        <v/>
      </c>
      <c r="JR35" s="74" t="str">
        <f t="shared" ca="1" si="95"/>
        <v/>
      </c>
      <c r="JS35" s="74" t="str">
        <f t="shared" ca="1" si="95"/>
        <v/>
      </c>
      <c r="JT35" s="74" t="str">
        <f t="shared" ca="1" si="96"/>
        <v/>
      </c>
      <c r="JU35" s="74" t="str">
        <f t="shared" ca="1" si="96"/>
        <v/>
      </c>
      <c r="JV35" s="74" t="str">
        <f t="shared" ca="1" si="96"/>
        <v/>
      </c>
      <c r="JW35" s="74" t="str">
        <f t="shared" ca="1" si="96"/>
        <v/>
      </c>
      <c r="JX35" s="74" t="str">
        <f t="shared" ca="1" si="96"/>
        <v/>
      </c>
      <c r="JY35" s="74" t="str">
        <f t="shared" ca="1" si="96"/>
        <v/>
      </c>
      <c r="JZ35" s="74" t="str">
        <f t="shared" ca="1" si="96"/>
        <v/>
      </c>
      <c r="KA35" s="74" t="str">
        <f t="shared" ca="1" si="96"/>
        <v/>
      </c>
      <c r="KB35" s="74" t="str">
        <f t="shared" ca="1" si="96"/>
        <v/>
      </c>
      <c r="KC35" s="74" t="str">
        <f t="shared" ca="1" si="96"/>
        <v/>
      </c>
      <c r="KD35" s="74" t="str">
        <f t="shared" ca="1" si="97"/>
        <v/>
      </c>
      <c r="KE35" s="74" t="str">
        <f t="shared" ca="1" si="97"/>
        <v/>
      </c>
      <c r="KF35" s="74" t="str">
        <f t="shared" ca="1" si="97"/>
        <v/>
      </c>
      <c r="KG35" s="74" t="str">
        <f t="shared" ca="1" si="97"/>
        <v/>
      </c>
      <c r="KH35" s="74" t="str">
        <f t="shared" ca="1" si="97"/>
        <v/>
      </c>
      <c r="KI35" s="74" t="str">
        <f t="shared" ca="1" si="97"/>
        <v/>
      </c>
      <c r="KJ35" s="74" t="str">
        <f t="shared" ca="1" si="97"/>
        <v/>
      </c>
      <c r="KK35" s="74" t="str">
        <f t="shared" ca="1" si="97"/>
        <v/>
      </c>
      <c r="KL35" s="74" t="str">
        <f t="shared" ca="1" si="97"/>
        <v/>
      </c>
      <c r="KM35" s="74" t="str">
        <f t="shared" ca="1" si="97"/>
        <v/>
      </c>
      <c r="KN35" s="74" t="str">
        <f t="shared" ca="1" si="98"/>
        <v/>
      </c>
      <c r="KO35" s="74" t="str">
        <f t="shared" ca="1" si="98"/>
        <v/>
      </c>
      <c r="KP35" s="74" t="str">
        <f t="shared" ca="1" si="98"/>
        <v/>
      </c>
      <c r="KQ35" s="74" t="str">
        <f t="shared" ca="1" si="98"/>
        <v/>
      </c>
      <c r="KR35" s="74" t="str">
        <f t="shared" ca="1" si="98"/>
        <v/>
      </c>
      <c r="KS35" s="74" t="str">
        <f t="shared" ca="1" si="98"/>
        <v/>
      </c>
      <c r="KT35" s="74" t="str">
        <f t="shared" ca="1" si="98"/>
        <v/>
      </c>
      <c r="KU35" s="74" t="str">
        <f t="shared" ca="1" si="98"/>
        <v/>
      </c>
      <c r="KV35" s="74" t="str">
        <f t="shared" ca="1" si="98"/>
        <v/>
      </c>
      <c r="KW35" s="74" t="str">
        <f t="shared" ca="1" si="98"/>
        <v/>
      </c>
      <c r="KX35" s="74" t="str">
        <f t="shared" ca="1" si="99"/>
        <v/>
      </c>
      <c r="KY35" s="74" t="str">
        <f t="shared" ca="1" si="99"/>
        <v/>
      </c>
      <c r="KZ35" s="74" t="str">
        <f t="shared" ca="1" si="99"/>
        <v/>
      </c>
      <c r="LA35" s="74" t="str">
        <f t="shared" ca="1" si="99"/>
        <v/>
      </c>
      <c r="LB35" s="74" t="str">
        <f t="shared" ca="1" si="99"/>
        <v/>
      </c>
      <c r="LC35" s="74" t="str">
        <f t="shared" ca="1" si="99"/>
        <v/>
      </c>
      <c r="LD35" s="74" t="str">
        <f t="shared" ca="1" si="99"/>
        <v/>
      </c>
      <c r="LE35" s="74" t="str">
        <f t="shared" ca="1" si="99"/>
        <v/>
      </c>
      <c r="LF35" s="74" t="str">
        <f t="shared" ca="1" si="99"/>
        <v/>
      </c>
      <c r="LG35" s="74" t="str">
        <f t="shared" ca="1" si="99"/>
        <v/>
      </c>
      <c r="LH35" s="74" t="str">
        <f t="shared" ca="1" si="100"/>
        <v/>
      </c>
      <c r="LI35" s="74" t="str">
        <f t="shared" ca="1" si="100"/>
        <v/>
      </c>
      <c r="LJ35" s="74" t="str">
        <f t="shared" ca="1" si="100"/>
        <v/>
      </c>
      <c r="LK35" s="74" t="str">
        <f t="shared" ca="1" si="100"/>
        <v/>
      </c>
      <c r="LL35" s="74" t="str">
        <f t="shared" ca="1" si="100"/>
        <v/>
      </c>
      <c r="LM35" s="74" t="str">
        <f t="shared" ca="1" si="100"/>
        <v/>
      </c>
      <c r="LN35" s="74" t="str">
        <f t="shared" ca="1" si="100"/>
        <v/>
      </c>
      <c r="LO35" s="74" t="str">
        <f t="shared" ca="1" si="100"/>
        <v/>
      </c>
      <c r="LP35" s="74" t="str">
        <f t="shared" ca="1" si="100"/>
        <v/>
      </c>
      <c r="LQ35" s="74" t="str">
        <f t="shared" ca="1" si="100"/>
        <v/>
      </c>
      <c r="LR35" s="74" t="str">
        <f t="shared" ca="1" si="101"/>
        <v/>
      </c>
      <c r="LS35" s="74" t="str">
        <f t="shared" ca="1" si="101"/>
        <v/>
      </c>
      <c r="LT35" s="74" t="str">
        <f t="shared" ca="1" si="101"/>
        <v/>
      </c>
      <c r="LU35" s="74" t="str">
        <f t="shared" ca="1" si="101"/>
        <v/>
      </c>
      <c r="LV35" s="74" t="str">
        <f t="shared" ca="1" si="101"/>
        <v/>
      </c>
      <c r="LW35" s="74" t="str">
        <f t="shared" ca="1" si="101"/>
        <v/>
      </c>
      <c r="LX35" s="74" t="str">
        <f t="shared" ca="1" si="101"/>
        <v/>
      </c>
      <c r="LY35" s="74" t="str">
        <f t="shared" ca="1" si="101"/>
        <v/>
      </c>
      <c r="LZ35" s="74" t="str">
        <f t="shared" ca="1" si="101"/>
        <v/>
      </c>
      <c r="MA35" s="74" t="str">
        <f t="shared" ca="1" si="101"/>
        <v/>
      </c>
      <c r="MB35" s="74" t="str">
        <f t="shared" ca="1" si="102"/>
        <v/>
      </c>
      <c r="MC35" s="74" t="str">
        <f t="shared" ca="1" si="102"/>
        <v/>
      </c>
      <c r="MD35" s="74" t="str">
        <f t="shared" ca="1" si="102"/>
        <v/>
      </c>
      <c r="ME35" s="74" t="str">
        <f t="shared" ca="1" si="102"/>
        <v/>
      </c>
      <c r="MF35" s="74" t="str">
        <f t="shared" ca="1" si="102"/>
        <v/>
      </c>
      <c r="MG35" s="74" t="str">
        <f t="shared" ca="1" si="102"/>
        <v/>
      </c>
      <c r="MH35" s="74" t="str">
        <f t="shared" ca="1" si="102"/>
        <v/>
      </c>
      <c r="MI35" s="74" t="str">
        <f t="shared" ca="1" si="102"/>
        <v/>
      </c>
      <c r="MJ35" s="74" t="str">
        <f t="shared" ca="1" si="102"/>
        <v/>
      </c>
      <c r="MK35" s="74" t="str">
        <f t="shared" ca="1" si="102"/>
        <v/>
      </c>
      <c r="ML35" s="74" t="str">
        <f t="shared" ca="1" si="103"/>
        <v/>
      </c>
      <c r="MM35" s="74" t="str">
        <f t="shared" ca="1" si="103"/>
        <v/>
      </c>
      <c r="MN35" s="74" t="str">
        <f t="shared" ca="1" si="103"/>
        <v/>
      </c>
      <c r="MO35" s="74" t="str">
        <f t="shared" ca="1" si="103"/>
        <v/>
      </c>
      <c r="MP35" s="74" t="str">
        <f t="shared" ca="1" si="103"/>
        <v/>
      </c>
      <c r="MQ35" s="74" t="str">
        <f t="shared" ca="1" si="103"/>
        <v/>
      </c>
      <c r="MR35" s="74" t="str">
        <f t="shared" ca="1" si="103"/>
        <v/>
      </c>
      <c r="MS35" s="74" t="str">
        <f t="shared" ca="1" si="103"/>
        <v/>
      </c>
      <c r="MT35" s="74" t="str">
        <f t="shared" ca="1" si="103"/>
        <v/>
      </c>
      <c r="MU35" s="74" t="str">
        <f t="shared" ca="1" si="103"/>
        <v/>
      </c>
      <c r="MV35" s="74" t="str">
        <f t="shared" ca="1" si="104"/>
        <v/>
      </c>
      <c r="MW35" s="74" t="str">
        <f t="shared" ca="1" si="104"/>
        <v/>
      </c>
      <c r="MX35" s="74" t="str">
        <f t="shared" ca="1" si="104"/>
        <v/>
      </c>
      <c r="MY35" s="74" t="str">
        <f t="shared" ca="1" si="104"/>
        <v/>
      </c>
      <c r="MZ35" s="74" t="str">
        <f t="shared" ca="1" si="104"/>
        <v/>
      </c>
      <c r="NA35" s="74" t="str">
        <f t="shared" ca="1" si="104"/>
        <v/>
      </c>
      <c r="NB35" s="74" t="str">
        <f t="shared" ca="1" si="104"/>
        <v/>
      </c>
      <c r="NC35" s="74" t="str">
        <f t="shared" ca="1" si="104"/>
        <v/>
      </c>
      <c r="ND35" s="74" t="str">
        <f t="shared" ca="1" si="104"/>
        <v/>
      </c>
      <c r="NE35" s="74" t="str">
        <f t="shared" ca="1" si="104"/>
        <v/>
      </c>
      <c r="NF35" s="74" t="str">
        <f t="shared" ca="1" si="105"/>
        <v/>
      </c>
      <c r="NG35" s="74" t="str">
        <f t="shared" ca="1" si="105"/>
        <v/>
      </c>
      <c r="NH35" s="74" t="str">
        <f t="shared" ca="1" si="105"/>
        <v/>
      </c>
      <c r="NI35" s="74" t="str">
        <f t="shared" ca="1" si="105"/>
        <v/>
      </c>
      <c r="NJ35" s="74" t="str">
        <f t="shared" ca="1" si="105"/>
        <v/>
      </c>
      <c r="NK35" s="74" t="str">
        <f t="shared" ca="1" si="105"/>
        <v/>
      </c>
      <c r="NL35" s="74" t="str">
        <f t="shared" ca="1" si="105"/>
        <v/>
      </c>
      <c r="NM35" s="74" t="str">
        <f t="shared" ca="1" si="105"/>
        <v/>
      </c>
      <c r="NN35" s="74" t="str">
        <f t="shared" ca="1" si="105"/>
        <v/>
      </c>
      <c r="NO35" s="74" t="str">
        <f t="shared" ca="1" si="105"/>
        <v/>
      </c>
      <c r="NP35" s="74" t="str">
        <f t="shared" ca="1" si="106"/>
        <v/>
      </c>
      <c r="NQ35" s="74" t="str">
        <f t="shared" ca="1" si="106"/>
        <v/>
      </c>
      <c r="NR35" s="74" t="str">
        <f t="shared" ca="1" si="106"/>
        <v/>
      </c>
      <c r="NS35" s="74" t="str">
        <f t="shared" ca="1" si="106"/>
        <v/>
      </c>
      <c r="NT35" s="74" t="str">
        <f t="shared" ca="1" si="106"/>
        <v/>
      </c>
      <c r="NU35" s="74" t="str">
        <f t="shared" ca="1" si="106"/>
        <v/>
      </c>
      <c r="NV35" s="74" t="str">
        <f t="shared" ca="1" si="106"/>
        <v/>
      </c>
      <c r="NW35" s="74" t="str">
        <f t="shared" ca="1" si="106"/>
        <v/>
      </c>
      <c r="NX35" s="74" t="str">
        <f t="shared" ca="1" si="106"/>
        <v/>
      </c>
      <c r="NY35" s="74" t="str">
        <f t="shared" ca="1" si="106"/>
        <v/>
      </c>
      <c r="NZ35" s="74" t="str">
        <f t="shared" ca="1" si="107"/>
        <v/>
      </c>
      <c r="OA35" s="74" t="str">
        <f t="shared" ca="1" si="107"/>
        <v/>
      </c>
      <c r="OB35" s="74" t="str">
        <f t="shared" ca="1" si="107"/>
        <v/>
      </c>
      <c r="OC35" s="74" t="str">
        <f t="shared" ca="1" si="107"/>
        <v/>
      </c>
      <c r="OD35" s="74" t="str">
        <f t="shared" ca="1" si="107"/>
        <v/>
      </c>
      <c r="OE35" s="74" t="str">
        <f t="shared" ca="1" si="107"/>
        <v/>
      </c>
      <c r="OF35" s="74" t="str">
        <f t="shared" ca="1" si="107"/>
        <v/>
      </c>
      <c r="OG35" s="74" t="str">
        <f t="shared" ca="1" si="107"/>
        <v/>
      </c>
      <c r="OH35" s="74" t="str">
        <f t="shared" ca="1" si="107"/>
        <v/>
      </c>
      <c r="OI35" s="74" t="str">
        <f t="shared" ca="1" si="107"/>
        <v/>
      </c>
      <c r="OJ35" s="74" t="str">
        <f t="shared" ca="1" si="108"/>
        <v/>
      </c>
      <c r="OK35" s="74" t="str">
        <f t="shared" ca="1" si="108"/>
        <v/>
      </c>
      <c r="OL35" s="74" t="str">
        <f t="shared" ca="1" si="108"/>
        <v/>
      </c>
      <c r="OM35" s="74" t="str">
        <f t="shared" ca="1" si="108"/>
        <v/>
      </c>
      <c r="ON35" s="74" t="str">
        <f t="shared" ca="1" si="108"/>
        <v/>
      </c>
      <c r="OO35" s="74" t="str">
        <f t="shared" ca="1" si="108"/>
        <v/>
      </c>
      <c r="OP35" s="74" t="str">
        <f t="shared" ca="1" si="108"/>
        <v/>
      </c>
      <c r="OQ35" s="74" t="str">
        <f t="shared" ca="1" si="108"/>
        <v/>
      </c>
      <c r="OR35" s="74" t="str">
        <f t="shared" ca="1" si="108"/>
        <v/>
      </c>
      <c r="OS35" s="74" t="str">
        <f t="shared" ca="1" si="108"/>
        <v/>
      </c>
      <c r="OT35" s="74" t="str">
        <f t="shared" ca="1" si="109"/>
        <v/>
      </c>
      <c r="OU35" s="74" t="str">
        <f t="shared" ca="1" si="109"/>
        <v/>
      </c>
      <c r="OV35" s="74" t="str">
        <f t="shared" ca="1" si="109"/>
        <v/>
      </c>
      <c r="OW35" s="74" t="str">
        <f t="shared" ca="1" si="109"/>
        <v/>
      </c>
      <c r="OX35" s="74" t="str">
        <f t="shared" ca="1" si="109"/>
        <v/>
      </c>
      <c r="OY35" s="74" t="str">
        <f t="shared" ca="1" si="109"/>
        <v/>
      </c>
      <c r="OZ35" s="74" t="str">
        <f t="shared" ca="1" si="109"/>
        <v/>
      </c>
      <c r="PA35" s="74" t="str">
        <f t="shared" ca="1" si="109"/>
        <v/>
      </c>
      <c r="PB35" s="74" t="str">
        <f t="shared" ca="1" si="109"/>
        <v/>
      </c>
      <c r="PC35" s="74" t="str">
        <f t="shared" ca="1" si="109"/>
        <v/>
      </c>
      <c r="PD35" s="74" t="str">
        <f t="shared" ca="1" si="110"/>
        <v/>
      </c>
      <c r="PE35" s="74" t="str">
        <f t="shared" ca="1" si="110"/>
        <v/>
      </c>
      <c r="PF35" s="74" t="str">
        <f t="shared" ca="1" si="110"/>
        <v/>
      </c>
      <c r="PG35" s="74" t="str">
        <f t="shared" ca="1" si="110"/>
        <v/>
      </c>
      <c r="PH35" s="74" t="str">
        <f t="shared" ca="1" si="110"/>
        <v/>
      </c>
      <c r="PI35" s="74" t="str">
        <f t="shared" ca="1" si="110"/>
        <v/>
      </c>
      <c r="PJ35" s="74" t="str">
        <f t="shared" ca="1" si="110"/>
        <v/>
      </c>
      <c r="PK35" s="74" t="str">
        <f t="shared" ca="1" si="110"/>
        <v/>
      </c>
      <c r="PL35" s="74" t="str">
        <f t="shared" ca="1" si="110"/>
        <v/>
      </c>
      <c r="PM35" s="74" t="str">
        <f t="shared" ca="1" si="110"/>
        <v/>
      </c>
      <c r="PN35" s="74" t="str">
        <f t="shared" ca="1" si="111"/>
        <v/>
      </c>
      <c r="PO35" s="74" t="str">
        <f t="shared" ca="1" si="111"/>
        <v/>
      </c>
      <c r="PP35" s="74" t="str">
        <f t="shared" ca="1" si="111"/>
        <v/>
      </c>
      <c r="PQ35" s="74" t="str">
        <f t="shared" ca="1" si="111"/>
        <v/>
      </c>
      <c r="PR35" s="74" t="str">
        <f t="shared" ca="1" si="111"/>
        <v/>
      </c>
      <c r="PS35" s="74" t="str">
        <f t="shared" ca="1" si="111"/>
        <v/>
      </c>
      <c r="PT35" s="74" t="str">
        <f t="shared" ca="1" si="111"/>
        <v/>
      </c>
      <c r="PU35" s="74" t="str">
        <f t="shared" ca="1" si="111"/>
        <v/>
      </c>
      <c r="PV35" s="74" t="str">
        <f t="shared" ca="1" si="111"/>
        <v/>
      </c>
      <c r="PW35" s="74" t="str">
        <f t="shared" ca="1" si="111"/>
        <v/>
      </c>
      <c r="PX35" s="74" t="str">
        <f t="shared" ca="1" si="112"/>
        <v/>
      </c>
      <c r="PY35" s="74" t="str">
        <f t="shared" ca="1" si="112"/>
        <v/>
      </c>
      <c r="PZ35" s="74" t="str">
        <f t="shared" ca="1" si="112"/>
        <v/>
      </c>
      <c r="QA35" s="74" t="str">
        <f t="shared" ca="1" si="112"/>
        <v/>
      </c>
      <c r="QB35" s="74" t="str">
        <f t="shared" ca="1" si="112"/>
        <v/>
      </c>
      <c r="QC35" s="74" t="str">
        <f t="shared" ca="1" si="112"/>
        <v/>
      </c>
      <c r="QD35" s="74" t="str">
        <f t="shared" ca="1" si="112"/>
        <v/>
      </c>
      <c r="QE35" s="74" t="str">
        <f t="shared" ca="1" si="112"/>
        <v/>
      </c>
      <c r="QF35" s="74" t="str">
        <f t="shared" ca="1" si="112"/>
        <v/>
      </c>
      <c r="QG35" s="74" t="str">
        <f t="shared" ca="1" si="112"/>
        <v/>
      </c>
      <c r="QH35" s="74" t="str">
        <f t="shared" ca="1" si="113"/>
        <v/>
      </c>
      <c r="QI35" s="74" t="str">
        <f t="shared" ca="1" si="113"/>
        <v/>
      </c>
      <c r="QJ35" s="74" t="str">
        <f t="shared" ca="1" si="113"/>
        <v/>
      </c>
      <c r="QK35" s="74" t="str">
        <f t="shared" ca="1" si="113"/>
        <v/>
      </c>
      <c r="QL35" s="74" t="str">
        <f t="shared" ca="1" si="113"/>
        <v/>
      </c>
      <c r="QM35" s="74" t="str">
        <f t="shared" ca="1" si="113"/>
        <v/>
      </c>
      <c r="QN35" s="74" t="str">
        <f t="shared" ca="1" si="113"/>
        <v/>
      </c>
      <c r="QO35" s="74" t="str">
        <f t="shared" ca="1" si="113"/>
        <v/>
      </c>
      <c r="QP35" s="74" t="str">
        <f t="shared" ca="1" si="113"/>
        <v/>
      </c>
      <c r="QQ35" s="74" t="str">
        <f t="shared" ca="1" si="113"/>
        <v/>
      </c>
      <c r="QR35" s="74" t="str">
        <f t="shared" ca="1" si="114"/>
        <v/>
      </c>
      <c r="QS35" s="74" t="str">
        <f t="shared" ca="1" si="114"/>
        <v/>
      </c>
      <c r="QT35" s="74" t="str">
        <f t="shared" ca="1" si="114"/>
        <v/>
      </c>
      <c r="QU35" s="74" t="str">
        <f t="shared" ca="1" si="114"/>
        <v/>
      </c>
      <c r="QV35" s="74" t="str">
        <f t="shared" ca="1" si="114"/>
        <v/>
      </c>
      <c r="QW35" s="74" t="str">
        <f t="shared" ca="1" si="114"/>
        <v/>
      </c>
      <c r="QX35" s="74" t="str">
        <f t="shared" ca="1" si="114"/>
        <v/>
      </c>
      <c r="QY35" s="74" t="str">
        <f t="shared" ca="1" si="114"/>
        <v/>
      </c>
      <c r="QZ35" s="74" t="str">
        <f t="shared" ca="1" si="114"/>
        <v/>
      </c>
      <c r="RA35" s="74" t="str">
        <f t="shared" ca="1" si="114"/>
        <v/>
      </c>
      <c r="RB35" s="74" t="str">
        <f t="shared" ca="1" si="115"/>
        <v/>
      </c>
      <c r="RC35" s="74" t="str">
        <f t="shared" ca="1" si="115"/>
        <v/>
      </c>
      <c r="RD35" s="74" t="str">
        <f t="shared" ca="1" si="115"/>
        <v/>
      </c>
      <c r="RE35" s="74" t="str">
        <f t="shared" ca="1" si="115"/>
        <v/>
      </c>
      <c r="RF35" s="74" t="str">
        <f t="shared" ca="1" si="115"/>
        <v/>
      </c>
      <c r="RG35" s="74" t="str">
        <f t="shared" ca="1" si="115"/>
        <v/>
      </c>
      <c r="RH35" s="74" t="str">
        <f t="shared" ca="1" si="115"/>
        <v/>
      </c>
      <c r="RI35" s="74" t="str">
        <f t="shared" ca="1" si="115"/>
        <v/>
      </c>
      <c r="RJ35" s="74" t="str">
        <f t="shared" ca="1" si="115"/>
        <v/>
      </c>
      <c r="RK35" s="74" t="str">
        <f t="shared" ca="1" si="115"/>
        <v/>
      </c>
      <c r="RL35" s="74" t="str">
        <f t="shared" ca="1" si="116"/>
        <v/>
      </c>
      <c r="RM35" s="74" t="str">
        <f t="shared" ca="1" si="116"/>
        <v/>
      </c>
      <c r="RN35" s="74" t="str">
        <f t="shared" ca="1" si="116"/>
        <v/>
      </c>
      <c r="RO35" s="74" t="str">
        <f t="shared" ca="1" si="116"/>
        <v/>
      </c>
      <c r="RP35" s="74" t="str">
        <f t="shared" ca="1" si="116"/>
        <v/>
      </c>
      <c r="RQ35" s="74" t="str">
        <f t="shared" ca="1" si="116"/>
        <v/>
      </c>
      <c r="RR35" s="74" t="str">
        <f t="shared" ca="1" si="116"/>
        <v/>
      </c>
      <c r="RS35" s="74" t="str">
        <f t="shared" ca="1" si="116"/>
        <v/>
      </c>
      <c r="RT35" s="74" t="str">
        <f t="shared" ca="1" si="116"/>
        <v/>
      </c>
      <c r="RU35" s="74" t="str">
        <f t="shared" ca="1" si="116"/>
        <v/>
      </c>
      <c r="RV35" s="74" t="str">
        <f t="shared" ca="1" si="117"/>
        <v/>
      </c>
      <c r="RW35" s="74" t="str">
        <f t="shared" ca="1" si="117"/>
        <v/>
      </c>
      <c r="RX35" s="74" t="str">
        <f t="shared" ca="1" si="117"/>
        <v/>
      </c>
      <c r="RY35" s="74" t="str">
        <f t="shared" ca="1" si="117"/>
        <v/>
      </c>
      <c r="RZ35" s="74" t="str">
        <f t="shared" ca="1" si="117"/>
        <v/>
      </c>
      <c r="SA35" s="74" t="str">
        <f t="shared" ca="1" si="117"/>
        <v/>
      </c>
      <c r="SB35" s="74" t="str">
        <f t="shared" ca="1" si="117"/>
        <v/>
      </c>
      <c r="SC35" s="74" t="str">
        <f t="shared" ca="1" si="117"/>
        <v/>
      </c>
      <c r="SD35" s="74" t="str">
        <f t="shared" ca="1" si="117"/>
        <v/>
      </c>
      <c r="SE35" s="74" t="str">
        <f t="shared" ca="1" si="117"/>
        <v/>
      </c>
      <c r="SF35" s="74" t="str">
        <f t="shared" ca="1" si="118"/>
        <v/>
      </c>
      <c r="SG35" s="74" t="str">
        <f t="shared" ca="1" si="118"/>
        <v/>
      </c>
      <c r="SH35" s="74" t="str">
        <f t="shared" ca="1" si="118"/>
        <v/>
      </c>
      <c r="SI35" s="74" t="str">
        <f t="shared" ca="1" si="118"/>
        <v/>
      </c>
      <c r="SJ35" s="74" t="str">
        <f t="shared" ca="1" si="118"/>
        <v/>
      </c>
      <c r="SK35" s="74" t="str">
        <f t="shared" ca="1" si="118"/>
        <v/>
      </c>
      <c r="SL35" s="74" t="str">
        <f t="shared" ca="1" si="118"/>
        <v/>
      </c>
      <c r="SM35" s="74" t="str">
        <f t="shared" ca="1" si="118"/>
        <v/>
      </c>
      <c r="SN35" s="74" t="str">
        <f t="shared" ca="1" si="118"/>
        <v/>
      </c>
      <c r="SO35" s="74" t="str">
        <f t="shared" ca="1" si="118"/>
        <v/>
      </c>
      <c r="SP35" s="74" t="str">
        <f t="shared" ca="1" si="119"/>
        <v/>
      </c>
      <c r="SQ35" s="74" t="str">
        <f t="shared" ca="1" si="119"/>
        <v/>
      </c>
      <c r="SR35" s="74" t="str">
        <f t="shared" ca="1" si="119"/>
        <v/>
      </c>
      <c r="SS35" s="74" t="str">
        <f t="shared" ca="1" si="119"/>
        <v/>
      </c>
      <c r="ST35" s="74" t="str">
        <f t="shared" ca="1" si="119"/>
        <v/>
      </c>
      <c r="SU35" s="74" t="str">
        <f t="shared" ca="1" si="119"/>
        <v/>
      </c>
      <c r="SV35" s="74" t="str">
        <f t="shared" ca="1" si="119"/>
        <v/>
      </c>
      <c r="SW35" s="74" t="str">
        <f t="shared" ca="1" si="119"/>
        <v/>
      </c>
      <c r="SX35" s="74" t="str">
        <f t="shared" ca="1" si="119"/>
        <v/>
      </c>
      <c r="SY35" s="74" t="str">
        <f t="shared" ca="1" si="119"/>
        <v/>
      </c>
      <c r="SZ35" s="74" t="str">
        <f t="shared" ca="1" si="120"/>
        <v/>
      </c>
      <c r="TA35" s="74" t="str">
        <f t="shared" ca="1" si="120"/>
        <v/>
      </c>
      <c r="TB35" s="74" t="str">
        <f t="shared" ca="1" si="120"/>
        <v/>
      </c>
      <c r="TC35" s="74" t="str">
        <f t="shared" ca="1" si="120"/>
        <v/>
      </c>
      <c r="TD35" s="74" t="str">
        <f t="shared" ca="1" si="120"/>
        <v/>
      </c>
      <c r="TE35" s="74" t="str">
        <f t="shared" ca="1" si="120"/>
        <v/>
      </c>
      <c r="TF35" s="74" t="str">
        <f t="shared" ca="1" si="120"/>
        <v/>
      </c>
      <c r="TG35" s="74" t="str">
        <f t="shared" ca="1" si="120"/>
        <v/>
      </c>
      <c r="TH35" s="74" t="str">
        <f t="shared" ca="1" si="120"/>
        <v/>
      </c>
      <c r="TI35" s="74" t="str">
        <f t="shared" ca="1" si="120"/>
        <v/>
      </c>
      <c r="TJ35" s="74" t="str">
        <f t="shared" ca="1" si="121"/>
        <v/>
      </c>
      <c r="TK35" s="74" t="str">
        <f t="shared" ca="1" si="121"/>
        <v/>
      </c>
      <c r="TL35" s="74" t="str">
        <f t="shared" ca="1" si="121"/>
        <v/>
      </c>
      <c r="TM35" s="74" t="str">
        <f t="shared" ca="1" si="121"/>
        <v/>
      </c>
      <c r="TN35" s="74" t="str">
        <f t="shared" ca="1" si="121"/>
        <v/>
      </c>
      <c r="TO35" s="74" t="str">
        <f t="shared" ca="1" si="121"/>
        <v/>
      </c>
      <c r="TP35" s="74" t="str">
        <f t="shared" ca="1" si="121"/>
        <v/>
      </c>
      <c r="TQ35" s="74" t="str">
        <f t="shared" ca="1" si="121"/>
        <v/>
      </c>
      <c r="TR35" s="74" t="str">
        <f t="shared" ca="1" si="121"/>
        <v/>
      </c>
      <c r="TS35" s="74" t="str">
        <f t="shared" ca="1" si="121"/>
        <v/>
      </c>
      <c r="TT35" s="74" t="str">
        <f t="shared" ca="1" si="122"/>
        <v/>
      </c>
      <c r="TU35" s="74" t="str">
        <f t="shared" ca="1" si="122"/>
        <v/>
      </c>
      <c r="TV35" s="74" t="str">
        <f t="shared" ca="1" si="122"/>
        <v/>
      </c>
      <c r="TW35" s="74" t="str">
        <f t="shared" ca="1" si="122"/>
        <v/>
      </c>
      <c r="TX35" s="74" t="str">
        <f t="shared" ca="1" si="122"/>
        <v/>
      </c>
      <c r="TY35" s="74" t="str">
        <f t="shared" ca="1" si="122"/>
        <v/>
      </c>
      <c r="TZ35" s="74" t="str">
        <f t="shared" ca="1" si="122"/>
        <v/>
      </c>
      <c r="UA35" s="74" t="str">
        <f t="shared" ca="1" si="122"/>
        <v/>
      </c>
      <c r="UB35" s="74" t="str">
        <f t="shared" ca="1" si="122"/>
        <v/>
      </c>
      <c r="UC35" s="74" t="str">
        <f t="shared" ca="1" si="122"/>
        <v/>
      </c>
      <c r="UD35" s="74" t="str">
        <f t="shared" ca="1" si="123"/>
        <v/>
      </c>
      <c r="UE35" s="74" t="str">
        <f t="shared" ca="1" si="123"/>
        <v/>
      </c>
      <c r="UF35" s="74" t="str">
        <f t="shared" ca="1" si="123"/>
        <v/>
      </c>
      <c r="UG35" s="74" t="str">
        <f t="shared" ca="1" si="123"/>
        <v/>
      </c>
      <c r="UH35" s="74" t="str">
        <f t="shared" ca="1" si="123"/>
        <v/>
      </c>
      <c r="UI35" s="74" t="str">
        <f t="shared" ca="1" si="123"/>
        <v/>
      </c>
      <c r="UJ35" s="74" t="str">
        <f t="shared" ca="1" si="123"/>
        <v/>
      </c>
      <c r="UK35" s="74" t="str">
        <f t="shared" ca="1" si="123"/>
        <v/>
      </c>
      <c r="UL35" s="74" t="str">
        <f t="shared" ca="1" si="123"/>
        <v/>
      </c>
      <c r="UM35" s="74" t="str">
        <f t="shared" ca="1" si="123"/>
        <v/>
      </c>
      <c r="UN35" s="74" t="str">
        <f t="shared" ca="1" si="124"/>
        <v/>
      </c>
      <c r="UO35" s="74" t="str">
        <f t="shared" ca="1" si="124"/>
        <v/>
      </c>
      <c r="UP35" s="74" t="str">
        <f t="shared" ca="1" si="124"/>
        <v/>
      </c>
      <c r="UQ35" s="74" t="str">
        <f t="shared" ca="1" si="124"/>
        <v/>
      </c>
      <c r="UR35" s="74" t="str">
        <f t="shared" ca="1" si="124"/>
        <v/>
      </c>
      <c r="US35" s="74" t="str">
        <f t="shared" ca="1" si="124"/>
        <v/>
      </c>
      <c r="UT35" s="74" t="str">
        <f t="shared" ca="1" si="124"/>
        <v/>
      </c>
      <c r="UU35" s="74" t="str">
        <f t="shared" ca="1" si="124"/>
        <v/>
      </c>
      <c r="UV35" s="74" t="str">
        <f t="shared" ca="1" si="124"/>
        <v/>
      </c>
      <c r="UW35" s="74" t="str">
        <f t="shared" ca="1" si="124"/>
        <v/>
      </c>
      <c r="UX35" s="74" t="str">
        <f t="shared" ca="1" si="125"/>
        <v/>
      </c>
      <c r="UY35" s="74" t="str">
        <f t="shared" ca="1" si="125"/>
        <v/>
      </c>
      <c r="UZ35" s="74" t="str">
        <f t="shared" ca="1" si="125"/>
        <v/>
      </c>
      <c r="VA35" s="74" t="str">
        <f t="shared" ca="1" si="125"/>
        <v/>
      </c>
      <c r="VB35" s="74" t="str">
        <f t="shared" ca="1" si="125"/>
        <v/>
      </c>
      <c r="VC35" s="74" t="str">
        <f t="shared" ca="1" si="125"/>
        <v/>
      </c>
      <c r="VD35" s="74" t="str">
        <f t="shared" ca="1" si="125"/>
        <v/>
      </c>
      <c r="VE35" s="74" t="str">
        <f t="shared" ca="1" si="125"/>
        <v/>
      </c>
      <c r="VF35" s="74" t="str">
        <f t="shared" ca="1" si="125"/>
        <v/>
      </c>
      <c r="VG35" s="74" t="str">
        <f t="shared" ca="1" si="125"/>
        <v/>
      </c>
      <c r="VH35" s="74" t="str">
        <f t="shared" ca="1" si="126"/>
        <v/>
      </c>
      <c r="VI35" s="74" t="str">
        <f t="shared" ca="1" si="126"/>
        <v/>
      </c>
      <c r="VJ35" s="74" t="str">
        <f t="shared" ca="1" si="126"/>
        <v/>
      </c>
      <c r="VK35" s="74" t="str">
        <f t="shared" ca="1" si="126"/>
        <v/>
      </c>
      <c r="VL35" s="74" t="str">
        <f t="shared" ca="1" si="126"/>
        <v/>
      </c>
      <c r="VM35" s="74" t="str">
        <f t="shared" ca="1" si="126"/>
        <v/>
      </c>
      <c r="VN35" s="74" t="str">
        <f t="shared" ca="1" si="126"/>
        <v/>
      </c>
      <c r="VO35" s="74" t="str">
        <f t="shared" ca="1" si="126"/>
        <v/>
      </c>
      <c r="VP35" s="74" t="str">
        <f t="shared" ca="1" si="126"/>
        <v/>
      </c>
      <c r="VQ35" s="74" t="str">
        <f t="shared" ca="1" si="126"/>
        <v/>
      </c>
      <c r="VR35" s="74" t="str">
        <f t="shared" ca="1" si="126"/>
        <v/>
      </c>
      <c r="VS35" s="74" t="str">
        <f t="shared" ca="1" si="126"/>
        <v/>
      </c>
    </row>
    <row r="36" spans="1:591" s="17" customFormat="1" ht="16.2" customHeight="1" x14ac:dyDescent="0.3">
      <c r="A36" s="81"/>
      <c r="B36" s="56" t="str">
        <f>'CoS Tracker'!$AL$7</f>
        <v>5. Purchaser DoV Execution Deadline</v>
      </c>
      <c r="C36" s="19" t="s">
        <v>75</v>
      </c>
      <c r="D36" s="19"/>
      <c r="E36" s="27">
        <v>0.1</v>
      </c>
      <c r="F36" s="26">
        <f>G35</f>
        <v>46177</v>
      </c>
      <c r="G36" s="26">
        <f>'CoS Tracker'!AL10</f>
        <v>46191</v>
      </c>
      <c r="H36" s="25">
        <f>Milestones43524[[#This Row],[End]]-Milestones43524[[#This Row],[Start]]</f>
        <v>14</v>
      </c>
      <c r="I36" s="19"/>
      <c r="J36" s="74" t="str">
        <f t="shared" ca="1" si="69"/>
        <v/>
      </c>
      <c r="K36" s="74" t="str">
        <f t="shared" ca="1" si="69"/>
        <v/>
      </c>
      <c r="L36" s="74" t="str">
        <f t="shared" ca="1" si="69"/>
        <v/>
      </c>
      <c r="M36" s="74" t="str">
        <f t="shared" ca="1" si="69"/>
        <v/>
      </c>
      <c r="N36" s="74" t="str">
        <f t="shared" ca="1" si="69"/>
        <v/>
      </c>
      <c r="O36" s="74" t="str">
        <f t="shared" ca="1" si="69"/>
        <v/>
      </c>
      <c r="P36" s="74" t="str">
        <f t="shared" ca="1" si="69"/>
        <v/>
      </c>
      <c r="Q36" s="74" t="str">
        <f t="shared" ca="1" si="69"/>
        <v/>
      </c>
      <c r="R36" s="74" t="str">
        <f t="shared" ca="1" si="69"/>
        <v/>
      </c>
      <c r="S36" s="74" t="str">
        <f t="shared" ca="1" si="69"/>
        <v/>
      </c>
      <c r="T36" s="74" t="str">
        <f t="shared" ca="1" si="70"/>
        <v/>
      </c>
      <c r="U36" s="74" t="str">
        <f t="shared" ca="1" si="70"/>
        <v/>
      </c>
      <c r="V36" s="74" t="str">
        <f t="shared" ca="1" si="70"/>
        <v/>
      </c>
      <c r="W36" s="74" t="str">
        <f t="shared" ca="1" si="70"/>
        <v/>
      </c>
      <c r="X36" s="74" t="str">
        <f t="shared" ca="1" si="70"/>
        <v/>
      </c>
      <c r="Y36" s="74" t="str">
        <f t="shared" ca="1" si="70"/>
        <v/>
      </c>
      <c r="Z36" s="74" t="str">
        <f t="shared" ca="1" si="70"/>
        <v/>
      </c>
      <c r="AA36" s="74" t="str">
        <f t="shared" ca="1" si="70"/>
        <v/>
      </c>
      <c r="AB36" s="74" t="str">
        <f t="shared" ca="1" si="70"/>
        <v/>
      </c>
      <c r="AC36" s="74" t="str">
        <f t="shared" ca="1" si="70"/>
        <v/>
      </c>
      <c r="AD36" s="74" t="str">
        <f t="shared" ca="1" si="71"/>
        <v/>
      </c>
      <c r="AE36" s="74" t="str">
        <f t="shared" ca="1" si="71"/>
        <v/>
      </c>
      <c r="AF36" s="74" t="str">
        <f t="shared" ca="1" si="71"/>
        <v/>
      </c>
      <c r="AG36" s="74" t="str">
        <f t="shared" ca="1" si="71"/>
        <v/>
      </c>
      <c r="AH36" s="74" t="str">
        <f t="shared" ca="1" si="71"/>
        <v/>
      </c>
      <c r="AI36" s="74" t="str">
        <f t="shared" ca="1" si="71"/>
        <v/>
      </c>
      <c r="AJ36" s="74" t="str">
        <f t="shared" ca="1" si="71"/>
        <v/>
      </c>
      <c r="AK36" s="74" t="str">
        <f t="shared" ca="1" si="71"/>
        <v/>
      </c>
      <c r="AL36" s="74" t="str">
        <f t="shared" ca="1" si="71"/>
        <v/>
      </c>
      <c r="AM36" s="74" t="str">
        <f t="shared" ca="1" si="71"/>
        <v/>
      </c>
      <c r="AN36" s="74" t="str">
        <f t="shared" ca="1" si="72"/>
        <v/>
      </c>
      <c r="AO36" s="74" t="str">
        <f t="shared" ca="1" si="72"/>
        <v/>
      </c>
      <c r="AP36" s="74" t="str">
        <f t="shared" ca="1" si="72"/>
        <v/>
      </c>
      <c r="AQ36" s="74" t="str">
        <f t="shared" ca="1" si="72"/>
        <v/>
      </c>
      <c r="AR36" s="74" t="str">
        <f t="shared" ca="1" si="72"/>
        <v/>
      </c>
      <c r="AS36" s="74" t="str">
        <f t="shared" ca="1" si="72"/>
        <v/>
      </c>
      <c r="AT36" s="74" t="str">
        <f t="shared" ca="1" si="72"/>
        <v/>
      </c>
      <c r="AU36" s="74" t="str">
        <f t="shared" ca="1" si="72"/>
        <v/>
      </c>
      <c r="AV36" s="74" t="str">
        <f t="shared" ca="1" si="72"/>
        <v/>
      </c>
      <c r="AW36" s="74" t="str">
        <f t="shared" ca="1" si="72"/>
        <v/>
      </c>
      <c r="AX36" s="74" t="str">
        <f t="shared" ca="1" si="73"/>
        <v/>
      </c>
      <c r="AY36" s="74" t="str">
        <f t="shared" ca="1" si="73"/>
        <v/>
      </c>
      <c r="AZ36" s="74" t="str">
        <f t="shared" ca="1" si="73"/>
        <v/>
      </c>
      <c r="BA36" s="74" t="str">
        <f t="shared" ca="1" si="73"/>
        <v/>
      </c>
      <c r="BB36" s="74" t="str">
        <f t="shared" ca="1" si="73"/>
        <v/>
      </c>
      <c r="BC36" s="74" t="str">
        <f t="shared" ca="1" si="73"/>
        <v/>
      </c>
      <c r="BD36" s="74" t="str">
        <f t="shared" ca="1" si="73"/>
        <v/>
      </c>
      <c r="BE36" s="74" t="str">
        <f t="shared" ca="1" si="73"/>
        <v/>
      </c>
      <c r="BF36" s="74" t="str">
        <f t="shared" ca="1" si="73"/>
        <v/>
      </c>
      <c r="BG36" s="74" t="str">
        <f t="shared" ca="1" si="73"/>
        <v/>
      </c>
      <c r="BH36" s="74" t="str">
        <f t="shared" ca="1" si="74"/>
        <v/>
      </c>
      <c r="BI36" s="74" t="str">
        <f t="shared" ca="1" si="74"/>
        <v/>
      </c>
      <c r="BJ36" s="74" t="str">
        <f t="shared" ca="1" si="74"/>
        <v/>
      </c>
      <c r="BK36" s="74" t="str">
        <f t="shared" ca="1" si="74"/>
        <v/>
      </c>
      <c r="BL36" s="74" t="str">
        <f t="shared" ca="1" si="74"/>
        <v/>
      </c>
      <c r="BM36" s="74" t="str">
        <f t="shared" ca="1" si="74"/>
        <v/>
      </c>
      <c r="BN36" s="74" t="str">
        <f t="shared" ca="1" si="74"/>
        <v/>
      </c>
      <c r="BO36" s="74" t="str">
        <f t="shared" ca="1" si="74"/>
        <v/>
      </c>
      <c r="BP36" s="74" t="str">
        <f t="shared" ca="1" si="74"/>
        <v/>
      </c>
      <c r="BQ36" s="74" t="str">
        <f t="shared" ca="1" si="74"/>
        <v/>
      </c>
      <c r="BR36" s="74" t="str">
        <f t="shared" ca="1" si="75"/>
        <v/>
      </c>
      <c r="BS36" s="74" t="str">
        <f t="shared" ca="1" si="75"/>
        <v/>
      </c>
      <c r="BT36" s="74" t="str">
        <f t="shared" ca="1" si="75"/>
        <v/>
      </c>
      <c r="BU36" s="74" t="str">
        <f t="shared" ca="1" si="75"/>
        <v/>
      </c>
      <c r="BV36" s="74" t="str">
        <f t="shared" ca="1" si="75"/>
        <v/>
      </c>
      <c r="BW36" s="74" t="str">
        <f t="shared" ca="1" si="75"/>
        <v/>
      </c>
      <c r="BX36" s="74" t="str">
        <f t="shared" ca="1" si="75"/>
        <v/>
      </c>
      <c r="BY36" s="74" t="str">
        <f t="shared" ca="1" si="75"/>
        <v/>
      </c>
      <c r="BZ36" s="74" t="str">
        <f t="shared" ca="1" si="75"/>
        <v/>
      </c>
      <c r="CA36" s="74" t="str">
        <f t="shared" ca="1" si="75"/>
        <v/>
      </c>
      <c r="CB36" s="74" t="str">
        <f t="shared" ca="1" si="76"/>
        <v/>
      </c>
      <c r="CC36" s="74" t="str">
        <f t="shared" ca="1" si="76"/>
        <v/>
      </c>
      <c r="CD36" s="74" t="str">
        <f t="shared" ca="1" si="76"/>
        <v/>
      </c>
      <c r="CE36" s="74" t="str">
        <f t="shared" ca="1" si="76"/>
        <v/>
      </c>
      <c r="CF36" s="74" t="str">
        <f t="shared" ca="1" si="76"/>
        <v/>
      </c>
      <c r="CG36" s="74" t="str">
        <f t="shared" ca="1" si="76"/>
        <v/>
      </c>
      <c r="CH36" s="74" t="str">
        <f t="shared" ca="1" si="76"/>
        <v/>
      </c>
      <c r="CI36" s="74" t="str">
        <f t="shared" ca="1" si="76"/>
        <v/>
      </c>
      <c r="CJ36" s="74" t="str">
        <f t="shared" ca="1" si="76"/>
        <v/>
      </c>
      <c r="CK36" s="74" t="str">
        <f t="shared" ca="1" si="76"/>
        <v/>
      </c>
      <c r="CL36" s="74" t="str">
        <f t="shared" ca="1" si="77"/>
        <v/>
      </c>
      <c r="CM36" s="74" t="str">
        <f t="shared" ca="1" si="77"/>
        <v/>
      </c>
      <c r="CN36" s="74" t="str">
        <f t="shared" ca="1" si="77"/>
        <v/>
      </c>
      <c r="CO36" s="74" t="str">
        <f t="shared" ca="1" si="77"/>
        <v/>
      </c>
      <c r="CP36" s="74" t="str">
        <f t="shared" ca="1" si="77"/>
        <v/>
      </c>
      <c r="CQ36" s="74" t="str">
        <f t="shared" ca="1" si="77"/>
        <v/>
      </c>
      <c r="CR36" s="74" t="str">
        <f t="shared" ca="1" si="77"/>
        <v/>
      </c>
      <c r="CS36" s="74" t="str">
        <f t="shared" ca="1" si="77"/>
        <v/>
      </c>
      <c r="CT36" s="74" t="str">
        <f t="shared" ca="1" si="77"/>
        <v/>
      </c>
      <c r="CU36" s="74" t="str">
        <f t="shared" ca="1" si="77"/>
        <v/>
      </c>
      <c r="CV36" s="74" t="str">
        <f t="shared" ca="1" si="78"/>
        <v/>
      </c>
      <c r="CW36" s="74" t="str">
        <f t="shared" ca="1" si="78"/>
        <v/>
      </c>
      <c r="CX36" s="74" t="str">
        <f t="shared" ca="1" si="78"/>
        <v/>
      </c>
      <c r="CY36" s="74" t="str">
        <f t="shared" ca="1" si="78"/>
        <v/>
      </c>
      <c r="CZ36" s="74" t="str">
        <f t="shared" ca="1" si="78"/>
        <v/>
      </c>
      <c r="DA36" s="74" t="str">
        <f t="shared" ca="1" si="78"/>
        <v/>
      </c>
      <c r="DB36" s="74" t="str">
        <f t="shared" ca="1" si="78"/>
        <v/>
      </c>
      <c r="DC36" s="74" t="str">
        <f t="shared" ca="1" si="78"/>
        <v/>
      </c>
      <c r="DD36" s="74" t="str">
        <f t="shared" ca="1" si="78"/>
        <v/>
      </c>
      <c r="DE36" s="74" t="str">
        <f t="shared" ca="1" si="78"/>
        <v/>
      </c>
      <c r="DF36" s="74" t="str">
        <f t="shared" ca="1" si="79"/>
        <v/>
      </c>
      <c r="DG36" s="74" t="str">
        <f t="shared" ca="1" si="79"/>
        <v/>
      </c>
      <c r="DH36" s="74" t="str">
        <f t="shared" ca="1" si="79"/>
        <v/>
      </c>
      <c r="DI36" s="74" t="str">
        <f t="shared" ca="1" si="79"/>
        <v/>
      </c>
      <c r="DJ36" s="74" t="str">
        <f t="shared" ca="1" si="79"/>
        <v/>
      </c>
      <c r="DK36" s="74" t="str">
        <f t="shared" ca="1" si="79"/>
        <v/>
      </c>
      <c r="DL36" s="74" t="str">
        <f t="shared" ca="1" si="79"/>
        <v/>
      </c>
      <c r="DM36" s="74" t="str">
        <f t="shared" ca="1" si="79"/>
        <v/>
      </c>
      <c r="DN36" s="74" t="str">
        <f t="shared" ca="1" si="79"/>
        <v/>
      </c>
      <c r="DO36" s="74" t="str">
        <f t="shared" ca="1" si="79"/>
        <v/>
      </c>
      <c r="DP36" s="74" t="str">
        <f t="shared" ca="1" si="80"/>
        <v/>
      </c>
      <c r="DQ36" s="74" t="str">
        <f t="shared" ca="1" si="80"/>
        <v/>
      </c>
      <c r="DR36" s="74" t="str">
        <f t="shared" ca="1" si="80"/>
        <v/>
      </c>
      <c r="DS36" s="74" t="str">
        <f t="shared" ca="1" si="80"/>
        <v/>
      </c>
      <c r="DT36" s="74" t="str">
        <f t="shared" ca="1" si="80"/>
        <v/>
      </c>
      <c r="DU36" s="74" t="str">
        <f t="shared" ca="1" si="80"/>
        <v/>
      </c>
      <c r="DV36" s="74" t="str">
        <f t="shared" ca="1" si="80"/>
        <v/>
      </c>
      <c r="DW36" s="74" t="str">
        <f t="shared" ca="1" si="80"/>
        <v/>
      </c>
      <c r="DX36" s="74" t="str">
        <f t="shared" ca="1" si="80"/>
        <v/>
      </c>
      <c r="DY36" s="74" t="str">
        <f t="shared" ca="1" si="80"/>
        <v/>
      </c>
      <c r="DZ36" s="74" t="str">
        <f t="shared" ca="1" si="81"/>
        <v/>
      </c>
      <c r="EA36" s="74" t="str">
        <f t="shared" ca="1" si="81"/>
        <v/>
      </c>
      <c r="EB36" s="74" t="str">
        <f t="shared" ca="1" si="81"/>
        <v/>
      </c>
      <c r="EC36" s="74" t="str">
        <f t="shared" ca="1" si="81"/>
        <v/>
      </c>
      <c r="ED36" s="74" t="str">
        <f t="shared" ca="1" si="81"/>
        <v/>
      </c>
      <c r="EE36" s="74" t="str">
        <f t="shared" ca="1" si="81"/>
        <v/>
      </c>
      <c r="EF36" s="74" t="str">
        <f t="shared" ca="1" si="81"/>
        <v/>
      </c>
      <c r="EG36" s="74" t="str">
        <f t="shared" ca="1" si="81"/>
        <v/>
      </c>
      <c r="EH36" s="74" t="str">
        <f t="shared" ca="1" si="81"/>
        <v/>
      </c>
      <c r="EI36" s="74" t="str">
        <f t="shared" ca="1" si="81"/>
        <v/>
      </c>
      <c r="EJ36" s="74" t="str">
        <f t="shared" ca="1" si="82"/>
        <v/>
      </c>
      <c r="EK36" s="74" t="str">
        <f t="shared" ca="1" si="82"/>
        <v/>
      </c>
      <c r="EL36" s="74" t="str">
        <f t="shared" ca="1" si="82"/>
        <v/>
      </c>
      <c r="EM36" s="74" t="str">
        <f t="shared" ca="1" si="82"/>
        <v/>
      </c>
      <c r="EN36" s="74" t="str">
        <f t="shared" ca="1" si="82"/>
        <v/>
      </c>
      <c r="EO36" s="74" t="str">
        <f t="shared" ca="1" si="82"/>
        <v/>
      </c>
      <c r="EP36" s="74" t="str">
        <f t="shared" ca="1" si="82"/>
        <v/>
      </c>
      <c r="EQ36" s="74" t="str">
        <f t="shared" ca="1" si="82"/>
        <v/>
      </c>
      <c r="ER36" s="74" t="str">
        <f t="shared" ca="1" si="82"/>
        <v/>
      </c>
      <c r="ES36" s="74" t="str">
        <f t="shared" ca="1" si="82"/>
        <v/>
      </c>
      <c r="ET36" s="74" t="str">
        <f t="shared" ca="1" si="83"/>
        <v/>
      </c>
      <c r="EU36" s="74" t="str">
        <f t="shared" ca="1" si="83"/>
        <v/>
      </c>
      <c r="EV36" s="74" t="str">
        <f t="shared" ca="1" si="83"/>
        <v/>
      </c>
      <c r="EW36" s="74" t="str">
        <f t="shared" ca="1" si="83"/>
        <v/>
      </c>
      <c r="EX36" s="74" t="str">
        <f t="shared" ca="1" si="83"/>
        <v/>
      </c>
      <c r="EY36" s="74" t="str">
        <f t="shared" ca="1" si="83"/>
        <v/>
      </c>
      <c r="EZ36" s="74" t="str">
        <f t="shared" ca="1" si="83"/>
        <v/>
      </c>
      <c r="FA36" s="74" t="str">
        <f t="shared" ca="1" si="83"/>
        <v/>
      </c>
      <c r="FB36" s="74" t="str">
        <f t="shared" ca="1" si="83"/>
        <v/>
      </c>
      <c r="FC36" s="74" t="str">
        <f t="shared" ca="1" si="83"/>
        <v/>
      </c>
      <c r="FD36" s="74" t="str">
        <f t="shared" ca="1" si="84"/>
        <v/>
      </c>
      <c r="FE36" s="74" t="str">
        <f t="shared" ca="1" si="84"/>
        <v/>
      </c>
      <c r="FF36" s="74" t="str">
        <f t="shared" ca="1" si="84"/>
        <v/>
      </c>
      <c r="FG36" s="74" t="str">
        <f t="shared" ca="1" si="84"/>
        <v/>
      </c>
      <c r="FH36" s="74" t="str">
        <f t="shared" ca="1" si="84"/>
        <v/>
      </c>
      <c r="FI36" s="74" t="str">
        <f t="shared" ca="1" si="84"/>
        <v/>
      </c>
      <c r="FJ36" s="74" t="str">
        <f t="shared" ca="1" si="84"/>
        <v/>
      </c>
      <c r="FK36" s="74" t="str">
        <f t="shared" ca="1" si="84"/>
        <v/>
      </c>
      <c r="FL36" s="74" t="str">
        <f t="shared" ca="1" si="84"/>
        <v/>
      </c>
      <c r="FM36" s="74" t="str">
        <f t="shared" ca="1" si="84"/>
        <v/>
      </c>
      <c r="FN36" s="74" t="str">
        <f t="shared" ca="1" si="85"/>
        <v/>
      </c>
      <c r="FO36" s="74" t="str">
        <f t="shared" ca="1" si="85"/>
        <v/>
      </c>
      <c r="FP36" s="74" t="str">
        <f t="shared" ca="1" si="85"/>
        <v/>
      </c>
      <c r="FQ36" s="74" t="str">
        <f t="shared" ca="1" si="85"/>
        <v/>
      </c>
      <c r="FR36" s="74" t="str">
        <f t="shared" ca="1" si="85"/>
        <v/>
      </c>
      <c r="FS36" s="74" t="str">
        <f t="shared" ca="1" si="85"/>
        <v/>
      </c>
      <c r="FT36" s="74" t="str">
        <f t="shared" ca="1" si="85"/>
        <v/>
      </c>
      <c r="FU36" s="74" t="str">
        <f t="shared" ca="1" si="85"/>
        <v/>
      </c>
      <c r="FV36" s="74" t="str">
        <f t="shared" ca="1" si="85"/>
        <v/>
      </c>
      <c r="FW36" s="74" t="str">
        <f t="shared" ca="1" si="85"/>
        <v/>
      </c>
      <c r="FX36" s="74" t="str">
        <f t="shared" ca="1" si="86"/>
        <v/>
      </c>
      <c r="FY36" s="74" t="str">
        <f t="shared" ca="1" si="86"/>
        <v/>
      </c>
      <c r="FZ36" s="74" t="str">
        <f t="shared" ca="1" si="86"/>
        <v/>
      </c>
      <c r="GA36" s="74" t="str">
        <f t="shared" ca="1" si="86"/>
        <v/>
      </c>
      <c r="GB36" s="74" t="str">
        <f t="shared" ca="1" si="86"/>
        <v/>
      </c>
      <c r="GC36" s="74" t="str">
        <f t="shared" ca="1" si="86"/>
        <v/>
      </c>
      <c r="GD36" s="74" t="str">
        <f t="shared" ca="1" si="86"/>
        <v/>
      </c>
      <c r="GE36" s="74" t="str">
        <f t="shared" ca="1" si="86"/>
        <v/>
      </c>
      <c r="GF36" s="74" t="str">
        <f t="shared" ca="1" si="86"/>
        <v/>
      </c>
      <c r="GG36" s="74" t="str">
        <f t="shared" ca="1" si="86"/>
        <v/>
      </c>
      <c r="GH36" s="74" t="str">
        <f t="shared" ca="1" si="87"/>
        <v/>
      </c>
      <c r="GI36" s="74" t="str">
        <f t="shared" ca="1" si="87"/>
        <v/>
      </c>
      <c r="GJ36" s="74" t="str">
        <f t="shared" ca="1" si="87"/>
        <v/>
      </c>
      <c r="GK36" s="74" t="str">
        <f t="shared" ca="1" si="87"/>
        <v/>
      </c>
      <c r="GL36" s="74" t="str">
        <f t="shared" ca="1" si="87"/>
        <v/>
      </c>
      <c r="GM36" s="74" t="str">
        <f t="shared" ca="1" si="87"/>
        <v/>
      </c>
      <c r="GN36" s="74" t="str">
        <f t="shared" ca="1" si="87"/>
        <v/>
      </c>
      <c r="GO36" s="74" t="str">
        <f t="shared" ca="1" si="87"/>
        <v/>
      </c>
      <c r="GP36" s="74" t="str">
        <f t="shared" ca="1" si="87"/>
        <v/>
      </c>
      <c r="GQ36" s="74" t="str">
        <f t="shared" ca="1" si="87"/>
        <v/>
      </c>
      <c r="GR36" s="74" t="str">
        <f t="shared" ca="1" si="88"/>
        <v/>
      </c>
      <c r="GS36" s="74" t="str">
        <f t="shared" ca="1" si="88"/>
        <v/>
      </c>
      <c r="GT36" s="74" t="str">
        <f t="shared" ca="1" si="88"/>
        <v/>
      </c>
      <c r="GU36" s="74" t="str">
        <f t="shared" ca="1" si="88"/>
        <v/>
      </c>
      <c r="GV36" s="74" t="str">
        <f t="shared" ca="1" si="88"/>
        <v/>
      </c>
      <c r="GW36" s="74" t="str">
        <f t="shared" ca="1" si="88"/>
        <v/>
      </c>
      <c r="GX36" s="74" t="str">
        <f t="shared" ca="1" si="88"/>
        <v/>
      </c>
      <c r="GY36" s="74" t="str">
        <f t="shared" ca="1" si="88"/>
        <v/>
      </c>
      <c r="GZ36" s="74" t="str">
        <f t="shared" ca="1" si="88"/>
        <v/>
      </c>
      <c r="HA36" s="74" t="str">
        <f t="shared" ca="1" si="88"/>
        <v/>
      </c>
      <c r="HB36" s="74" t="str">
        <f t="shared" ca="1" si="89"/>
        <v/>
      </c>
      <c r="HC36" s="74" t="str">
        <f t="shared" ca="1" si="89"/>
        <v/>
      </c>
      <c r="HD36" s="74" t="str">
        <f t="shared" ca="1" si="89"/>
        <v/>
      </c>
      <c r="HE36" s="74" t="str">
        <f t="shared" ca="1" si="89"/>
        <v/>
      </c>
      <c r="HF36" s="74" t="str">
        <f t="shared" ca="1" si="89"/>
        <v/>
      </c>
      <c r="HG36" s="74" t="str">
        <f t="shared" ca="1" si="89"/>
        <v/>
      </c>
      <c r="HH36" s="74" t="str">
        <f t="shared" ca="1" si="89"/>
        <v/>
      </c>
      <c r="HI36" s="74" t="str">
        <f t="shared" ca="1" si="89"/>
        <v/>
      </c>
      <c r="HJ36" s="74" t="str">
        <f t="shared" ca="1" si="89"/>
        <v/>
      </c>
      <c r="HK36" s="74" t="str">
        <f t="shared" ca="1" si="89"/>
        <v/>
      </c>
      <c r="HL36" s="74" t="str">
        <f t="shared" ca="1" si="90"/>
        <v/>
      </c>
      <c r="HM36" s="74" t="str">
        <f t="shared" ca="1" si="90"/>
        <v/>
      </c>
      <c r="HN36" s="74" t="str">
        <f t="shared" ca="1" si="90"/>
        <v/>
      </c>
      <c r="HO36" s="74" t="str">
        <f t="shared" ca="1" si="90"/>
        <v/>
      </c>
      <c r="HP36" s="74" t="str">
        <f t="shared" ca="1" si="90"/>
        <v/>
      </c>
      <c r="HQ36" s="74" t="str">
        <f t="shared" ca="1" si="90"/>
        <v/>
      </c>
      <c r="HR36" s="74" t="str">
        <f t="shared" ca="1" si="90"/>
        <v/>
      </c>
      <c r="HS36" s="74" t="str">
        <f t="shared" ca="1" si="90"/>
        <v/>
      </c>
      <c r="HT36" s="74" t="str">
        <f t="shared" ca="1" si="90"/>
        <v/>
      </c>
      <c r="HU36" s="74" t="str">
        <f t="shared" ca="1" si="90"/>
        <v/>
      </c>
      <c r="HV36" s="74" t="str">
        <f t="shared" ca="1" si="91"/>
        <v/>
      </c>
      <c r="HW36" s="74" t="str">
        <f t="shared" ca="1" si="91"/>
        <v/>
      </c>
      <c r="HX36" s="74" t="str">
        <f t="shared" ca="1" si="91"/>
        <v/>
      </c>
      <c r="HY36" s="74" t="str">
        <f t="shared" ca="1" si="91"/>
        <v/>
      </c>
      <c r="HZ36" s="74" t="str">
        <f t="shared" ca="1" si="91"/>
        <v/>
      </c>
      <c r="IA36" s="74" t="str">
        <f t="shared" ca="1" si="91"/>
        <v/>
      </c>
      <c r="IB36" s="74" t="str">
        <f t="shared" ca="1" si="91"/>
        <v/>
      </c>
      <c r="IC36" s="74" t="str">
        <f t="shared" ca="1" si="91"/>
        <v/>
      </c>
      <c r="ID36" s="74" t="str">
        <f t="shared" ca="1" si="91"/>
        <v/>
      </c>
      <c r="IE36" s="74" t="str">
        <f t="shared" ca="1" si="91"/>
        <v/>
      </c>
      <c r="IF36" s="74" t="str">
        <f t="shared" ca="1" si="92"/>
        <v/>
      </c>
      <c r="IG36" s="74" t="str">
        <f t="shared" ca="1" si="92"/>
        <v/>
      </c>
      <c r="IH36" s="74" t="str">
        <f t="shared" ca="1" si="92"/>
        <v/>
      </c>
      <c r="II36" s="74" t="str">
        <f t="shared" ca="1" si="92"/>
        <v/>
      </c>
      <c r="IJ36" s="74" t="str">
        <f t="shared" ca="1" si="92"/>
        <v/>
      </c>
      <c r="IK36" s="74" t="str">
        <f t="shared" ca="1" si="92"/>
        <v/>
      </c>
      <c r="IL36" s="74" t="str">
        <f t="shared" ca="1" si="92"/>
        <v/>
      </c>
      <c r="IM36" s="74" t="str">
        <f t="shared" ca="1" si="92"/>
        <v/>
      </c>
      <c r="IN36" s="74" t="str">
        <f t="shared" ca="1" si="92"/>
        <v/>
      </c>
      <c r="IO36" s="74" t="str">
        <f t="shared" ca="1" si="92"/>
        <v/>
      </c>
      <c r="IP36" s="74" t="str">
        <f t="shared" ca="1" si="93"/>
        <v/>
      </c>
      <c r="IQ36" s="74" t="str">
        <f t="shared" ca="1" si="93"/>
        <v/>
      </c>
      <c r="IR36" s="74" t="str">
        <f t="shared" ca="1" si="93"/>
        <v/>
      </c>
      <c r="IS36" s="74" t="str">
        <f t="shared" ca="1" si="93"/>
        <v/>
      </c>
      <c r="IT36" s="74" t="str">
        <f t="shared" ca="1" si="93"/>
        <v/>
      </c>
      <c r="IU36" s="74" t="str">
        <f t="shared" ca="1" si="93"/>
        <v/>
      </c>
      <c r="IV36" s="74" t="str">
        <f t="shared" ca="1" si="93"/>
        <v/>
      </c>
      <c r="IW36" s="74" t="str">
        <f t="shared" ca="1" si="93"/>
        <v/>
      </c>
      <c r="IX36" s="74" t="str">
        <f t="shared" ca="1" si="93"/>
        <v/>
      </c>
      <c r="IY36" s="74" t="str">
        <f t="shared" ca="1" si="93"/>
        <v/>
      </c>
      <c r="IZ36" s="74" t="str">
        <f t="shared" ca="1" si="94"/>
        <v/>
      </c>
      <c r="JA36" s="74" t="str">
        <f t="shared" ca="1" si="94"/>
        <v/>
      </c>
      <c r="JB36" s="74" t="str">
        <f t="shared" ca="1" si="94"/>
        <v/>
      </c>
      <c r="JC36" s="74" t="str">
        <f t="shared" ca="1" si="94"/>
        <v/>
      </c>
      <c r="JD36" s="74" t="str">
        <f t="shared" ca="1" si="94"/>
        <v/>
      </c>
      <c r="JE36" s="74" t="str">
        <f t="shared" ca="1" si="94"/>
        <v/>
      </c>
      <c r="JF36" s="74" t="str">
        <f t="shared" ca="1" si="94"/>
        <v/>
      </c>
      <c r="JG36" s="74" t="str">
        <f t="shared" ca="1" si="94"/>
        <v/>
      </c>
      <c r="JH36" s="74" t="str">
        <f t="shared" ca="1" si="94"/>
        <v/>
      </c>
      <c r="JI36" s="74" t="str">
        <f t="shared" ca="1" si="94"/>
        <v/>
      </c>
      <c r="JJ36" s="74" t="str">
        <f t="shared" ca="1" si="95"/>
        <v/>
      </c>
      <c r="JK36" s="74" t="str">
        <f t="shared" ca="1" si="95"/>
        <v/>
      </c>
      <c r="JL36" s="74" t="str">
        <f t="shared" ca="1" si="95"/>
        <v/>
      </c>
      <c r="JM36" s="74" t="str">
        <f t="shared" ca="1" si="95"/>
        <v/>
      </c>
      <c r="JN36" s="74" t="str">
        <f t="shared" ca="1" si="95"/>
        <v/>
      </c>
      <c r="JO36" s="74" t="str">
        <f t="shared" ca="1" si="95"/>
        <v/>
      </c>
      <c r="JP36" s="74" t="str">
        <f t="shared" ca="1" si="95"/>
        <v/>
      </c>
      <c r="JQ36" s="74" t="str">
        <f t="shared" ca="1" si="95"/>
        <v/>
      </c>
      <c r="JR36" s="74" t="str">
        <f t="shared" ca="1" si="95"/>
        <v/>
      </c>
      <c r="JS36" s="74" t="str">
        <f t="shared" ca="1" si="95"/>
        <v/>
      </c>
      <c r="JT36" s="74" t="str">
        <f t="shared" ca="1" si="96"/>
        <v/>
      </c>
      <c r="JU36" s="74" t="str">
        <f t="shared" ca="1" si="96"/>
        <v/>
      </c>
      <c r="JV36" s="74" t="str">
        <f t="shared" ca="1" si="96"/>
        <v/>
      </c>
      <c r="JW36" s="74" t="str">
        <f t="shared" ca="1" si="96"/>
        <v/>
      </c>
      <c r="JX36" s="74" t="str">
        <f t="shared" ca="1" si="96"/>
        <v/>
      </c>
      <c r="JY36" s="74" t="str">
        <f t="shared" ca="1" si="96"/>
        <v/>
      </c>
      <c r="JZ36" s="74" t="str">
        <f t="shared" ca="1" si="96"/>
        <v/>
      </c>
      <c r="KA36" s="74" t="str">
        <f t="shared" ca="1" si="96"/>
        <v/>
      </c>
      <c r="KB36" s="74" t="str">
        <f t="shared" ca="1" si="96"/>
        <v/>
      </c>
      <c r="KC36" s="74" t="str">
        <f t="shared" ca="1" si="96"/>
        <v/>
      </c>
      <c r="KD36" s="74" t="str">
        <f t="shared" ca="1" si="97"/>
        <v/>
      </c>
      <c r="KE36" s="74" t="str">
        <f t="shared" ca="1" si="97"/>
        <v/>
      </c>
      <c r="KF36" s="74" t="str">
        <f t="shared" ca="1" si="97"/>
        <v/>
      </c>
      <c r="KG36" s="74" t="str">
        <f t="shared" ca="1" si="97"/>
        <v/>
      </c>
      <c r="KH36" s="74" t="str">
        <f t="shared" ca="1" si="97"/>
        <v/>
      </c>
      <c r="KI36" s="74" t="str">
        <f t="shared" ca="1" si="97"/>
        <v/>
      </c>
      <c r="KJ36" s="74" t="str">
        <f t="shared" ca="1" si="97"/>
        <v/>
      </c>
      <c r="KK36" s="74" t="str">
        <f t="shared" ca="1" si="97"/>
        <v/>
      </c>
      <c r="KL36" s="74" t="str">
        <f t="shared" ca="1" si="97"/>
        <v/>
      </c>
      <c r="KM36" s="74" t="str">
        <f t="shared" ca="1" si="97"/>
        <v/>
      </c>
      <c r="KN36" s="74" t="str">
        <f t="shared" ca="1" si="98"/>
        <v/>
      </c>
      <c r="KO36" s="74" t="str">
        <f t="shared" ca="1" si="98"/>
        <v/>
      </c>
      <c r="KP36" s="74" t="str">
        <f t="shared" ca="1" si="98"/>
        <v/>
      </c>
      <c r="KQ36" s="74" t="str">
        <f t="shared" ca="1" si="98"/>
        <v/>
      </c>
      <c r="KR36" s="74" t="str">
        <f t="shared" ca="1" si="98"/>
        <v/>
      </c>
      <c r="KS36" s="74" t="str">
        <f t="shared" ca="1" si="98"/>
        <v/>
      </c>
      <c r="KT36" s="74" t="str">
        <f t="shared" ca="1" si="98"/>
        <v/>
      </c>
      <c r="KU36" s="74" t="str">
        <f t="shared" ca="1" si="98"/>
        <v/>
      </c>
      <c r="KV36" s="74" t="str">
        <f t="shared" ca="1" si="98"/>
        <v/>
      </c>
      <c r="KW36" s="74" t="str">
        <f t="shared" ca="1" si="98"/>
        <v/>
      </c>
      <c r="KX36" s="74" t="str">
        <f t="shared" ca="1" si="99"/>
        <v/>
      </c>
      <c r="KY36" s="74" t="str">
        <f t="shared" ca="1" si="99"/>
        <v/>
      </c>
      <c r="KZ36" s="74" t="str">
        <f t="shared" ca="1" si="99"/>
        <v/>
      </c>
      <c r="LA36" s="74" t="str">
        <f t="shared" ca="1" si="99"/>
        <v/>
      </c>
      <c r="LB36" s="74" t="str">
        <f t="shared" ca="1" si="99"/>
        <v/>
      </c>
      <c r="LC36" s="74" t="str">
        <f t="shared" ca="1" si="99"/>
        <v/>
      </c>
      <c r="LD36" s="74" t="str">
        <f t="shared" ca="1" si="99"/>
        <v/>
      </c>
      <c r="LE36" s="74" t="str">
        <f t="shared" ca="1" si="99"/>
        <v/>
      </c>
      <c r="LF36" s="74" t="str">
        <f t="shared" ca="1" si="99"/>
        <v/>
      </c>
      <c r="LG36" s="74" t="str">
        <f t="shared" ca="1" si="99"/>
        <v/>
      </c>
      <c r="LH36" s="74" t="str">
        <f t="shared" ca="1" si="100"/>
        <v/>
      </c>
      <c r="LI36" s="74" t="str">
        <f t="shared" ca="1" si="100"/>
        <v/>
      </c>
      <c r="LJ36" s="74" t="str">
        <f t="shared" ca="1" si="100"/>
        <v/>
      </c>
      <c r="LK36" s="74" t="str">
        <f t="shared" ca="1" si="100"/>
        <v/>
      </c>
      <c r="LL36" s="74" t="str">
        <f t="shared" ca="1" si="100"/>
        <v/>
      </c>
      <c r="LM36" s="74" t="str">
        <f t="shared" ca="1" si="100"/>
        <v/>
      </c>
      <c r="LN36" s="74" t="str">
        <f t="shared" ca="1" si="100"/>
        <v/>
      </c>
      <c r="LO36" s="74" t="str">
        <f t="shared" ca="1" si="100"/>
        <v/>
      </c>
      <c r="LP36" s="74" t="str">
        <f t="shared" ca="1" si="100"/>
        <v/>
      </c>
      <c r="LQ36" s="74" t="str">
        <f t="shared" ca="1" si="100"/>
        <v/>
      </c>
      <c r="LR36" s="74" t="str">
        <f t="shared" ca="1" si="101"/>
        <v/>
      </c>
      <c r="LS36" s="74" t="str">
        <f t="shared" ca="1" si="101"/>
        <v/>
      </c>
      <c r="LT36" s="74" t="str">
        <f t="shared" ca="1" si="101"/>
        <v/>
      </c>
      <c r="LU36" s="74" t="str">
        <f t="shared" ca="1" si="101"/>
        <v/>
      </c>
      <c r="LV36" s="74" t="str">
        <f t="shared" ca="1" si="101"/>
        <v/>
      </c>
      <c r="LW36" s="74" t="str">
        <f t="shared" ca="1" si="101"/>
        <v/>
      </c>
      <c r="LX36" s="74" t="str">
        <f t="shared" ca="1" si="101"/>
        <v/>
      </c>
      <c r="LY36" s="74" t="str">
        <f t="shared" ca="1" si="101"/>
        <v/>
      </c>
      <c r="LZ36" s="74" t="str">
        <f t="shared" ca="1" si="101"/>
        <v/>
      </c>
      <c r="MA36" s="74" t="str">
        <f t="shared" ca="1" si="101"/>
        <v/>
      </c>
      <c r="MB36" s="74" t="str">
        <f t="shared" ca="1" si="102"/>
        <v/>
      </c>
      <c r="MC36" s="74" t="str">
        <f t="shared" ca="1" si="102"/>
        <v/>
      </c>
      <c r="MD36" s="74" t="str">
        <f t="shared" ca="1" si="102"/>
        <v/>
      </c>
      <c r="ME36" s="74" t="str">
        <f t="shared" ca="1" si="102"/>
        <v/>
      </c>
      <c r="MF36" s="74" t="str">
        <f t="shared" ca="1" si="102"/>
        <v/>
      </c>
      <c r="MG36" s="74" t="str">
        <f t="shared" ca="1" si="102"/>
        <v/>
      </c>
      <c r="MH36" s="74" t="str">
        <f t="shared" ca="1" si="102"/>
        <v/>
      </c>
      <c r="MI36" s="74" t="str">
        <f t="shared" ca="1" si="102"/>
        <v/>
      </c>
      <c r="MJ36" s="74" t="str">
        <f t="shared" ca="1" si="102"/>
        <v/>
      </c>
      <c r="MK36" s="74" t="str">
        <f t="shared" ca="1" si="102"/>
        <v/>
      </c>
      <c r="ML36" s="74" t="str">
        <f t="shared" ca="1" si="103"/>
        <v/>
      </c>
      <c r="MM36" s="74" t="str">
        <f t="shared" ca="1" si="103"/>
        <v/>
      </c>
      <c r="MN36" s="74" t="str">
        <f t="shared" ca="1" si="103"/>
        <v/>
      </c>
      <c r="MO36" s="74" t="str">
        <f t="shared" ca="1" si="103"/>
        <v/>
      </c>
      <c r="MP36" s="74" t="str">
        <f t="shared" ca="1" si="103"/>
        <v/>
      </c>
      <c r="MQ36" s="74" t="str">
        <f t="shared" ca="1" si="103"/>
        <v/>
      </c>
      <c r="MR36" s="74" t="str">
        <f t="shared" ca="1" si="103"/>
        <v/>
      </c>
      <c r="MS36" s="74" t="str">
        <f t="shared" ca="1" si="103"/>
        <v/>
      </c>
      <c r="MT36" s="74" t="str">
        <f t="shared" ca="1" si="103"/>
        <v/>
      </c>
      <c r="MU36" s="74" t="str">
        <f t="shared" ca="1" si="103"/>
        <v/>
      </c>
      <c r="MV36" s="74" t="str">
        <f t="shared" ca="1" si="104"/>
        <v/>
      </c>
      <c r="MW36" s="74" t="str">
        <f t="shared" ca="1" si="104"/>
        <v/>
      </c>
      <c r="MX36" s="74" t="str">
        <f t="shared" ca="1" si="104"/>
        <v/>
      </c>
      <c r="MY36" s="74" t="str">
        <f t="shared" ca="1" si="104"/>
        <v/>
      </c>
      <c r="MZ36" s="74" t="str">
        <f t="shared" ca="1" si="104"/>
        <v/>
      </c>
      <c r="NA36" s="74" t="str">
        <f t="shared" ca="1" si="104"/>
        <v/>
      </c>
      <c r="NB36" s="74" t="str">
        <f t="shared" ca="1" si="104"/>
        <v/>
      </c>
      <c r="NC36" s="74" t="str">
        <f t="shared" ca="1" si="104"/>
        <v/>
      </c>
      <c r="ND36" s="74" t="str">
        <f t="shared" ca="1" si="104"/>
        <v/>
      </c>
      <c r="NE36" s="74" t="str">
        <f t="shared" ca="1" si="104"/>
        <v/>
      </c>
      <c r="NF36" s="74" t="str">
        <f t="shared" ca="1" si="105"/>
        <v/>
      </c>
      <c r="NG36" s="74" t="str">
        <f t="shared" ca="1" si="105"/>
        <v/>
      </c>
      <c r="NH36" s="74" t="str">
        <f t="shared" ca="1" si="105"/>
        <v/>
      </c>
      <c r="NI36" s="74" t="str">
        <f t="shared" ca="1" si="105"/>
        <v/>
      </c>
      <c r="NJ36" s="74" t="str">
        <f t="shared" ca="1" si="105"/>
        <v/>
      </c>
      <c r="NK36" s="74" t="str">
        <f t="shared" ca="1" si="105"/>
        <v/>
      </c>
      <c r="NL36" s="74" t="str">
        <f t="shared" ca="1" si="105"/>
        <v/>
      </c>
      <c r="NM36" s="74" t="str">
        <f t="shared" ca="1" si="105"/>
        <v/>
      </c>
      <c r="NN36" s="74" t="str">
        <f t="shared" ca="1" si="105"/>
        <v/>
      </c>
      <c r="NO36" s="74" t="str">
        <f t="shared" ca="1" si="105"/>
        <v/>
      </c>
      <c r="NP36" s="74" t="str">
        <f t="shared" ca="1" si="106"/>
        <v/>
      </c>
      <c r="NQ36" s="74" t="str">
        <f t="shared" ca="1" si="106"/>
        <v/>
      </c>
      <c r="NR36" s="74" t="str">
        <f t="shared" ca="1" si="106"/>
        <v/>
      </c>
      <c r="NS36" s="74" t="str">
        <f t="shared" ca="1" si="106"/>
        <v/>
      </c>
      <c r="NT36" s="74" t="str">
        <f t="shared" ca="1" si="106"/>
        <v/>
      </c>
      <c r="NU36" s="74" t="str">
        <f t="shared" ca="1" si="106"/>
        <v/>
      </c>
      <c r="NV36" s="74" t="str">
        <f t="shared" ca="1" si="106"/>
        <v/>
      </c>
      <c r="NW36" s="74" t="str">
        <f t="shared" ca="1" si="106"/>
        <v/>
      </c>
      <c r="NX36" s="74" t="str">
        <f t="shared" ca="1" si="106"/>
        <v/>
      </c>
      <c r="NY36" s="74" t="str">
        <f t="shared" ca="1" si="106"/>
        <v/>
      </c>
      <c r="NZ36" s="74" t="str">
        <f t="shared" ca="1" si="107"/>
        <v/>
      </c>
      <c r="OA36" s="74" t="str">
        <f t="shared" ca="1" si="107"/>
        <v/>
      </c>
      <c r="OB36" s="74" t="str">
        <f t="shared" ca="1" si="107"/>
        <v/>
      </c>
      <c r="OC36" s="74" t="str">
        <f t="shared" ca="1" si="107"/>
        <v/>
      </c>
      <c r="OD36" s="74" t="str">
        <f t="shared" ca="1" si="107"/>
        <v/>
      </c>
      <c r="OE36" s="74" t="str">
        <f t="shared" ca="1" si="107"/>
        <v/>
      </c>
      <c r="OF36" s="74" t="str">
        <f t="shared" ca="1" si="107"/>
        <v/>
      </c>
      <c r="OG36" s="74" t="str">
        <f t="shared" ca="1" si="107"/>
        <v/>
      </c>
      <c r="OH36" s="74" t="str">
        <f t="shared" ca="1" si="107"/>
        <v/>
      </c>
      <c r="OI36" s="74" t="str">
        <f t="shared" ca="1" si="107"/>
        <v/>
      </c>
      <c r="OJ36" s="74" t="str">
        <f t="shared" ca="1" si="108"/>
        <v/>
      </c>
      <c r="OK36" s="74" t="str">
        <f t="shared" ca="1" si="108"/>
        <v/>
      </c>
      <c r="OL36" s="74" t="str">
        <f t="shared" ca="1" si="108"/>
        <v/>
      </c>
      <c r="OM36" s="74" t="str">
        <f t="shared" ca="1" si="108"/>
        <v/>
      </c>
      <c r="ON36" s="74" t="str">
        <f t="shared" ca="1" si="108"/>
        <v/>
      </c>
      <c r="OO36" s="74" t="str">
        <f t="shared" ca="1" si="108"/>
        <v/>
      </c>
      <c r="OP36" s="74" t="str">
        <f t="shared" ca="1" si="108"/>
        <v/>
      </c>
      <c r="OQ36" s="74" t="str">
        <f t="shared" ca="1" si="108"/>
        <v/>
      </c>
      <c r="OR36" s="74" t="str">
        <f t="shared" ca="1" si="108"/>
        <v/>
      </c>
      <c r="OS36" s="74" t="str">
        <f t="shared" ca="1" si="108"/>
        <v/>
      </c>
      <c r="OT36" s="74" t="str">
        <f t="shared" ca="1" si="109"/>
        <v/>
      </c>
      <c r="OU36" s="74" t="str">
        <f t="shared" ca="1" si="109"/>
        <v/>
      </c>
      <c r="OV36" s="74" t="str">
        <f t="shared" ca="1" si="109"/>
        <v/>
      </c>
      <c r="OW36" s="74" t="str">
        <f t="shared" ca="1" si="109"/>
        <v/>
      </c>
      <c r="OX36" s="74" t="str">
        <f t="shared" ca="1" si="109"/>
        <v/>
      </c>
      <c r="OY36" s="74" t="str">
        <f t="shared" ca="1" si="109"/>
        <v/>
      </c>
      <c r="OZ36" s="74" t="str">
        <f t="shared" ca="1" si="109"/>
        <v/>
      </c>
      <c r="PA36" s="74" t="str">
        <f t="shared" ca="1" si="109"/>
        <v/>
      </c>
      <c r="PB36" s="74" t="str">
        <f t="shared" ca="1" si="109"/>
        <v/>
      </c>
      <c r="PC36" s="74" t="str">
        <f t="shared" ca="1" si="109"/>
        <v/>
      </c>
      <c r="PD36" s="74" t="str">
        <f t="shared" ca="1" si="110"/>
        <v/>
      </c>
      <c r="PE36" s="74" t="str">
        <f t="shared" ca="1" si="110"/>
        <v/>
      </c>
      <c r="PF36" s="74" t="str">
        <f t="shared" ca="1" si="110"/>
        <v/>
      </c>
      <c r="PG36" s="74" t="str">
        <f t="shared" ca="1" si="110"/>
        <v/>
      </c>
      <c r="PH36" s="74" t="str">
        <f t="shared" ca="1" si="110"/>
        <v/>
      </c>
      <c r="PI36" s="74" t="str">
        <f t="shared" ca="1" si="110"/>
        <v/>
      </c>
      <c r="PJ36" s="74" t="str">
        <f t="shared" ca="1" si="110"/>
        <v/>
      </c>
      <c r="PK36" s="74" t="str">
        <f t="shared" ca="1" si="110"/>
        <v/>
      </c>
      <c r="PL36" s="74" t="str">
        <f t="shared" ca="1" si="110"/>
        <v/>
      </c>
      <c r="PM36" s="74" t="str">
        <f t="shared" ca="1" si="110"/>
        <v/>
      </c>
      <c r="PN36" s="74" t="str">
        <f t="shared" ca="1" si="111"/>
        <v/>
      </c>
      <c r="PO36" s="74" t="str">
        <f t="shared" ca="1" si="111"/>
        <v/>
      </c>
      <c r="PP36" s="74" t="str">
        <f t="shared" ca="1" si="111"/>
        <v/>
      </c>
      <c r="PQ36" s="74" t="str">
        <f t="shared" ca="1" si="111"/>
        <v/>
      </c>
      <c r="PR36" s="74" t="str">
        <f t="shared" ca="1" si="111"/>
        <v/>
      </c>
      <c r="PS36" s="74" t="str">
        <f t="shared" ca="1" si="111"/>
        <v/>
      </c>
      <c r="PT36" s="74" t="str">
        <f t="shared" ca="1" si="111"/>
        <v/>
      </c>
      <c r="PU36" s="74" t="str">
        <f t="shared" ca="1" si="111"/>
        <v/>
      </c>
      <c r="PV36" s="74" t="str">
        <f t="shared" ca="1" si="111"/>
        <v/>
      </c>
      <c r="PW36" s="74" t="str">
        <f t="shared" ca="1" si="111"/>
        <v/>
      </c>
      <c r="PX36" s="74" t="str">
        <f t="shared" ca="1" si="112"/>
        <v/>
      </c>
      <c r="PY36" s="74" t="str">
        <f t="shared" ca="1" si="112"/>
        <v/>
      </c>
      <c r="PZ36" s="74" t="str">
        <f t="shared" ca="1" si="112"/>
        <v/>
      </c>
      <c r="QA36" s="74" t="str">
        <f t="shared" ca="1" si="112"/>
        <v/>
      </c>
      <c r="QB36" s="74" t="str">
        <f t="shared" ca="1" si="112"/>
        <v/>
      </c>
      <c r="QC36" s="74" t="str">
        <f t="shared" ca="1" si="112"/>
        <v/>
      </c>
      <c r="QD36" s="74" t="str">
        <f t="shared" ca="1" si="112"/>
        <v/>
      </c>
      <c r="QE36" s="74" t="str">
        <f t="shared" ca="1" si="112"/>
        <v/>
      </c>
      <c r="QF36" s="74" t="str">
        <f t="shared" ca="1" si="112"/>
        <v/>
      </c>
      <c r="QG36" s="74" t="str">
        <f t="shared" ca="1" si="112"/>
        <v/>
      </c>
      <c r="QH36" s="74" t="str">
        <f t="shared" ca="1" si="113"/>
        <v/>
      </c>
      <c r="QI36" s="74" t="str">
        <f t="shared" ca="1" si="113"/>
        <v/>
      </c>
      <c r="QJ36" s="74" t="str">
        <f t="shared" ca="1" si="113"/>
        <v/>
      </c>
      <c r="QK36" s="74" t="str">
        <f t="shared" ca="1" si="113"/>
        <v/>
      </c>
      <c r="QL36" s="74" t="str">
        <f t="shared" ca="1" si="113"/>
        <v/>
      </c>
      <c r="QM36" s="74" t="str">
        <f t="shared" ca="1" si="113"/>
        <v/>
      </c>
      <c r="QN36" s="74" t="str">
        <f t="shared" ca="1" si="113"/>
        <v/>
      </c>
      <c r="QO36" s="74" t="str">
        <f t="shared" ca="1" si="113"/>
        <v/>
      </c>
      <c r="QP36" s="74" t="str">
        <f t="shared" ca="1" si="113"/>
        <v/>
      </c>
      <c r="QQ36" s="74" t="str">
        <f t="shared" ca="1" si="113"/>
        <v/>
      </c>
      <c r="QR36" s="74" t="str">
        <f t="shared" ca="1" si="114"/>
        <v/>
      </c>
      <c r="QS36" s="74" t="str">
        <f t="shared" ca="1" si="114"/>
        <v/>
      </c>
      <c r="QT36" s="74" t="str">
        <f t="shared" ca="1" si="114"/>
        <v/>
      </c>
      <c r="QU36" s="74" t="str">
        <f t="shared" ca="1" si="114"/>
        <v/>
      </c>
      <c r="QV36" s="74" t="str">
        <f t="shared" ca="1" si="114"/>
        <v/>
      </c>
      <c r="QW36" s="74" t="str">
        <f t="shared" ca="1" si="114"/>
        <v/>
      </c>
      <c r="QX36" s="74" t="str">
        <f t="shared" ca="1" si="114"/>
        <v/>
      </c>
      <c r="QY36" s="74" t="str">
        <f t="shared" ca="1" si="114"/>
        <v/>
      </c>
      <c r="QZ36" s="74" t="str">
        <f t="shared" ca="1" si="114"/>
        <v/>
      </c>
      <c r="RA36" s="74" t="str">
        <f t="shared" ca="1" si="114"/>
        <v/>
      </c>
      <c r="RB36" s="74" t="str">
        <f t="shared" ca="1" si="115"/>
        <v/>
      </c>
      <c r="RC36" s="74" t="str">
        <f t="shared" ca="1" si="115"/>
        <v/>
      </c>
      <c r="RD36" s="74" t="str">
        <f t="shared" ca="1" si="115"/>
        <v/>
      </c>
      <c r="RE36" s="74" t="str">
        <f t="shared" ca="1" si="115"/>
        <v/>
      </c>
      <c r="RF36" s="74" t="str">
        <f t="shared" ca="1" si="115"/>
        <v/>
      </c>
      <c r="RG36" s="74" t="str">
        <f t="shared" ca="1" si="115"/>
        <v/>
      </c>
      <c r="RH36" s="74" t="str">
        <f t="shared" ca="1" si="115"/>
        <v/>
      </c>
      <c r="RI36" s="74" t="str">
        <f t="shared" ca="1" si="115"/>
        <v/>
      </c>
      <c r="RJ36" s="74" t="str">
        <f t="shared" ca="1" si="115"/>
        <v/>
      </c>
      <c r="RK36" s="74" t="str">
        <f t="shared" ca="1" si="115"/>
        <v/>
      </c>
      <c r="RL36" s="74" t="str">
        <f t="shared" ca="1" si="116"/>
        <v/>
      </c>
      <c r="RM36" s="74" t="str">
        <f t="shared" ca="1" si="116"/>
        <v/>
      </c>
      <c r="RN36" s="74" t="str">
        <f t="shared" ca="1" si="116"/>
        <v/>
      </c>
      <c r="RO36" s="74" t="str">
        <f t="shared" ca="1" si="116"/>
        <v/>
      </c>
      <c r="RP36" s="74" t="str">
        <f t="shared" ca="1" si="116"/>
        <v/>
      </c>
      <c r="RQ36" s="74" t="str">
        <f t="shared" ca="1" si="116"/>
        <v/>
      </c>
      <c r="RR36" s="74" t="str">
        <f t="shared" ca="1" si="116"/>
        <v/>
      </c>
      <c r="RS36" s="74" t="str">
        <f t="shared" ca="1" si="116"/>
        <v/>
      </c>
      <c r="RT36" s="74" t="str">
        <f t="shared" ca="1" si="116"/>
        <v/>
      </c>
      <c r="RU36" s="74" t="str">
        <f t="shared" ca="1" si="116"/>
        <v/>
      </c>
      <c r="RV36" s="74" t="str">
        <f t="shared" ca="1" si="117"/>
        <v/>
      </c>
      <c r="RW36" s="74" t="str">
        <f t="shared" ca="1" si="117"/>
        <v/>
      </c>
      <c r="RX36" s="74" t="str">
        <f t="shared" ca="1" si="117"/>
        <v/>
      </c>
      <c r="RY36" s="74" t="str">
        <f t="shared" ca="1" si="117"/>
        <v/>
      </c>
      <c r="RZ36" s="74" t="str">
        <f t="shared" ca="1" si="117"/>
        <v/>
      </c>
      <c r="SA36" s="74" t="str">
        <f t="shared" ca="1" si="117"/>
        <v/>
      </c>
      <c r="SB36" s="74" t="str">
        <f t="shared" ca="1" si="117"/>
        <v/>
      </c>
      <c r="SC36" s="74" t="str">
        <f t="shared" ca="1" si="117"/>
        <v/>
      </c>
      <c r="SD36" s="74" t="str">
        <f t="shared" ca="1" si="117"/>
        <v/>
      </c>
      <c r="SE36" s="74" t="str">
        <f t="shared" ca="1" si="117"/>
        <v/>
      </c>
      <c r="SF36" s="74" t="str">
        <f t="shared" ca="1" si="118"/>
        <v/>
      </c>
      <c r="SG36" s="74" t="str">
        <f t="shared" ca="1" si="118"/>
        <v/>
      </c>
      <c r="SH36" s="74" t="str">
        <f t="shared" ca="1" si="118"/>
        <v/>
      </c>
      <c r="SI36" s="74" t="str">
        <f t="shared" ca="1" si="118"/>
        <v/>
      </c>
      <c r="SJ36" s="74" t="str">
        <f t="shared" ca="1" si="118"/>
        <v/>
      </c>
      <c r="SK36" s="74" t="str">
        <f t="shared" ca="1" si="118"/>
        <v/>
      </c>
      <c r="SL36" s="74" t="str">
        <f t="shared" ca="1" si="118"/>
        <v/>
      </c>
      <c r="SM36" s="74" t="str">
        <f t="shared" ca="1" si="118"/>
        <v/>
      </c>
      <c r="SN36" s="74" t="str">
        <f t="shared" ca="1" si="118"/>
        <v/>
      </c>
      <c r="SO36" s="74" t="str">
        <f t="shared" ca="1" si="118"/>
        <v/>
      </c>
      <c r="SP36" s="74" t="str">
        <f t="shared" ca="1" si="119"/>
        <v/>
      </c>
      <c r="SQ36" s="74" t="str">
        <f t="shared" ca="1" si="119"/>
        <v/>
      </c>
      <c r="SR36" s="74" t="str">
        <f t="shared" ca="1" si="119"/>
        <v/>
      </c>
      <c r="SS36" s="74" t="str">
        <f t="shared" ca="1" si="119"/>
        <v/>
      </c>
      <c r="ST36" s="74" t="str">
        <f t="shared" ca="1" si="119"/>
        <v/>
      </c>
      <c r="SU36" s="74" t="str">
        <f t="shared" ca="1" si="119"/>
        <v/>
      </c>
      <c r="SV36" s="74" t="str">
        <f t="shared" ca="1" si="119"/>
        <v/>
      </c>
      <c r="SW36" s="74" t="str">
        <f t="shared" ca="1" si="119"/>
        <v/>
      </c>
      <c r="SX36" s="74" t="str">
        <f t="shared" ca="1" si="119"/>
        <v/>
      </c>
      <c r="SY36" s="74" t="str">
        <f t="shared" ca="1" si="119"/>
        <v/>
      </c>
      <c r="SZ36" s="74" t="str">
        <f t="shared" ca="1" si="120"/>
        <v/>
      </c>
      <c r="TA36" s="74" t="str">
        <f t="shared" ca="1" si="120"/>
        <v/>
      </c>
      <c r="TB36" s="74" t="str">
        <f t="shared" ca="1" si="120"/>
        <v/>
      </c>
      <c r="TC36" s="74" t="str">
        <f t="shared" ca="1" si="120"/>
        <v/>
      </c>
      <c r="TD36" s="74" t="str">
        <f t="shared" ca="1" si="120"/>
        <v/>
      </c>
      <c r="TE36" s="74" t="str">
        <f t="shared" ca="1" si="120"/>
        <v/>
      </c>
      <c r="TF36" s="74" t="str">
        <f t="shared" ca="1" si="120"/>
        <v/>
      </c>
      <c r="TG36" s="74" t="str">
        <f t="shared" ca="1" si="120"/>
        <v/>
      </c>
      <c r="TH36" s="74" t="str">
        <f t="shared" ca="1" si="120"/>
        <v/>
      </c>
      <c r="TI36" s="74" t="str">
        <f t="shared" ca="1" si="120"/>
        <v/>
      </c>
      <c r="TJ36" s="74" t="str">
        <f t="shared" ca="1" si="121"/>
        <v/>
      </c>
      <c r="TK36" s="74" t="str">
        <f t="shared" ca="1" si="121"/>
        <v/>
      </c>
      <c r="TL36" s="74" t="str">
        <f t="shared" ca="1" si="121"/>
        <v/>
      </c>
      <c r="TM36" s="74" t="str">
        <f t="shared" ca="1" si="121"/>
        <v/>
      </c>
      <c r="TN36" s="74" t="str">
        <f t="shared" ca="1" si="121"/>
        <v/>
      </c>
      <c r="TO36" s="74" t="str">
        <f t="shared" ca="1" si="121"/>
        <v/>
      </c>
      <c r="TP36" s="74" t="str">
        <f t="shared" ca="1" si="121"/>
        <v/>
      </c>
      <c r="TQ36" s="74" t="str">
        <f t="shared" ca="1" si="121"/>
        <v/>
      </c>
      <c r="TR36" s="74" t="str">
        <f t="shared" ca="1" si="121"/>
        <v/>
      </c>
      <c r="TS36" s="74" t="str">
        <f t="shared" ca="1" si="121"/>
        <v/>
      </c>
      <c r="TT36" s="74" t="str">
        <f t="shared" ca="1" si="122"/>
        <v/>
      </c>
      <c r="TU36" s="74" t="str">
        <f t="shared" ca="1" si="122"/>
        <v/>
      </c>
      <c r="TV36" s="74" t="str">
        <f t="shared" ca="1" si="122"/>
        <v/>
      </c>
      <c r="TW36" s="74" t="str">
        <f t="shared" ca="1" si="122"/>
        <v/>
      </c>
      <c r="TX36" s="74" t="str">
        <f t="shared" ca="1" si="122"/>
        <v/>
      </c>
      <c r="TY36" s="74" t="str">
        <f t="shared" ca="1" si="122"/>
        <v/>
      </c>
      <c r="TZ36" s="74" t="str">
        <f t="shared" ca="1" si="122"/>
        <v/>
      </c>
      <c r="UA36" s="74" t="str">
        <f t="shared" ca="1" si="122"/>
        <v/>
      </c>
      <c r="UB36" s="74" t="str">
        <f t="shared" ca="1" si="122"/>
        <v/>
      </c>
      <c r="UC36" s="74" t="str">
        <f t="shared" ca="1" si="122"/>
        <v/>
      </c>
      <c r="UD36" s="74" t="str">
        <f t="shared" ca="1" si="123"/>
        <v/>
      </c>
      <c r="UE36" s="74" t="str">
        <f t="shared" ca="1" si="123"/>
        <v/>
      </c>
      <c r="UF36" s="74" t="str">
        <f t="shared" ca="1" si="123"/>
        <v/>
      </c>
      <c r="UG36" s="74" t="str">
        <f t="shared" ca="1" si="123"/>
        <v/>
      </c>
      <c r="UH36" s="74" t="str">
        <f t="shared" ca="1" si="123"/>
        <v/>
      </c>
      <c r="UI36" s="74" t="str">
        <f t="shared" ca="1" si="123"/>
        <v/>
      </c>
      <c r="UJ36" s="74" t="str">
        <f t="shared" ca="1" si="123"/>
        <v/>
      </c>
      <c r="UK36" s="74" t="str">
        <f t="shared" ca="1" si="123"/>
        <v/>
      </c>
      <c r="UL36" s="74" t="str">
        <f t="shared" ca="1" si="123"/>
        <v/>
      </c>
      <c r="UM36" s="74" t="str">
        <f t="shared" ca="1" si="123"/>
        <v/>
      </c>
      <c r="UN36" s="74" t="str">
        <f t="shared" ca="1" si="124"/>
        <v/>
      </c>
      <c r="UO36" s="74" t="str">
        <f t="shared" ca="1" si="124"/>
        <v/>
      </c>
      <c r="UP36" s="74" t="str">
        <f t="shared" ca="1" si="124"/>
        <v/>
      </c>
      <c r="UQ36" s="74" t="str">
        <f t="shared" ca="1" si="124"/>
        <v/>
      </c>
      <c r="UR36" s="74" t="str">
        <f t="shared" ca="1" si="124"/>
        <v/>
      </c>
      <c r="US36" s="74" t="str">
        <f t="shared" ca="1" si="124"/>
        <v/>
      </c>
      <c r="UT36" s="74" t="str">
        <f t="shared" ca="1" si="124"/>
        <v/>
      </c>
      <c r="UU36" s="74" t="str">
        <f t="shared" ca="1" si="124"/>
        <v/>
      </c>
      <c r="UV36" s="74" t="str">
        <f t="shared" ca="1" si="124"/>
        <v/>
      </c>
      <c r="UW36" s="74" t="str">
        <f t="shared" ca="1" si="124"/>
        <v/>
      </c>
      <c r="UX36" s="74" t="str">
        <f t="shared" ca="1" si="125"/>
        <v/>
      </c>
      <c r="UY36" s="74" t="str">
        <f t="shared" ca="1" si="125"/>
        <v/>
      </c>
      <c r="UZ36" s="74" t="str">
        <f t="shared" ca="1" si="125"/>
        <v/>
      </c>
      <c r="VA36" s="74" t="str">
        <f t="shared" ca="1" si="125"/>
        <v/>
      </c>
      <c r="VB36" s="74" t="str">
        <f t="shared" ca="1" si="125"/>
        <v/>
      </c>
      <c r="VC36" s="74" t="str">
        <f t="shared" ca="1" si="125"/>
        <v/>
      </c>
      <c r="VD36" s="74" t="str">
        <f t="shared" ca="1" si="125"/>
        <v/>
      </c>
      <c r="VE36" s="74" t="str">
        <f t="shared" ca="1" si="125"/>
        <v/>
      </c>
      <c r="VF36" s="74" t="str">
        <f t="shared" ca="1" si="125"/>
        <v/>
      </c>
      <c r="VG36" s="74" t="str">
        <f t="shared" ca="1" si="125"/>
        <v/>
      </c>
      <c r="VH36" s="74" t="str">
        <f t="shared" ca="1" si="126"/>
        <v/>
      </c>
      <c r="VI36" s="74" t="str">
        <f t="shared" ca="1" si="126"/>
        <v/>
      </c>
      <c r="VJ36" s="74" t="str">
        <f t="shared" ca="1" si="126"/>
        <v/>
      </c>
      <c r="VK36" s="74" t="str">
        <f t="shared" ca="1" si="126"/>
        <v/>
      </c>
      <c r="VL36" s="74" t="str">
        <f t="shared" ca="1" si="126"/>
        <v/>
      </c>
      <c r="VM36" s="74" t="str">
        <f t="shared" ca="1" si="126"/>
        <v/>
      </c>
      <c r="VN36" s="74" t="str">
        <f t="shared" ca="1" si="126"/>
        <v/>
      </c>
      <c r="VO36" s="74" t="str">
        <f t="shared" ca="1" si="126"/>
        <v/>
      </c>
      <c r="VP36" s="74" t="str">
        <f t="shared" ca="1" si="126"/>
        <v/>
      </c>
      <c r="VQ36" s="74" t="str">
        <f t="shared" ca="1" si="126"/>
        <v/>
      </c>
      <c r="VR36" s="74" t="str">
        <f t="shared" ca="1" si="126"/>
        <v/>
      </c>
      <c r="VS36" s="74" t="str">
        <f t="shared" ca="1" si="126"/>
        <v/>
      </c>
    </row>
    <row r="37" spans="1:591" s="17" customFormat="1" ht="16.2" customHeight="1" x14ac:dyDescent="0.3">
      <c r="A37" s="81"/>
      <c r="B37" s="56" t="str">
        <f>'CoS Tracker'!$AM$7</f>
        <v>6. Instructed to Hickory</v>
      </c>
      <c r="C37" s="19" t="s">
        <v>75</v>
      </c>
      <c r="D37" s="19"/>
      <c r="E37" s="27">
        <v>0.1</v>
      </c>
      <c r="F37" s="26">
        <f>'CoS Tracker'!AM10</f>
        <v>0</v>
      </c>
      <c r="G37" s="26">
        <f>'CoS Tracker'!AM10</f>
        <v>0</v>
      </c>
      <c r="H37" s="25">
        <f>Milestones43524[[#This Row],[End]]-Milestones43524[[#This Row],[Start]]</f>
        <v>0</v>
      </c>
      <c r="I37" s="19"/>
      <c r="J37" s="74" t="str">
        <f t="shared" ca="1" si="69"/>
        <v/>
      </c>
      <c r="K37" s="74" t="str">
        <f t="shared" ca="1" si="69"/>
        <v/>
      </c>
      <c r="L37" s="74" t="str">
        <f t="shared" ca="1" si="69"/>
        <v/>
      </c>
      <c r="M37" s="74" t="str">
        <f t="shared" ca="1" si="69"/>
        <v/>
      </c>
      <c r="N37" s="74" t="str">
        <f t="shared" ca="1" si="69"/>
        <v/>
      </c>
      <c r="O37" s="74" t="str">
        <f t="shared" ca="1" si="69"/>
        <v/>
      </c>
      <c r="P37" s="74" t="str">
        <f t="shared" ca="1" si="69"/>
        <v/>
      </c>
      <c r="Q37" s="74" t="str">
        <f t="shared" ca="1" si="69"/>
        <v/>
      </c>
      <c r="R37" s="74" t="str">
        <f t="shared" ca="1" si="69"/>
        <v/>
      </c>
      <c r="S37" s="74" t="str">
        <f t="shared" ca="1" si="69"/>
        <v/>
      </c>
      <c r="T37" s="74" t="str">
        <f t="shared" ca="1" si="70"/>
        <v/>
      </c>
      <c r="U37" s="74" t="str">
        <f t="shared" ca="1" si="70"/>
        <v/>
      </c>
      <c r="V37" s="74" t="str">
        <f t="shared" ca="1" si="70"/>
        <v/>
      </c>
      <c r="W37" s="74" t="str">
        <f t="shared" ca="1" si="70"/>
        <v/>
      </c>
      <c r="X37" s="74" t="str">
        <f t="shared" ca="1" si="70"/>
        <v/>
      </c>
      <c r="Y37" s="74" t="str">
        <f t="shared" ca="1" si="70"/>
        <v/>
      </c>
      <c r="Z37" s="74" t="str">
        <f t="shared" ca="1" si="70"/>
        <v/>
      </c>
      <c r="AA37" s="74" t="str">
        <f t="shared" ca="1" si="70"/>
        <v/>
      </c>
      <c r="AB37" s="74" t="str">
        <f t="shared" ca="1" si="70"/>
        <v/>
      </c>
      <c r="AC37" s="74" t="str">
        <f t="shared" ca="1" si="70"/>
        <v/>
      </c>
      <c r="AD37" s="74" t="str">
        <f t="shared" ca="1" si="71"/>
        <v/>
      </c>
      <c r="AE37" s="74" t="str">
        <f t="shared" ca="1" si="71"/>
        <v/>
      </c>
      <c r="AF37" s="74" t="str">
        <f t="shared" ca="1" si="71"/>
        <v/>
      </c>
      <c r="AG37" s="74" t="str">
        <f t="shared" ca="1" si="71"/>
        <v/>
      </c>
      <c r="AH37" s="74" t="str">
        <f t="shared" ca="1" si="71"/>
        <v/>
      </c>
      <c r="AI37" s="74" t="str">
        <f t="shared" ca="1" si="71"/>
        <v/>
      </c>
      <c r="AJ37" s="74" t="str">
        <f t="shared" ca="1" si="71"/>
        <v/>
      </c>
      <c r="AK37" s="74" t="str">
        <f t="shared" ca="1" si="71"/>
        <v/>
      </c>
      <c r="AL37" s="74" t="str">
        <f t="shared" ca="1" si="71"/>
        <v/>
      </c>
      <c r="AM37" s="74" t="str">
        <f t="shared" ca="1" si="71"/>
        <v/>
      </c>
      <c r="AN37" s="74" t="str">
        <f t="shared" ca="1" si="72"/>
        <v/>
      </c>
      <c r="AO37" s="74" t="str">
        <f t="shared" ca="1" si="72"/>
        <v/>
      </c>
      <c r="AP37" s="74" t="str">
        <f t="shared" ca="1" si="72"/>
        <v/>
      </c>
      <c r="AQ37" s="74" t="str">
        <f t="shared" ca="1" si="72"/>
        <v/>
      </c>
      <c r="AR37" s="74" t="str">
        <f t="shared" ca="1" si="72"/>
        <v/>
      </c>
      <c r="AS37" s="74" t="str">
        <f t="shared" ca="1" si="72"/>
        <v/>
      </c>
      <c r="AT37" s="74" t="str">
        <f t="shared" ca="1" si="72"/>
        <v/>
      </c>
      <c r="AU37" s="74" t="str">
        <f t="shared" ca="1" si="72"/>
        <v/>
      </c>
      <c r="AV37" s="74" t="str">
        <f t="shared" ca="1" si="72"/>
        <v/>
      </c>
      <c r="AW37" s="74" t="str">
        <f t="shared" ca="1" si="72"/>
        <v/>
      </c>
      <c r="AX37" s="74" t="str">
        <f t="shared" ca="1" si="73"/>
        <v/>
      </c>
      <c r="AY37" s="74" t="str">
        <f t="shared" ca="1" si="73"/>
        <v/>
      </c>
      <c r="AZ37" s="74" t="str">
        <f t="shared" ca="1" si="73"/>
        <v/>
      </c>
      <c r="BA37" s="74" t="str">
        <f t="shared" ca="1" si="73"/>
        <v/>
      </c>
      <c r="BB37" s="74" t="str">
        <f t="shared" ca="1" si="73"/>
        <v/>
      </c>
      <c r="BC37" s="74" t="str">
        <f t="shared" ca="1" si="73"/>
        <v/>
      </c>
      <c r="BD37" s="74" t="str">
        <f t="shared" ca="1" si="73"/>
        <v/>
      </c>
      <c r="BE37" s="74" t="str">
        <f t="shared" ca="1" si="73"/>
        <v/>
      </c>
      <c r="BF37" s="74" t="str">
        <f t="shared" ca="1" si="73"/>
        <v/>
      </c>
      <c r="BG37" s="74" t="str">
        <f t="shared" ca="1" si="73"/>
        <v/>
      </c>
      <c r="BH37" s="74" t="str">
        <f t="shared" ca="1" si="74"/>
        <v/>
      </c>
      <c r="BI37" s="74" t="str">
        <f t="shared" ca="1" si="74"/>
        <v/>
      </c>
      <c r="BJ37" s="74" t="str">
        <f t="shared" ca="1" si="74"/>
        <v/>
      </c>
      <c r="BK37" s="74" t="str">
        <f t="shared" ca="1" si="74"/>
        <v/>
      </c>
      <c r="BL37" s="74" t="str">
        <f t="shared" ca="1" si="74"/>
        <v/>
      </c>
      <c r="BM37" s="74" t="str">
        <f t="shared" ca="1" si="74"/>
        <v/>
      </c>
      <c r="BN37" s="74" t="str">
        <f t="shared" ca="1" si="74"/>
        <v/>
      </c>
      <c r="BO37" s="74" t="str">
        <f t="shared" ca="1" si="74"/>
        <v/>
      </c>
      <c r="BP37" s="74" t="str">
        <f t="shared" ca="1" si="74"/>
        <v/>
      </c>
      <c r="BQ37" s="74" t="str">
        <f t="shared" ca="1" si="74"/>
        <v/>
      </c>
      <c r="BR37" s="74" t="str">
        <f t="shared" ca="1" si="75"/>
        <v/>
      </c>
      <c r="BS37" s="74" t="str">
        <f t="shared" ca="1" si="75"/>
        <v/>
      </c>
      <c r="BT37" s="74" t="str">
        <f t="shared" ca="1" si="75"/>
        <v/>
      </c>
      <c r="BU37" s="74" t="str">
        <f t="shared" ca="1" si="75"/>
        <v/>
      </c>
      <c r="BV37" s="74" t="str">
        <f t="shared" ca="1" si="75"/>
        <v/>
      </c>
      <c r="BW37" s="74" t="str">
        <f t="shared" ca="1" si="75"/>
        <v/>
      </c>
      <c r="BX37" s="74" t="str">
        <f t="shared" ca="1" si="75"/>
        <v/>
      </c>
      <c r="BY37" s="74" t="str">
        <f t="shared" ca="1" si="75"/>
        <v/>
      </c>
      <c r="BZ37" s="74" t="str">
        <f t="shared" ca="1" si="75"/>
        <v/>
      </c>
      <c r="CA37" s="74" t="str">
        <f t="shared" ca="1" si="75"/>
        <v/>
      </c>
      <c r="CB37" s="74" t="str">
        <f t="shared" ca="1" si="76"/>
        <v/>
      </c>
      <c r="CC37" s="74" t="str">
        <f t="shared" ca="1" si="76"/>
        <v/>
      </c>
      <c r="CD37" s="74" t="str">
        <f t="shared" ca="1" si="76"/>
        <v/>
      </c>
      <c r="CE37" s="74" t="str">
        <f t="shared" ca="1" si="76"/>
        <v/>
      </c>
      <c r="CF37" s="74" t="str">
        <f t="shared" ca="1" si="76"/>
        <v/>
      </c>
      <c r="CG37" s="74" t="str">
        <f t="shared" ca="1" si="76"/>
        <v/>
      </c>
      <c r="CH37" s="74" t="str">
        <f t="shared" ca="1" si="76"/>
        <v/>
      </c>
      <c r="CI37" s="74" t="str">
        <f t="shared" ca="1" si="76"/>
        <v/>
      </c>
      <c r="CJ37" s="74" t="str">
        <f t="shared" ca="1" si="76"/>
        <v/>
      </c>
      <c r="CK37" s="74" t="str">
        <f t="shared" ca="1" si="76"/>
        <v/>
      </c>
      <c r="CL37" s="74" t="str">
        <f t="shared" ca="1" si="77"/>
        <v/>
      </c>
      <c r="CM37" s="74" t="str">
        <f t="shared" ca="1" si="77"/>
        <v/>
      </c>
      <c r="CN37" s="74" t="str">
        <f t="shared" ca="1" si="77"/>
        <v/>
      </c>
      <c r="CO37" s="74" t="str">
        <f t="shared" ca="1" si="77"/>
        <v/>
      </c>
      <c r="CP37" s="74" t="str">
        <f t="shared" ca="1" si="77"/>
        <v/>
      </c>
      <c r="CQ37" s="74" t="str">
        <f t="shared" ca="1" si="77"/>
        <v/>
      </c>
      <c r="CR37" s="74" t="str">
        <f t="shared" ca="1" si="77"/>
        <v/>
      </c>
      <c r="CS37" s="74" t="str">
        <f t="shared" ca="1" si="77"/>
        <v/>
      </c>
      <c r="CT37" s="74" t="str">
        <f t="shared" ca="1" si="77"/>
        <v/>
      </c>
      <c r="CU37" s="74" t="str">
        <f t="shared" ca="1" si="77"/>
        <v/>
      </c>
      <c r="CV37" s="74" t="str">
        <f t="shared" ca="1" si="78"/>
        <v/>
      </c>
      <c r="CW37" s="74" t="str">
        <f t="shared" ca="1" si="78"/>
        <v/>
      </c>
      <c r="CX37" s="74" t="str">
        <f t="shared" ca="1" si="78"/>
        <v/>
      </c>
      <c r="CY37" s="74" t="str">
        <f t="shared" ca="1" si="78"/>
        <v/>
      </c>
      <c r="CZ37" s="74" t="str">
        <f t="shared" ca="1" si="78"/>
        <v/>
      </c>
      <c r="DA37" s="74" t="str">
        <f t="shared" ca="1" si="78"/>
        <v/>
      </c>
      <c r="DB37" s="74" t="str">
        <f t="shared" ca="1" si="78"/>
        <v/>
      </c>
      <c r="DC37" s="74" t="str">
        <f t="shared" ca="1" si="78"/>
        <v/>
      </c>
      <c r="DD37" s="74" t="str">
        <f t="shared" ca="1" si="78"/>
        <v/>
      </c>
      <c r="DE37" s="74" t="str">
        <f t="shared" ca="1" si="78"/>
        <v/>
      </c>
      <c r="DF37" s="74" t="str">
        <f t="shared" ca="1" si="79"/>
        <v/>
      </c>
      <c r="DG37" s="74" t="str">
        <f t="shared" ca="1" si="79"/>
        <v/>
      </c>
      <c r="DH37" s="74" t="str">
        <f t="shared" ca="1" si="79"/>
        <v/>
      </c>
      <c r="DI37" s="74" t="str">
        <f t="shared" ca="1" si="79"/>
        <v/>
      </c>
      <c r="DJ37" s="74" t="str">
        <f t="shared" ca="1" si="79"/>
        <v/>
      </c>
      <c r="DK37" s="74" t="str">
        <f t="shared" ca="1" si="79"/>
        <v/>
      </c>
      <c r="DL37" s="74" t="str">
        <f t="shared" ca="1" si="79"/>
        <v/>
      </c>
      <c r="DM37" s="74" t="str">
        <f t="shared" ca="1" si="79"/>
        <v/>
      </c>
      <c r="DN37" s="74" t="str">
        <f t="shared" ca="1" si="79"/>
        <v/>
      </c>
      <c r="DO37" s="74" t="str">
        <f t="shared" ca="1" si="79"/>
        <v/>
      </c>
      <c r="DP37" s="74" t="str">
        <f t="shared" ca="1" si="80"/>
        <v/>
      </c>
      <c r="DQ37" s="74" t="str">
        <f t="shared" ca="1" si="80"/>
        <v/>
      </c>
      <c r="DR37" s="74" t="str">
        <f t="shared" ca="1" si="80"/>
        <v/>
      </c>
      <c r="DS37" s="74" t="str">
        <f t="shared" ca="1" si="80"/>
        <v/>
      </c>
      <c r="DT37" s="74" t="str">
        <f t="shared" ca="1" si="80"/>
        <v/>
      </c>
      <c r="DU37" s="74" t="str">
        <f t="shared" ca="1" si="80"/>
        <v/>
      </c>
      <c r="DV37" s="74" t="str">
        <f t="shared" ca="1" si="80"/>
        <v/>
      </c>
      <c r="DW37" s="74" t="str">
        <f t="shared" ca="1" si="80"/>
        <v/>
      </c>
      <c r="DX37" s="74" t="str">
        <f t="shared" ca="1" si="80"/>
        <v/>
      </c>
      <c r="DY37" s="74" t="str">
        <f t="shared" ca="1" si="80"/>
        <v/>
      </c>
      <c r="DZ37" s="74" t="str">
        <f t="shared" ca="1" si="81"/>
        <v/>
      </c>
      <c r="EA37" s="74" t="str">
        <f t="shared" ca="1" si="81"/>
        <v/>
      </c>
      <c r="EB37" s="74" t="str">
        <f t="shared" ca="1" si="81"/>
        <v/>
      </c>
      <c r="EC37" s="74" t="str">
        <f t="shared" ca="1" si="81"/>
        <v/>
      </c>
      <c r="ED37" s="74" t="str">
        <f t="shared" ca="1" si="81"/>
        <v/>
      </c>
      <c r="EE37" s="74" t="str">
        <f t="shared" ca="1" si="81"/>
        <v/>
      </c>
      <c r="EF37" s="74" t="str">
        <f t="shared" ca="1" si="81"/>
        <v/>
      </c>
      <c r="EG37" s="74" t="str">
        <f t="shared" ca="1" si="81"/>
        <v/>
      </c>
      <c r="EH37" s="74" t="str">
        <f t="shared" ca="1" si="81"/>
        <v/>
      </c>
      <c r="EI37" s="74" t="str">
        <f t="shared" ca="1" si="81"/>
        <v/>
      </c>
      <c r="EJ37" s="74" t="str">
        <f t="shared" ca="1" si="82"/>
        <v/>
      </c>
      <c r="EK37" s="74" t="str">
        <f t="shared" ca="1" si="82"/>
        <v/>
      </c>
      <c r="EL37" s="74" t="str">
        <f t="shared" ca="1" si="82"/>
        <v/>
      </c>
      <c r="EM37" s="74" t="str">
        <f t="shared" ca="1" si="82"/>
        <v/>
      </c>
      <c r="EN37" s="74" t="str">
        <f t="shared" ca="1" si="82"/>
        <v/>
      </c>
      <c r="EO37" s="74" t="str">
        <f t="shared" ca="1" si="82"/>
        <v/>
      </c>
      <c r="EP37" s="74" t="str">
        <f t="shared" ca="1" si="82"/>
        <v/>
      </c>
      <c r="EQ37" s="74" t="str">
        <f t="shared" ca="1" si="82"/>
        <v/>
      </c>
      <c r="ER37" s="74" t="str">
        <f t="shared" ca="1" si="82"/>
        <v/>
      </c>
      <c r="ES37" s="74" t="str">
        <f t="shared" ca="1" si="82"/>
        <v/>
      </c>
      <c r="ET37" s="74" t="str">
        <f t="shared" ca="1" si="83"/>
        <v/>
      </c>
      <c r="EU37" s="74" t="str">
        <f t="shared" ca="1" si="83"/>
        <v/>
      </c>
      <c r="EV37" s="74" t="str">
        <f t="shared" ca="1" si="83"/>
        <v/>
      </c>
      <c r="EW37" s="74" t="str">
        <f t="shared" ca="1" si="83"/>
        <v/>
      </c>
      <c r="EX37" s="74" t="str">
        <f t="shared" ca="1" si="83"/>
        <v/>
      </c>
      <c r="EY37" s="74" t="str">
        <f t="shared" ca="1" si="83"/>
        <v/>
      </c>
      <c r="EZ37" s="74" t="str">
        <f t="shared" ca="1" si="83"/>
        <v/>
      </c>
      <c r="FA37" s="74" t="str">
        <f t="shared" ca="1" si="83"/>
        <v/>
      </c>
      <c r="FB37" s="74" t="str">
        <f t="shared" ca="1" si="83"/>
        <v/>
      </c>
      <c r="FC37" s="74" t="str">
        <f t="shared" ca="1" si="83"/>
        <v/>
      </c>
      <c r="FD37" s="74" t="str">
        <f t="shared" ca="1" si="84"/>
        <v/>
      </c>
      <c r="FE37" s="74" t="str">
        <f t="shared" ca="1" si="84"/>
        <v/>
      </c>
      <c r="FF37" s="74" t="str">
        <f t="shared" ca="1" si="84"/>
        <v/>
      </c>
      <c r="FG37" s="74" t="str">
        <f t="shared" ca="1" si="84"/>
        <v/>
      </c>
      <c r="FH37" s="74" t="str">
        <f t="shared" ca="1" si="84"/>
        <v/>
      </c>
      <c r="FI37" s="74" t="str">
        <f t="shared" ca="1" si="84"/>
        <v/>
      </c>
      <c r="FJ37" s="74" t="str">
        <f t="shared" ca="1" si="84"/>
        <v/>
      </c>
      <c r="FK37" s="74" t="str">
        <f t="shared" ca="1" si="84"/>
        <v/>
      </c>
      <c r="FL37" s="74" t="str">
        <f t="shared" ca="1" si="84"/>
        <v/>
      </c>
      <c r="FM37" s="74" t="str">
        <f t="shared" ca="1" si="84"/>
        <v/>
      </c>
      <c r="FN37" s="74" t="str">
        <f t="shared" ca="1" si="85"/>
        <v/>
      </c>
      <c r="FO37" s="74" t="str">
        <f t="shared" ca="1" si="85"/>
        <v/>
      </c>
      <c r="FP37" s="74" t="str">
        <f t="shared" ca="1" si="85"/>
        <v/>
      </c>
      <c r="FQ37" s="74" t="str">
        <f t="shared" ca="1" si="85"/>
        <v/>
      </c>
      <c r="FR37" s="74" t="str">
        <f t="shared" ca="1" si="85"/>
        <v/>
      </c>
      <c r="FS37" s="74" t="str">
        <f t="shared" ca="1" si="85"/>
        <v/>
      </c>
      <c r="FT37" s="74" t="str">
        <f t="shared" ca="1" si="85"/>
        <v/>
      </c>
      <c r="FU37" s="74" t="str">
        <f t="shared" ca="1" si="85"/>
        <v/>
      </c>
      <c r="FV37" s="74" t="str">
        <f t="shared" ca="1" si="85"/>
        <v/>
      </c>
      <c r="FW37" s="74" t="str">
        <f t="shared" ca="1" si="85"/>
        <v/>
      </c>
      <c r="FX37" s="74" t="str">
        <f t="shared" ca="1" si="86"/>
        <v/>
      </c>
      <c r="FY37" s="74" t="str">
        <f t="shared" ca="1" si="86"/>
        <v/>
      </c>
      <c r="FZ37" s="74" t="str">
        <f t="shared" ca="1" si="86"/>
        <v/>
      </c>
      <c r="GA37" s="74" t="str">
        <f t="shared" ca="1" si="86"/>
        <v/>
      </c>
      <c r="GB37" s="74" t="str">
        <f t="shared" ca="1" si="86"/>
        <v/>
      </c>
      <c r="GC37" s="74" t="str">
        <f t="shared" ca="1" si="86"/>
        <v/>
      </c>
      <c r="GD37" s="74" t="str">
        <f t="shared" ca="1" si="86"/>
        <v/>
      </c>
      <c r="GE37" s="74" t="str">
        <f t="shared" ca="1" si="86"/>
        <v/>
      </c>
      <c r="GF37" s="74" t="str">
        <f t="shared" ca="1" si="86"/>
        <v/>
      </c>
      <c r="GG37" s="74" t="str">
        <f t="shared" ca="1" si="86"/>
        <v/>
      </c>
      <c r="GH37" s="74" t="str">
        <f t="shared" ca="1" si="87"/>
        <v/>
      </c>
      <c r="GI37" s="74" t="str">
        <f t="shared" ca="1" si="87"/>
        <v/>
      </c>
      <c r="GJ37" s="74" t="str">
        <f t="shared" ca="1" si="87"/>
        <v/>
      </c>
      <c r="GK37" s="74" t="str">
        <f t="shared" ca="1" si="87"/>
        <v/>
      </c>
      <c r="GL37" s="74" t="str">
        <f t="shared" ca="1" si="87"/>
        <v/>
      </c>
      <c r="GM37" s="74" t="str">
        <f t="shared" ca="1" si="87"/>
        <v/>
      </c>
      <c r="GN37" s="74" t="str">
        <f t="shared" ca="1" si="87"/>
        <v/>
      </c>
      <c r="GO37" s="74" t="str">
        <f t="shared" ca="1" si="87"/>
        <v/>
      </c>
      <c r="GP37" s="74" t="str">
        <f t="shared" ca="1" si="87"/>
        <v/>
      </c>
      <c r="GQ37" s="74" t="str">
        <f t="shared" ca="1" si="87"/>
        <v/>
      </c>
      <c r="GR37" s="74" t="str">
        <f t="shared" ca="1" si="88"/>
        <v/>
      </c>
      <c r="GS37" s="74" t="str">
        <f t="shared" ca="1" si="88"/>
        <v/>
      </c>
      <c r="GT37" s="74" t="str">
        <f t="shared" ca="1" si="88"/>
        <v/>
      </c>
      <c r="GU37" s="74" t="str">
        <f t="shared" ca="1" si="88"/>
        <v/>
      </c>
      <c r="GV37" s="74" t="str">
        <f t="shared" ca="1" si="88"/>
        <v/>
      </c>
      <c r="GW37" s="74" t="str">
        <f t="shared" ca="1" si="88"/>
        <v/>
      </c>
      <c r="GX37" s="74" t="str">
        <f t="shared" ca="1" si="88"/>
        <v/>
      </c>
      <c r="GY37" s="74" t="str">
        <f t="shared" ca="1" si="88"/>
        <v/>
      </c>
      <c r="GZ37" s="74" t="str">
        <f t="shared" ca="1" si="88"/>
        <v/>
      </c>
      <c r="HA37" s="74" t="str">
        <f t="shared" ca="1" si="88"/>
        <v/>
      </c>
      <c r="HB37" s="74" t="str">
        <f t="shared" ca="1" si="89"/>
        <v/>
      </c>
      <c r="HC37" s="74" t="str">
        <f t="shared" ca="1" si="89"/>
        <v/>
      </c>
      <c r="HD37" s="74" t="str">
        <f t="shared" ca="1" si="89"/>
        <v/>
      </c>
      <c r="HE37" s="74" t="str">
        <f t="shared" ca="1" si="89"/>
        <v/>
      </c>
      <c r="HF37" s="74" t="str">
        <f t="shared" ca="1" si="89"/>
        <v/>
      </c>
      <c r="HG37" s="74" t="str">
        <f t="shared" ca="1" si="89"/>
        <v/>
      </c>
      <c r="HH37" s="74" t="str">
        <f t="shared" ca="1" si="89"/>
        <v/>
      </c>
      <c r="HI37" s="74" t="str">
        <f t="shared" ca="1" si="89"/>
        <v/>
      </c>
      <c r="HJ37" s="74" t="str">
        <f t="shared" ca="1" si="89"/>
        <v/>
      </c>
      <c r="HK37" s="74" t="str">
        <f t="shared" ca="1" si="89"/>
        <v/>
      </c>
      <c r="HL37" s="74" t="str">
        <f t="shared" ca="1" si="90"/>
        <v/>
      </c>
      <c r="HM37" s="74" t="str">
        <f t="shared" ca="1" si="90"/>
        <v/>
      </c>
      <c r="HN37" s="74" t="str">
        <f t="shared" ca="1" si="90"/>
        <v/>
      </c>
      <c r="HO37" s="74" t="str">
        <f t="shared" ca="1" si="90"/>
        <v/>
      </c>
      <c r="HP37" s="74" t="str">
        <f t="shared" ca="1" si="90"/>
        <v/>
      </c>
      <c r="HQ37" s="74" t="str">
        <f t="shared" ca="1" si="90"/>
        <v/>
      </c>
      <c r="HR37" s="74" t="str">
        <f t="shared" ca="1" si="90"/>
        <v/>
      </c>
      <c r="HS37" s="74" t="str">
        <f t="shared" ca="1" si="90"/>
        <v/>
      </c>
      <c r="HT37" s="74" t="str">
        <f t="shared" ca="1" si="90"/>
        <v/>
      </c>
      <c r="HU37" s="74" t="str">
        <f t="shared" ca="1" si="90"/>
        <v/>
      </c>
      <c r="HV37" s="74" t="str">
        <f t="shared" ca="1" si="91"/>
        <v/>
      </c>
      <c r="HW37" s="74" t="str">
        <f t="shared" ca="1" si="91"/>
        <v/>
      </c>
      <c r="HX37" s="74" t="str">
        <f t="shared" ca="1" si="91"/>
        <v/>
      </c>
      <c r="HY37" s="74" t="str">
        <f t="shared" ca="1" si="91"/>
        <v/>
      </c>
      <c r="HZ37" s="74" t="str">
        <f t="shared" ca="1" si="91"/>
        <v/>
      </c>
      <c r="IA37" s="74" t="str">
        <f t="shared" ca="1" si="91"/>
        <v/>
      </c>
      <c r="IB37" s="74" t="str">
        <f t="shared" ca="1" si="91"/>
        <v/>
      </c>
      <c r="IC37" s="74" t="str">
        <f t="shared" ca="1" si="91"/>
        <v/>
      </c>
      <c r="ID37" s="74" t="str">
        <f t="shared" ca="1" si="91"/>
        <v/>
      </c>
      <c r="IE37" s="74" t="str">
        <f t="shared" ca="1" si="91"/>
        <v/>
      </c>
      <c r="IF37" s="74" t="str">
        <f t="shared" ca="1" si="92"/>
        <v/>
      </c>
      <c r="IG37" s="74" t="str">
        <f t="shared" ca="1" si="92"/>
        <v/>
      </c>
      <c r="IH37" s="74" t="str">
        <f t="shared" ca="1" si="92"/>
        <v/>
      </c>
      <c r="II37" s="74" t="str">
        <f t="shared" ca="1" si="92"/>
        <v/>
      </c>
      <c r="IJ37" s="74" t="str">
        <f t="shared" ca="1" si="92"/>
        <v/>
      </c>
      <c r="IK37" s="74" t="str">
        <f t="shared" ca="1" si="92"/>
        <v/>
      </c>
      <c r="IL37" s="74" t="str">
        <f t="shared" ca="1" si="92"/>
        <v/>
      </c>
      <c r="IM37" s="74" t="str">
        <f t="shared" ca="1" si="92"/>
        <v/>
      </c>
      <c r="IN37" s="74" t="str">
        <f t="shared" ca="1" si="92"/>
        <v/>
      </c>
      <c r="IO37" s="74" t="str">
        <f t="shared" ca="1" si="92"/>
        <v/>
      </c>
      <c r="IP37" s="74" t="str">
        <f t="shared" ca="1" si="93"/>
        <v/>
      </c>
      <c r="IQ37" s="74" t="str">
        <f t="shared" ca="1" si="93"/>
        <v/>
      </c>
      <c r="IR37" s="74" t="str">
        <f t="shared" ca="1" si="93"/>
        <v/>
      </c>
      <c r="IS37" s="74" t="str">
        <f t="shared" ca="1" si="93"/>
        <v/>
      </c>
      <c r="IT37" s="74" t="str">
        <f t="shared" ca="1" si="93"/>
        <v/>
      </c>
      <c r="IU37" s="74" t="str">
        <f t="shared" ca="1" si="93"/>
        <v/>
      </c>
      <c r="IV37" s="74" t="str">
        <f t="shared" ca="1" si="93"/>
        <v/>
      </c>
      <c r="IW37" s="74" t="str">
        <f t="shared" ca="1" si="93"/>
        <v/>
      </c>
      <c r="IX37" s="74" t="str">
        <f t="shared" ca="1" si="93"/>
        <v/>
      </c>
      <c r="IY37" s="74" t="str">
        <f t="shared" ca="1" si="93"/>
        <v/>
      </c>
      <c r="IZ37" s="74" t="str">
        <f t="shared" ca="1" si="94"/>
        <v/>
      </c>
      <c r="JA37" s="74" t="str">
        <f t="shared" ca="1" si="94"/>
        <v/>
      </c>
      <c r="JB37" s="74" t="str">
        <f t="shared" ca="1" si="94"/>
        <v/>
      </c>
      <c r="JC37" s="74" t="str">
        <f t="shared" ca="1" si="94"/>
        <v/>
      </c>
      <c r="JD37" s="74" t="str">
        <f t="shared" ca="1" si="94"/>
        <v/>
      </c>
      <c r="JE37" s="74" t="str">
        <f t="shared" ca="1" si="94"/>
        <v/>
      </c>
      <c r="JF37" s="74" t="str">
        <f t="shared" ca="1" si="94"/>
        <v/>
      </c>
      <c r="JG37" s="74" t="str">
        <f t="shared" ca="1" si="94"/>
        <v/>
      </c>
      <c r="JH37" s="74" t="str">
        <f t="shared" ca="1" si="94"/>
        <v/>
      </c>
      <c r="JI37" s="74" t="str">
        <f t="shared" ca="1" si="94"/>
        <v/>
      </c>
      <c r="JJ37" s="74" t="str">
        <f t="shared" ca="1" si="95"/>
        <v/>
      </c>
      <c r="JK37" s="74" t="str">
        <f t="shared" ca="1" si="95"/>
        <v/>
      </c>
      <c r="JL37" s="74" t="str">
        <f t="shared" ca="1" si="95"/>
        <v/>
      </c>
      <c r="JM37" s="74" t="str">
        <f t="shared" ca="1" si="95"/>
        <v/>
      </c>
      <c r="JN37" s="74" t="str">
        <f t="shared" ca="1" si="95"/>
        <v/>
      </c>
      <c r="JO37" s="74" t="str">
        <f t="shared" ca="1" si="95"/>
        <v/>
      </c>
      <c r="JP37" s="74" t="str">
        <f t="shared" ca="1" si="95"/>
        <v/>
      </c>
      <c r="JQ37" s="74" t="str">
        <f t="shared" ca="1" si="95"/>
        <v/>
      </c>
      <c r="JR37" s="74" t="str">
        <f t="shared" ca="1" si="95"/>
        <v/>
      </c>
      <c r="JS37" s="74" t="str">
        <f t="shared" ca="1" si="95"/>
        <v/>
      </c>
      <c r="JT37" s="74" t="str">
        <f t="shared" ca="1" si="96"/>
        <v/>
      </c>
      <c r="JU37" s="74" t="str">
        <f t="shared" ca="1" si="96"/>
        <v/>
      </c>
      <c r="JV37" s="74" t="str">
        <f t="shared" ca="1" si="96"/>
        <v/>
      </c>
      <c r="JW37" s="74" t="str">
        <f t="shared" ca="1" si="96"/>
        <v/>
      </c>
      <c r="JX37" s="74" t="str">
        <f t="shared" ca="1" si="96"/>
        <v/>
      </c>
      <c r="JY37" s="74" t="str">
        <f t="shared" ca="1" si="96"/>
        <v/>
      </c>
      <c r="JZ37" s="74" t="str">
        <f t="shared" ca="1" si="96"/>
        <v/>
      </c>
      <c r="KA37" s="74" t="str">
        <f t="shared" ca="1" si="96"/>
        <v/>
      </c>
      <c r="KB37" s="74" t="str">
        <f t="shared" ca="1" si="96"/>
        <v/>
      </c>
      <c r="KC37" s="74" t="str">
        <f t="shared" ca="1" si="96"/>
        <v/>
      </c>
      <c r="KD37" s="74" t="str">
        <f t="shared" ca="1" si="97"/>
        <v/>
      </c>
      <c r="KE37" s="74" t="str">
        <f t="shared" ca="1" si="97"/>
        <v/>
      </c>
      <c r="KF37" s="74" t="str">
        <f t="shared" ca="1" si="97"/>
        <v/>
      </c>
      <c r="KG37" s="74" t="str">
        <f t="shared" ca="1" si="97"/>
        <v/>
      </c>
      <c r="KH37" s="74" t="str">
        <f t="shared" ca="1" si="97"/>
        <v/>
      </c>
      <c r="KI37" s="74" t="str">
        <f t="shared" ca="1" si="97"/>
        <v/>
      </c>
      <c r="KJ37" s="74" t="str">
        <f t="shared" ca="1" si="97"/>
        <v/>
      </c>
      <c r="KK37" s="74" t="str">
        <f t="shared" ca="1" si="97"/>
        <v/>
      </c>
      <c r="KL37" s="74" t="str">
        <f t="shared" ca="1" si="97"/>
        <v/>
      </c>
      <c r="KM37" s="74" t="str">
        <f t="shared" ca="1" si="97"/>
        <v/>
      </c>
      <c r="KN37" s="74" t="str">
        <f t="shared" ca="1" si="98"/>
        <v/>
      </c>
      <c r="KO37" s="74" t="str">
        <f t="shared" ca="1" si="98"/>
        <v/>
      </c>
      <c r="KP37" s="74" t="str">
        <f t="shared" ca="1" si="98"/>
        <v/>
      </c>
      <c r="KQ37" s="74" t="str">
        <f t="shared" ca="1" si="98"/>
        <v/>
      </c>
      <c r="KR37" s="74" t="str">
        <f t="shared" ca="1" si="98"/>
        <v/>
      </c>
      <c r="KS37" s="74" t="str">
        <f t="shared" ca="1" si="98"/>
        <v/>
      </c>
      <c r="KT37" s="74" t="str">
        <f t="shared" ca="1" si="98"/>
        <v/>
      </c>
      <c r="KU37" s="74" t="str">
        <f t="shared" ca="1" si="98"/>
        <v/>
      </c>
      <c r="KV37" s="74" t="str">
        <f t="shared" ca="1" si="98"/>
        <v/>
      </c>
      <c r="KW37" s="74" t="str">
        <f t="shared" ca="1" si="98"/>
        <v/>
      </c>
      <c r="KX37" s="74" t="str">
        <f t="shared" ca="1" si="99"/>
        <v/>
      </c>
      <c r="KY37" s="74" t="str">
        <f t="shared" ca="1" si="99"/>
        <v/>
      </c>
      <c r="KZ37" s="74" t="str">
        <f t="shared" ca="1" si="99"/>
        <v/>
      </c>
      <c r="LA37" s="74" t="str">
        <f t="shared" ca="1" si="99"/>
        <v/>
      </c>
      <c r="LB37" s="74" t="str">
        <f t="shared" ca="1" si="99"/>
        <v/>
      </c>
      <c r="LC37" s="74" t="str">
        <f t="shared" ca="1" si="99"/>
        <v/>
      </c>
      <c r="LD37" s="74" t="str">
        <f t="shared" ca="1" si="99"/>
        <v/>
      </c>
      <c r="LE37" s="74" t="str">
        <f t="shared" ca="1" si="99"/>
        <v/>
      </c>
      <c r="LF37" s="74" t="str">
        <f t="shared" ca="1" si="99"/>
        <v/>
      </c>
      <c r="LG37" s="74" t="str">
        <f t="shared" ca="1" si="99"/>
        <v/>
      </c>
      <c r="LH37" s="74" t="str">
        <f t="shared" ca="1" si="100"/>
        <v/>
      </c>
      <c r="LI37" s="74" t="str">
        <f t="shared" ca="1" si="100"/>
        <v/>
      </c>
      <c r="LJ37" s="74" t="str">
        <f t="shared" ca="1" si="100"/>
        <v/>
      </c>
      <c r="LK37" s="74" t="str">
        <f t="shared" ca="1" si="100"/>
        <v/>
      </c>
      <c r="LL37" s="74" t="str">
        <f t="shared" ca="1" si="100"/>
        <v/>
      </c>
      <c r="LM37" s="74" t="str">
        <f t="shared" ca="1" si="100"/>
        <v/>
      </c>
      <c r="LN37" s="74" t="str">
        <f t="shared" ca="1" si="100"/>
        <v/>
      </c>
      <c r="LO37" s="74" t="str">
        <f t="shared" ca="1" si="100"/>
        <v/>
      </c>
      <c r="LP37" s="74" t="str">
        <f t="shared" ca="1" si="100"/>
        <v/>
      </c>
      <c r="LQ37" s="74" t="str">
        <f t="shared" ca="1" si="100"/>
        <v/>
      </c>
      <c r="LR37" s="74" t="str">
        <f t="shared" ca="1" si="101"/>
        <v/>
      </c>
      <c r="LS37" s="74" t="str">
        <f t="shared" ca="1" si="101"/>
        <v/>
      </c>
      <c r="LT37" s="74" t="str">
        <f t="shared" ca="1" si="101"/>
        <v/>
      </c>
      <c r="LU37" s="74" t="str">
        <f t="shared" ca="1" si="101"/>
        <v/>
      </c>
      <c r="LV37" s="74" t="str">
        <f t="shared" ca="1" si="101"/>
        <v/>
      </c>
      <c r="LW37" s="74" t="str">
        <f t="shared" ca="1" si="101"/>
        <v/>
      </c>
      <c r="LX37" s="74" t="str">
        <f t="shared" ca="1" si="101"/>
        <v/>
      </c>
      <c r="LY37" s="74" t="str">
        <f t="shared" ca="1" si="101"/>
        <v/>
      </c>
      <c r="LZ37" s="74" t="str">
        <f t="shared" ca="1" si="101"/>
        <v/>
      </c>
      <c r="MA37" s="74" t="str">
        <f t="shared" ca="1" si="101"/>
        <v/>
      </c>
      <c r="MB37" s="74" t="str">
        <f t="shared" ca="1" si="102"/>
        <v/>
      </c>
      <c r="MC37" s="74" t="str">
        <f t="shared" ca="1" si="102"/>
        <v/>
      </c>
      <c r="MD37" s="74" t="str">
        <f t="shared" ca="1" si="102"/>
        <v/>
      </c>
      <c r="ME37" s="74" t="str">
        <f t="shared" ca="1" si="102"/>
        <v/>
      </c>
      <c r="MF37" s="74" t="str">
        <f t="shared" ca="1" si="102"/>
        <v/>
      </c>
      <c r="MG37" s="74" t="str">
        <f t="shared" ca="1" si="102"/>
        <v/>
      </c>
      <c r="MH37" s="74" t="str">
        <f t="shared" ca="1" si="102"/>
        <v/>
      </c>
      <c r="MI37" s="74" t="str">
        <f t="shared" ca="1" si="102"/>
        <v/>
      </c>
      <c r="MJ37" s="74" t="str">
        <f t="shared" ca="1" si="102"/>
        <v/>
      </c>
      <c r="MK37" s="74" t="str">
        <f t="shared" ca="1" si="102"/>
        <v/>
      </c>
      <c r="ML37" s="74" t="str">
        <f t="shared" ca="1" si="103"/>
        <v/>
      </c>
      <c r="MM37" s="74" t="str">
        <f t="shared" ca="1" si="103"/>
        <v/>
      </c>
      <c r="MN37" s="74" t="str">
        <f t="shared" ca="1" si="103"/>
        <v/>
      </c>
      <c r="MO37" s="74" t="str">
        <f t="shared" ca="1" si="103"/>
        <v/>
      </c>
      <c r="MP37" s="74" t="str">
        <f t="shared" ca="1" si="103"/>
        <v/>
      </c>
      <c r="MQ37" s="74" t="str">
        <f t="shared" ca="1" si="103"/>
        <v/>
      </c>
      <c r="MR37" s="74" t="str">
        <f t="shared" ca="1" si="103"/>
        <v/>
      </c>
      <c r="MS37" s="74" t="str">
        <f t="shared" ca="1" si="103"/>
        <v/>
      </c>
      <c r="MT37" s="74" t="str">
        <f t="shared" ca="1" si="103"/>
        <v/>
      </c>
      <c r="MU37" s="74" t="str">
        <f t="shared" ca="1" si="103"/>
        <v/>
      </c>
      <c r="MV37" s="74" t="str">
        <f t="shared" ca="1" si="104"/>
        <v/>
      </c>
      <c r="MW37" s="74" t="str">
        <f t="shared" ca="1" si="104"/>
        <v/>
      </c>
      <c r="MX37" s="74" t="str">
        <f t="shared" ca="1" si="104"/>
        <v/>
      </c>
      <c r="MY37" s="74" t="str">
        <f t="shared" ca="1" si="104"/>
        <v/>
      </c>
      <c r="MZ37" s="74" t="str">
        <f t="shared" ca="1" si="104"/>
        <v/>
      </c>
      <c r="NA37" s="74" t="str">
        <f t="shared" ca="1" si="104"/>
        <v/>
      </c>
      <c r="NB37" s="74" t="str">
        <f t="shared" ca="1" si="104"/>
        <v/>
      </c>
      <c r="NC37" s="74" t="str">
        <f t="shared" ca="1" si="104"/>
        <v/>
      </c>
      <c r="ND37" s="74" t="str">
        <f t="shared" ca="1" si="104"/>
        <v/>
      </c>
      <c r="NE37" s="74" t="str">
        <f t="shared" ca="1" si="104"/>
        <v/>
      </c>
      <c r="NF37" s="74" t="str">
        <f t="shared" ca="1" si="105"/>
        <v/>
      </c>
      <c r="NG37" s="74" t="str">
        <f t="shared" ca="1" si="105"/>
        <v/>
      </c>
      <c r="NH37" s="74" t="str">
        <f t="shared" ca="1" si="105"/>
        <v/>
      </c>
      <c r="NI37" s="74" t="str">
        <f t="shared" ca="1" si="105"/>
        <v/>
      </c>
      <c r="NJ37" s="74" t="str">
        <f t="shared" ca="1" si="105"/>
        <v/>
      </c>
      <c r="NK37" s="74" t="str">
        <f t="shared" ca="1" si="105"/>
        <v/>
      </c>
      <c r="NL37" s="74" t="str">
        <f t="shared" ca="1" si="105"/>
        <v/>
      </c>
      <c r="NM37" s="74" t="str">
        <f t="shared" ca="1" si="105"/>
        <v/>
      </c>
      <c r="NN37" s="74" t="str">
        <f t="shared" ca="1" si="105"/>
        <v/>
      </c>
      <c r="NO37" s="74" t="str">
        <f t="shared" ca="1" si="105"/>
        <v/>
      </c>
      <c r="NP37" s="74" t="str">
        <f t="shared" ca="1" si="106"/>
        <v/>
      </c>
      <c r="NQ37" s="74" t="str">
        <f t="shared" ca="1" si="106"/>
        <v/>
      </c>
      <c r="NR37" s="74" t="str">
        <f t="shared" ca="1" si="106"/>
        <v/>
      </c>
      <c r="NS37" s="74" t="str">
        <f t="shared" ca="1" si="106"/>
        <v/>
      </c>
      <c r="NT37" s="74" t="str">
        <f t="shared" ca="1" si="106"/>
        <v/>
      </c>
      <c r="NU37" s="74" t="str">
        <f t="shared" ca="1" si="106"/>
        <v/>
      </c>
      <c r="NV37" s="74" t="str">
        <f t="shared" ca="1" si="106"/>
        <v/>
      </c>
      <c r="NW37" s="74" t="str">
        <f t="shared" ca="1" si="106"/>
        <v/>
      </c>
      <c r="NX37" s="74" t="str">
        <f t="shared" ca="1" si="106"/>
        <v/>
      </c>
      <c r="NY37" s="74" t="str">
        <f t="shared" ca="1" si="106"/>
        <v/>
      </c>
      <c r="NZ37" s="74" t="str">
        <f t="shared" ca="1" si="107"/>
        <v/>
      </c>
      <c r="OA37" s="74" t="str">
        <f t="shared" ca="1" si="107"/>
        <v/>
      </c>
      <c r="OB37" s="74" t="str">
        <f t="shared" ca="1" si="107"/>
        <v/>
      </c>
      <c r="OC37" s="74" t="str">
        <f t="shared" ca="1" si="107"/>
        <v/>
      </c>
      <c r="OD37" s="74" t="str">
        <f t="shared" ca="1" si="107"/>
        <v/>
      </c>
      <c r="OE37" s="74" t="str">
        <f t="shared" ca="1" si="107"/>
        <v/>
      </c>
      <c r="OF37" s="74" t="str">
        <f t="shared" ca="1" si="107"/>
        <v/>
      </c>
      <c r="OG37" s="74" t="str">
        <f t="shared" ca="1" si="107"/>
        <v/>
      </c>
      <c r="OH37" s="74" t="str">
        <f t="shared" ca="1" si="107"/>
        <v/>
      </c>
      <c r="OI37" s="74" t="str">
        <f t="shared" ca="1" si="107"/>
        <v/>
      </c>
      <c r="OJ37" s="74" t="str">
        <f t="shared" ca="1" si="108"/>
        <v/>
      </c>
      <c r="OK37" s="74" t="str">
        <f t="shared" ca="1" si="108"/>
        <v/>
      </c>
      <c r="OL37" s="74" t="str">
        <f t="shared" ca="1" si="108"/>
        <v/>
      </c>
      <c r="OM37" s="74" t="str">
        <f t="shared" ca="1" si="108"/>
        <v/>
      </c>
      <c r="ON37" s="74" t="str">
        <f t="shared" ca="1" si="108"/>
        <v/>
      </c>
      <c r="OO37" s="74" t="str">
        <f t="shared" ca="1" si="108"/>
        <v/>
      </c>
      <c r="OP37" s="74" t="str">
        <f t="shared" ca="1" si="108"/>
        <v/>
      </c>
      <c r="OQ37" s="74" t="str">
        <f t="shared" ca="1" si="108"/>
        <v/>
      </c>
      <c r="OR37" s="74" t="str">
        <f t="shared" ca="1" si="108"/>
        <v/>
      </c>
      <c r="OS37" s="74" t="str">
        <f t="shared" ca="1" si="108"/>
        <v/>
      </c>
      <c r="OT37" s="74" t="str">
        <f t="shared" ca="1" si="109"/>
        <v/>
      </c>
      <c r="OU37" s="74" t="str">
        <f t="shared" ca="1" si="109"/>
        <v/>
      </c>
      <c r="OV37" s="74" t="str">
        <f t="shared" ca="1" si="109"/>
        <v/>
      </c>
      <c r="OW37" s="74" t="str">
        <f t="shared" ca="1" si="109"/>
        <v/>
      </c>
      <c r="OX37" s="74" t="str">
        <f t="shared" ca="1" si="109"/>
        <v/>
      </c>
      <c r="OY37" s="74" t="str">
        <f t="shared" ca="1" si="109"/>
        <v/>
      </c>
      <c r="OZ37" s="74" t="str">
        <f t="shared" ca="1" si="109"/>
        <v/>
      </c>
      <c r="PA37" s="74" t="str">
        <f t="shared" ca="1" si="109"/>
        <v/>
      </c>
      <c r="PB37" s="74" t="str">
        <f t="shared" ca="1" si="109"/>
        <v/>
      </c>
      <c r="PC37" s="74" t="str">
        <f t="shared" ca="1" si="109"/>
        <v/>
      </c>
      <c r="PD37" s="74" t="str">
        <f t="shared" ca="1" si="110"/>
        <v/>
      </c>
      <c r="PE37" s="74" t="str">
        <f t="shared" ca="1" si="110"/>
        <v/>
      </c>
      <c r="PF37" s="74" t="str">
        <f t="shared" ca="1" si="110"/>
        <v/>
      </c>
      <c r="PG37" s="74" t="str">
        <f t="shared" ca="1" si="110"/>
        <v/>
      </c>
      <c r="PH37" s="74" t="str">
        <f t="shared" ca="1" si="110"/>
        <v/>
      </c>
      <c r="PI37" s="74" t="str">
        <f t="shared" ca="1" si="110"/>
        <v/>
      </c>
      <c r="PJ37" s="74" t="str">
        <f t="shared" ca="1" si="110"/>
        <v/>
      </c>
      <c r="PK37" s="74" t="str">
        <f t="shared" ca="1" si="110"/>
        <v/>
      </c>
      <c r="PL37" s="74" t="str">
        <f t="shared" ca="1" si="110"/>
        <v/>
      </c>
      <c r="PM37" s="74" t="str">
        <f t="shared" ca="1" si="110"/>
        <v/>
      </c>
      <c r="PN37" s="74" t="str">
        <f t="shared" ca="1" si="111"/>
        <v/>
      </c>
      <c r="PO37" s="74" t="str">
        <f t="shared" ca="1" si="111"/>
        <v/>
      </c>
      <c r="PP37" s="74" t="str">
        <f t="shared" ca="1" si="111"/>
        <v/>
      </c>
      <c r="PQ37" s="74" t="str">
        <f t="shared" ca="1" si="111"/>
        <v/>
      </c>
      <c r="PR37" s="74" t="str">
        <f t="shared" ca="1" si="111"/>
        <v/>
      </c>
      <c r="PS37" s="74" t="str">
        <f t="shared" ca="1" si="111"/>
        <v/>
      </c>
      <c r="PT37" s="74" t="str">
        <f t="shared" ca="1" si="111"/>
        <v/>
      </c>
      <c r="PU37" s="74" t="str">
        <f t="shared" ca="1" si="111"/>
        <v/>
      </c>
      <c r="PV37" s="74" t="str">
        <f t="shared" ca="1" si="111"/>
        <v/>
      </c>
      <c r="PW37" s="74" t="str">
        <f t="shared" ca="1" si="111"/>
        <v/>
      </c>
      <c r="PX37" s="74" t="str">
        <f t="shared" ca="1" si="112"/>
        <v/>
      </c>
      <c r="PY37" s="74" t="str">
        <f t="shared" ca="1" si="112"/>
        <v/>
      </c>
      <c r="PZ37" s="74" t="str">
        <f t="shared" ca="1" si="112"/>
        <v/>
      </c>
      <c r="QA37" s="74" t="str">
        <f t="shared" ca="1" si="112"/>
        <v/>
      </c>
      <c r="QB37" s="74" t="str">
        <f t="shared" ca="1" si="112"/>
        <v/>
      </c>
      <c r="QC37" s="74" t="str">
        <f t="shared" ca="1" si="112"/>
        <v/>
      </c>
      <c r="QD37" s="74" t="str">
        <f t="shared" ca="1" si="112"/>
        <v/>
      </c>
      <c r="QE37" s="74" t="str">
        <f t="shared" ca="1" si="112"/>
        <v/>
      </c>
      <c r="QF37" s="74" t="str">
        <f t="shared" ca="1" si="112"/>
        <v/>
      </c>
      <c r="QG37" s="74" t="str">
        <f t="shared" ca="1" si="112"/>
        <v/>
      </c>
      <c r="QH37" s="74" t="str">
        <f t="shared" ca="1" si="113"/>
        <v/>
      </c>
      <c r="QI37" s="74" t="str">
        <f t="shared" ca="1" si="113"/>
        <v/>
      </c>
      <c r="QJ37" s="74" t="str">
        <f t="shared" ca="1" si="113"/>
        <v/>
      </c>
      <c r="QK37" s="74" t="str">
        <f t="shared" ca="1" si="113"/>
        <v/>
      </c>
      <c r="QL37" s="74" t="str">
        <f t="shared" ca="1" si="113"/>
        <v/>
      </c>
      <c r="QM37" s="74" t="str">
        <f t="shared" ca="1" si="113"/>
        <v/>
      </c>
      <c r="QN37" s="74" t="str">
        <f t="shared" ca="1" si="113"/>
        <v/>
      </c>
      <c r="QO37" s="74" t="str">
        <f t="shared" ca="1" si="113"/>
        <v/>
      </c>
      <c r="QP37" s="74" t="str">
        <f t="shared" ca="1" si="113"/>
        <v/>
      </c>
      <c r="QQ37" s="74" t="str">
        <f t="shared" ca="1" si="113"/>
        <v/>
      </c>
      <c r="QR37" s="74" t="str">
        <f t="shared" ca="1" si="114"/>
        <v/>
      </c>
      <c r="QS37" s="74" t="str">
        <f t="shared" ca="1" si="114"/>
        <v/>
      </c>
      <c r="QT37" s="74" t="str">
        <f t="shared" ca="1" si="114"/>
        <v/>
      </c>
      <c r="QU37" s="74" t="str">
        <f t="shared" ca="1" si="114"/>
        <v/>
      </c>
      <c r="QV37" s="74" t="str">
        <f t="shared" ca="1" si="114"/>
        <v/>
      </c>
      <c r="QW37" s="74" t="str">
        <f t="shared" ca="1" si="114"/>
        <v/>
      </c>
      <c r="QX37" s="74" t="str">
        <f t="shared" ca="1" si="114"/>
        <v/>
      </c>
      <c r="QY37" s="74" t="str">
        <f t="shared" ca="1" si="114"/>
        <v/>
      </c>
      <c r="QZ37" s="74" t="str">
        <f t="shared" ca="1" si="114"/>
        <v/>
      </c>
      <c r="RA37" s="74" t="str">
        <f t="shared" ca="1" si="114"/>
        <v/>
      </c>
      <c r="RB37" s="74" t="str">
        <f t="shared" ca="1" si="115"/>
        <v/>
      </c>
      <c r="RC37" s="74" t="str">
        <f t="shared" ca="1" si="115"/>
        <v/>
      </c>
      <c r="RD37" s="74" t="str">
        <f t="shared" ca="1" si="115"/>
        <v/>
      </c>
      <c r="RE37" s="74" t="str">
        <f t="shared" ca="1" si="115"/>
        <v/>
      </c>
      <c r="RF37" s="74" t="str">
        <f t="shared" ca="1" si="115"/>
        <v/>
      </c>
      <c r="RG37" s="74" t="str">
        <f t="shared" ca="1" si="115"/>
        <v/>
      </c>
      <c r="RH37" s="74" t="str">
        <f t="shared" ca="1" si="115"/>
        <v/>
      </c>
      <c r="RI37" s="74" t="str">
        <f t="shared" ca="1" si="115"/>
        <v/>
      </c>
      <c r="RJ37" s="74" t="str">
        <f t="shared" ca="1" si="115"/>
        <v/>
      </c>
      <c r="RK37" s="74" t="str">
        <f t="shared" ca="1" si="115"/>
        <v/>
      </c>
      <c r="RL37" s="74" t="str">
        <f t="shared" ca="1" si="116"/>
        <v/>
      </c>
      <c r="RM37" s="74" t="str">
        <f t="shared" ca="1" si="116"/>
        <v/>
      </c>
      <c r="RN37" s="74" t="str">
        <f t="shared" ca="1" si="116"/>
        <v/>
      </c>
      <c r="RO37" s="74" t="str">
        <f t="shared" ca="1" si="116"/>
        <v/>
      </c>
      <c r="RP37" s="74" t="str">
        <f t="shared" ca="1" si="116"/>
        <v/>
      </c>
      <c r="RQ37" s="74" t="str">
        <f t="shared" ca="1" si="116"/>
        <v/>
      </c>
      <c r="RR37" s="74" t="str">
        <f t="shared" ca="1" si="116"/>
        <v/>
      </c>
      <c r="RS37" s="74" t="str">
        <f t="shared" ca="1" si="116"/>
        <v/>
      </c>
      <c r="RT37" s="74" t="str">
        <f t="shared" ca="1" si="116"/>
        <v/>
      </c>
      <c r="RU37" s="74" t="str">
        <f t="shared" ca="1" si="116"/>
        <v/>
      </c>
      <c r="RV37" s="74" t="str">
        <f t="shared" ca="1" si="117"/>
        <v/>
      </c>
      <c r="RW37" s="74" t="str">
        <f t="shared" ca="1" si="117"/>
        <v/>
      </c>
      <c r="RX37" s="74" t="str">
        <f t="shared" ca="1" si="117"/>
        <v/>
      </c>
      <c r="RY37" s="74" t="str">
        <f t="shared" ca="1" si="117"/>
        <v/>
      </c>
      <c r="RZ37" s="74" t="str">
        <f t="shared" ca="1" si="117"/>
        <v/>
      </c>
      <c r="SA37" s="74" t="str">
        <f t="shared" ca="1" si="117"/>
        <v/>
      </c>
      <c r="SB37" s="74" t="str">
        <f t="shared" ca="1" si="117"/>
        <v/>
      </c>
      <c r="SC37" s="74" t="str">
        <f t="shared" ca="1" si="117"/>
        <v/>
      </c>
      <c r="SD37" s="74" t="str">
        <f t="shared" ca="1" si="117"/>
        <v/>
      </c>
      <c r="SE37" s="74" t="str">
        <f t="shared" ca="1" si="117"/>
        <v/>
      </c>
      <c r="SF37" s="74" t="str">
        <f t="shared" ca="1" si="118"/>
        <v/>
      </c>
      <c r="SG37" s="74" t="str">
        <f t="shared" ca="1" si="118"/>
        <v/>
      </c>
      <c r="SH37" s="74" t="str">
        <f t="shared" ca="1" si="118"/>
        <v/>
      </c>
      <c r="SI37" s="74" t="str">
        <f t="shared" ca="1" si="118"/>
        <v/>
      </c>
      <c r="SJ37" s="74" t="str">
        <f t="shared" ca="1" si="118"/>
        <v/>
      </c>
      <c r="SK37" s="74" t="str">
        <f t="shared" ca="1" si="118"/>
        <v/>
      </c>
      <c r="SL37" s="74" t="str">
        <f t="shared" ca="1" si="118"/>
        <v/>
      </c>
      <c r="SM37" s="74" t="str">
        <f t="shared" ca="1" si="118"/>
        <v/>
      </c>
      <c r="SN37" s="74" t="str">
        <f t="shared" ca="1" si="118"/>
        <v/>
      </c>
      <c r="SO37" s="74" t="str">
        <f t="shared" ca="1" si="118"/>
        <v/>
      </c>
      <c r="SP37" s="74" t="str">
        <f t="shared" ca="1" si="119"/>
        <v/>
      </c>
      <c r="SQ37" s="74" t="str">
        <f t="shared" ca="1" si="119"/>
        <v/>
      </c>
      <c r="SR37" s="74" t="str">
        <f t="shared" ca="1" si="119"/>
        <v/>
      </c>
      <c r="SS37" s="74" t="str">
        <f t="shared" ca="1" si="119"/>
        <v/>
      </c>
      <c r="ST37" s="74" t="str">
        <f t="shared" ca="1" si="119"/>
        <v/>
      </c>
      <c r="SU37" s="74" t="str">
        <f t="shared" ca="1" si="119"/>
        <v/>
      </c>
      <c r="SV37" s="74" t="str">
        <f t="shared" ca="1" si="119"/>
        <v/>
      </c>
      <c r="SW37" s="74" t="str">
        <f t="shared" ca="1" si="119"/>
        <v/>
      </c>
      <c r="SX37" s="74" t="str">
        <f t="shared" ca="1" si="119"/>
        <v/>
      </c>
      <c r="SY37" s="74" t="str">
        <f t="shared" ca="1" si="119"/>
        <v/>
      </c>
      <c r="SZ37" s="74" t="str">
        <f t="shared" ca="1" si="120"/>
        <v/>
      </c>
      <c r="TA37" s="74" t="str">
        <f t="shared" ca="1" si="120"/>
        <v/>
      </c>
      <c r="TB37" s="74" t="str">
        <f t="shared" ca="1" si="120"/>
        <v/>
      </c>
      <c r="TC37" s="74" t="str">
        <f t="shared" ca="1" si="120"/>
        <v/>
      </c>
      <c r="TD37" s="74" t="str">
        <f t="shared" ca="1" si="120"/>
        <v/>
      </c>
      <c r="TE37" s="74" t="str">
        <f t="shared" ca="1" si="120"/>
        <v/>
      </c>
      <c r="TF37" s="74" t="str">
        <f t="shared" ca="1" si="120"/>
        <v/>
      </c>
      <c r="TG37" s="74" t="str">
        <f t="shared" ca="1" si="120"/>
        <v/>
      </c>
      <c r="TH37" s="74" t="str">
        <f t="shared" ca="1" si="120"/>
        <v/>
      </c>
      <c r="TI37" s="74" t="str">
        <f t="shared" ca="1" si="120"/>
        <v/>
      </c>
      <c r="TJ37" s="74" t="str">
        <f t="shared" ca="1" si="121"/>
        <v/>
      </c>
      <c r="TK37" s="74" t="str">
        <f t="shared" ca="1" si="121"/>
        <v/>
      </c>
      <c r="TL37" s="74" t="str">
        <f t="shared" ca="1" si="121"/>
        <v/>
      </c>
      <c r="TM37" s="74" t="str">
        <f t="shared" ca="1" si="121"/>
        <v/>
      </c>
      <c r="TN37" s="74" t="str">
        <f t="shared" ca="1" si="121"/>
        <v/>
      </c>
      <c r="TO37" s="74" t="str">
        <f t="shared" ca="1" si="121"/>
        <v/>
      </c>
      <c r="TP37" s="74" t="str">
        <f t="shared" ca="1" si="121"/>
        <v/>
      </c>
      <c r="TQ37" s="74" t="str">
        <f t="shared" ca="1" si="121"/>
        <v/>
      </c>
      <c r="TR37" s="74" t="str">
        <f t="shared" ca="1" si="121"/>
        <v/>
      </c>
      <c r="TS37" s="74" t="str">
        <f t="shared" ca="1" si="121"/>
        <v/>
      </c>
      <c r="TT37" s="74" t="str">
        <f t="shared" ca="1" si="122"/>
        <v/>
      </c>
      <c r="TU37" s="74" t="str">
        <f t="shared" ca="1" si="122"/>
        <v/>
      </c>
      <c r="TV37" s="74" t="str">
        <f t="shared" ca="1" si="122"/>
        <v/>
      </c>
      <c r="TW37" s="74" t="str">
        <f t="shared" ca="1" si="122"/>
        <v/>
      </c>
      <c r="TX37" s="74" t="str">
        <f t="shared" ca="1" si="122"/>
        <v/>
      </c>
      <c r="TY37" s="74" t="str">
        <f t="shared" ca="1" si="122"/>
        <v/>
      </c>
      <c r="TZ37" s="74" t="str">
        <f t="shared" ca="1" si="122"/>
        <v/>
      </c>
      <c r="UA37" s="74" t="str">
        <f t="shared" ca="1" si="122"/>
        <v/>
      </c>
      <c r="UB37" s="74" t="str">
        <f t="shared" ca="1" si="122"/>
        <v/>
      </c>
      <c r="UC37" s="74" t="str">
        <f t="shared" ca="1" si="122"/>
        <v/>
      </c>
      <c r="UD37" s="74" t="str">
        <f t="shared" ca="1" si="123"/>
        <v/>
      </c>
      <c r="UE37" s="74" t="str">
        <f t="shared" ca="1" si="123"/>
        <v/>
      </c>
      <c r="UF37" s="74" t="str">
        <f t="shared" ca="1" si="123"/>
        <v/>
      </c>
      <c r="UG37" s="74" t="str">
        <f t="shared" ca="1" si="123"/>
        <v/>
      </c>
      <c r="UH37" s="74" t="str">
        <f t="shared" ca="1" si="123"/>
        <v/>
      </c>
      <c r="UI37" s="74" t="str">
        <f t="shared" ca="1" si="123"/>
        <v/>
      </c>
      <c r="UJ37" s="74" t="str">
        <f t="shared" ca="1" si="123"/>
        <v/>
      </c>
      <c r="UK37" s="74" t="str">
        <f t="shared" ca="1" si="123"/>
        <v/>
      </c>
      <c r="UL37" s="74" t="str">
        <f t="shared" ca="1" si="123"/>
        <v/>
      </c>
      <c r="UM37" s="74" t="str">
        <f t="shared" ca="1" si="123"/>
        <v/>
      </c>
      <c r="UN37" s="74" t="str">
        <f t="shared" ca="1" si="124"/>
        <v/>
      </c>
      <c r="UO37" s="74" t="str">
        <f t="shared" ca="1" si="124"/>
        <v/>
      </c>
      <c r="UP37" s="74" t="str">
        <f t="shared" ca="1" si="124"/>
        <v/>
      </c>
      <c r="UQ37" s="74" t="str">
        <f t="shared" ca="1" si="124"/>
        <v/>
      </c>
      <c r="UR37" s="74" t="str">
        <f t="shared" ca="1" si="124"/>
        <v/>
      </c>
      <c r="US37" s="74" t="str">
        <f t="shared" ca="1" si="124"/>
        <v/>
      </c>
      <c r="UT37" s="74" t="str">
        <f t="shared" ca="1" si="124"/>
        <v/>
      </c>
      <c r="UU37" s="74" t="str">
        <f t="shared" ca="1" si="124"/>
        <v/>
      </c>
      <c r="UV37" s="74" t="str">
        <f t="shared" ca="1" si="124"/>
        <v/>
      </c>
      <c r="UW37" s="74" t="str">
        <f t="shared" ca="1" si="124"/>
        <v/>
      </c>
      <c r="UX37" s="74" t="str">
        <f t="shared" ca="1" si="125"/>
        <v/>
      </c>
      <c r="UY37" s="74" t="str">
        <f t="shared" ca="1" si="125"/>
        <v/>
      </c>
      <c r="UZ37" s="74" t="str">
        <f t="shared" ca="1" si="125"/>
        <v/>
      </c>
      <c r="VA37" s="74" t="str">
        <f t="shared" ca="1" si="125"/>
        <v/>
      </c>
      <c r="VB37" s="74" t="str">
        <f t="shared" ca="1" si="125"/>
        <v/>
      </c>
      <c r="VC37" s="74" t="str">
        <f t="shared" ca="1" si="125"/>
        <v/>
      </c>
      <c r="VD37" s="74" t="str">
        <f t="shared" ca="1" si="125"/>
        <v/>
      </c>
      <c r="VE37" s="74" t="str">
        <f t="shared" ca="1" si="125"/>
        <v/>
      </c>
      <c r="VF37" s="74" t="str">
        <f t="shared" ca="1" si="125"/>
        <v/>
      </c>
      <c r="VG37" s="74" t="str">
        <f t="shared" ca="1" si="125"/>
        <v/>
      </c>
      <c r="VH37" s="74" t="str">
        <f t="shared" ca="1" si="126"/>
        <v/>
      </c>
      <c r="VI37" s="74" t="str">
        <f t="shared" ca="1" si="126"/>
        <v/>
      </c>
      <c r="VJ37" s="74" t="str">
        <f t="shared" ca="1" si="126"/>
        <v/>
      </c>
      <c r="VK37" s="74" t="str">
        <f t="shared" ca="1" si="126"/>
        <v/>
      </c>
      <c r="VL37" s="74" t="str">
        <f t="shared" ca="1" si="126"/>
        <v/>
      </c>
      <c r="VM37" s="74" t="str">
        <f t="shared" ca="1" si="126"/>
        <v/>
      </c>
      <c r="VN37" s="74" t="str">
        <f t="shared" ca="1" si="126"/>
        <v/>
      </c>
      <c r="VO37" s="74" t="str">
        <f t="shared" ca="1" si="126"/>
        <v/>
      </c>
      <c r="VP37" s="74" t="str">
        <f t="shared" ca="1" si="126"/>
        <v/>
      </c>
      <c r="VQ37" s="74" t="str">
        <f t="shared" ca="1" si="126"/>
        <v/>
      </c>
      <c r="VR37" s="74" t="str">
        <f t="shared" ca="1" si="126"/>
        <v/>
      </c>
      <c r="VS37" s="74" t="str">
        <f t="shared" ca="1" si="126"/>
        <v/>
      </c>
    </row>
    <row r="38" spans="1:591" s="17" customFormat="1" ht="16.2" customHeight="1" x14ac:dyDescent="0.3">
      <c r="A38" s="81"/>
      <c r="B38" s="56" t="str">
        <f>'CoS Tracker'!$AN$7</f>
        <v>7. Recommended Planning Submission Date</v>
      </c>
      <c r="C38" s="19" t="s">
        <v>75</v>
      </c>
      <c r="D38" s="19"/>
      <c r="E38" s="27">
        <v>0.1</v>
      </c>
      <c r="F38" s="26">
        <f>'CoS Tracker'!AN10</f>
        <v>46251</v>
      </c>
      <c r="G38" s="26">
        <f>'CoS Tracker'!AN10</f>
        <v>46251</v>
      </c>
      <c r="H38" s="25">
        <f>Milestones43524[[#This Row],[End]]-Milestones43524[[#This Row],[Start]]</f>
        <v>0</v>
      </c>
      <c r="I38" s="19"/>
      <c r="J38" s="74" t="str">
        <f t="shared" ca="1" si="69"/>
        <v/>
      </c>
      <c r="K38" s="74" t="str">
        <f t="shared" ca="1" si="69"/>
        <v/>
      </c>
      <c r="L38" s="74" t="str">
        <f t="shared" ca="1" si="69"/>
        <v/>
      </c>
      <c r="M38" s="74" t="str">
        <f t="shared" ca="1" si="69"/>
        <v/>
      </c>
      <c r="N38" s="74" t="str">
        <f t="shared" ca="1" si="69"/>
        <v/>
      </c>
      <c r="O38" s="74" t="str">
        <f t="shared" ca="1" si="69"/>
        <v/>
      </c>
      <c r="P38" s="74" t="str">
        <f t="shared" ca="1" si="69"/>
        <v/>
      </c>
      <c r="Q38" s="74" t="str">
        <f t="shared" ca="1" si="69"/>
        <v/>
      </c>
      <c r="R38" s="74" t="str">
        <f t="shared" ca="1" si="69"/>
        <v/>
      </c>
      <c r="S38" s="74" t="str">
        <f t="shared" ca="1" si="69"/>
        <v/>
      </c>
      <c r="T38" s="74" t="str">
        <f t="shared" ca="1" si="70"/>
        <v/>
      </c>
      <c r="U38" s="74" t="str">
        <f t="shared" ca="1" si="70"/>
        <v/>
      </c>
      <c r="V38" s="74" t="str">
        <f t="shared" ca="1" si="70"/>
        <v/>
      </c>
      <c r="W38" s="74" t="str">
        <f t="shared" ca="1" si="70"/>
        <v/>
      </c>
      <c r="X38" s="74" t="str">
        <f t="shared" ca="1" si="70"/>
        <v/>
      </c>
      <c r="Y38" s="74" t="str">
        <f t="shared" ca="1" si="70"/>
        <v/>
      </c>
      <c r="Z38" s="74" t="str">
        <f t="shared" ca="1" si="70"/>
        <v/>
      </c>
      <c r="AA38" s="74" t="str">
        <f t="shared" ca="1" si="70"/>
        <v/>
      </c>
      <c r="AB38" s="74" t="str">
        <f t="shared" ca="1" si="70"/>
        <v/>
      </c>
      <c r="AC38" s="74" t="str">
        <f t="shared" ca="1" si="70"/>
        <v/>
      </c>
      <c r="AD38" s="74" t="str">
        <f t="shared" ca="1" si="71"/>
        <v/>
      </c>
      <c r="AE38" s="74" t="str">
        <f t="shared" ca="1" si="71"/>
        <v/>
      </c>
      <c r="AF38" s="74" t="str">
        <f t="shared" ca="1" si="71"/>
        <v/>
      </c>
      <c r="AG38" s="74" t="str">
        <f t="shared" ca="1" si="71"/>
        <v/>
      </c>
      <c r="AH38" s="74" t="str">
        <f t="shared" ca="1" si="71"/>
        <v/>
      </c>
      <c r="AI38" s="74" t="str">
        <f t="shared" ca="1" si="71"/>
        <v/>
      </c>
      <c r="AJ38" s="74" t="str">
        <f t="shared" ca="1" si="71"/>
        <v/>
      </c>
      <c r="AK38" s="74" t="str">
        <f t="shared" ca="1" si="71"/>
        <v/>
      </c>
      <c r="AL38" s="74" t="str">
        <f t="shared" ca="1" si="71"/>
        <v/>
      </c>
      <c r="AM38" s="74" t="str">
        <f t="shared" ca="1" si="71"/>
        <v/>
      </c>
      <c r="AN38" s="74" t="str">
        <f t="shared" ca="1" si="72"/>
        <v/>
      </c>
      <c r="AO38" s="74" t="str">
        <f t="shared" ca="1" si="72"/>
        <v/>
      </c>
      <c r="AP38" s="74" t="str">
        <f t="shared" ca="1" si="72"/>
        <v/>
      </c>
      <c r="AQ38" s="74" t="str">
        <f t="shared" ca="1" si="72"/>
        <v/>
      </c>
      <c r="AR38" s="74" t="str">
        <f t="shared" ca="1" si="72"/>
        <v/>
      </c>
      <c r="AS38" s="74" t="str">
        <f t="shared" ca="1" si="72"/>
        <v/>
      </c>
      <c r="AT38" s="74" t="str">
        <f t="shared" ca="1" si="72"/>
        <v/>
      </c>
      <c r="AU38" s="74" t="str">
        <f t="shared" ca="1" si="72"/>
        <v/>
      </c>
      <c r="AV38" s="74" t="str">
        <f t="shared" ca="1" si="72"/>
        <v/>
      </c>
      <c r="AW38" s="74" t="str">
        <f t="shared" ca="1" si="72"/>
        <v/>
      </c>
      <c r="AX38" s="74" t="str">
        <f t="shared" ca="1" si="73"/>
        <v/>
      </c>
      <c r="AY38" s="74" t="str">
        <f t="shared" ca="1" si="73"/>
        <v/>
      </c>
      <c r="AZ38" s="74" t="str">
        <f t="shared" ca="1" si="73"/>
        <v/>
      </c>
      <c r="BA38" s="74" t="str">
        <f t="shared" ca="1" si="73"/>
        <v/>
      </c>
      <c r="BB38" s="74" t="str">
        <f t="shared" ca="1" si="73"/>
        <v/>
      </c>
      <c r="BC38" s="74" t="str">
        <f t="shared" ca="1" si="73"/>
        <v/>
      </c>
      <c r="BD38" s="74" t="str">
        <f t="shared" ca="1" si="73"/>
        <v/>
      </c>
      <c r="BE38" s="74" t="str">
        <f t="shared" ca="1" si="73"/>
        <v/>
      </c>
      <c r="BF38" s="74" t="str">
        <f t="shared" ca="1" si="73"/>
        <v/>
      </c>
      <c r="BG38" s="74" t="str">
        <f t="shared" ca="1" si="73"/>
        <v/>
      </c>
      <c r="BH38" s="74" t="str">
        <f t="shared" ca="1" si="74"/>
        <v/>
      </c>
      <c r="BI38" s="74" t="str">
        <f t="shared" ca="1" si="74"/>
        <v/>
      </c>
      <c r="BJ38" s="74" t="str">
        <f t="shared" ca="1" si="74"/>
        <v/>
      </c>
      <c r="BK38" s="74" t="str">
        <f t="shared" ca="1" si="74"/>
        <v/>
      </c>
      <c r="BL38" s="74" t="str">
        <f t="shared" ca="1" si="74"/>
        <v/>
      </c>
      <c r="BM38" s="74" t="str">
        <f t="shared" ca="1" si="74"/>
        <v/>
      </c>
      <c r="BN38" s="74" t="str">
        <f t="shared" ca="1" si="74"/>
        <v/>
      </c>
      <c r="BO38" s="74" t="str">
        <f t="shared" ca="1" si="74"/>
        <v/>
      </c>
      <c r="BP38" s="74" t="str">
        <f t="shared" ca="1" si="74"/>
        <v/>
      </c>
      <c r="BQ38" s="74" t="str">
        <f t="shared" ca="1" si="74"/>
        <v/>
      </c>
      <c r="BR38" s="74" t="str">
        <f t="shared" ca="1" si="75"/>
        <v/>
      </c>
      <c r="BS38" s="74" t="str">
        <f t="shared" ca="1" si="75"/>
        <v/>
      </c>
      <c r="BT38" s="74" t="str">
        <f t="shared" ca="1" si="75"/>
        <v/>
      </c>
      <c r="BU38" s="74" t="str">
        <f t="shared" ca="1" si="75"/>
        <v/>
      </c>
      <c r="BV38" s="74" t="str">
        <f t="shared" ca="1" si="75"/>
        <v/>
      </c>
      <c r="BW38" s="74" t="str">
        <f t="shared" ca="1" si="75"/>
        <v/>
      </c>
      <c r="BX38" s="74" t="str">
        <f t="shared" ca="1" si="75"/>
        <v/>
      </c>
      <c r="BY38" s="74" t="str">
        <f t="shared" ca="1" si="75"/>
        <v/>
      </c>
      <c r="BZ38" s="74" t="str">
        <f t="shared" ca="1" si="75"/>
        <v/>
      </c>
      <c r="CA38" s="74" t="str">
        <f t="shared" ca="1" si="75"/>
        <v/>
      </c>
      <c r="CB38" s="74" t="str">
        <f t="shared" ca="1" si="76"/>
        <v/>
      </c>
      <c r="CC38" s="74" t="str">
        <f t="shared" ca="1" si="76"/>
        <v/>
      </c>
      <c r="CD38" s="74" t="str">
        <f t="shared" ca="1" si="76"/>
        <v/>
      </c>
      <c r="CE38" s="74" t="str">
        <f t="shared" ca="1" si="76"/>
        <v/>
      </c>
      <c r="CF38" s="74" t="str">
        <f t="shared" ca="1" si="76"/>
        <v/>
      </c>
      <c r="CG38" s="74" t="str">
        <f t="shared" ca="1" si="76"/>
        <v/>
      </c>
      <c r="CH38" s="74" t="str">
        <f t="shared" ca="1" si="76"/>
        <v/>
      </c>
      <c r="CI38" s="74" t="str">
        <f t="shared" ca="1" si="76"/>
        <v/>
      </c>
      <c r="CJ38" s="74" t="str">
        <f t="shared" ca="1" si="76"/>
        <v/>
      </c>
      <c r="CK38" s="74" t="str">
        <f t="shared" ca="1" si="76"/>
        <v/>
      </c>
      <c r="CL38" s="74" t="str">
        <f t="shared" ca="1" si="77"/>
        <v/>
      </c>
      <c r="CM38" s="74" t="str">
        <f t="shared" ca="1" si="77"/>
        <v/>
      </c>
      <c r="CN38" s="74" t="str">
        <f t="shared" ca="1" si="77"/>
        <v/>
      </c>
      <c r="CO38" s="74" t="str">
        <f t="shared" ca="1" si="77"/>
        <v/>
      </c>
      <c r="CP38" s="74" t="str">
        <f t="shared" ca="1" si="77"/>
        <v/>
      </c>
      <c r="CQ38" s="74" t="str">
        <f t="shared" ca="1" si="77"/>
        <v/>
      </c>
      <c r="CR38" s="74" t="str">
        <f t="shared" ca="1" si="77"/>
        <v/>
      </c>
      <c r="CS38" s="74" t="str">
        <f t="shared" ca="1" si="77"/>
        <v/>
      </c>
      <c r="CT38" s="74" t="str">
        <f t="shared" ca="1" si="77"/>
        <v/>
      </c>
      <c r="CU38" s="74" t="str">
        <f t="shared" ca="1" si="77"/>
        <v/>
      </c>
      <c r="CV38" s="74" t="str">
        <f t="shared" ca="1" si="78"/>
        <v/>
      </c>
      <c r="CW38" s="74" t="str">
        <f t="shared" ca="1" si="78"/>
        <v/>
      </c>
      <c r="CX38" s="74" t="str">
        <f t="shared" ca="1" si="78"/>
        <v/>
      </c>
      <c r="CY38" s="74" t="str">
        <f t="shared" ca="1" si="78"/>
        <v/>
      </c>
      <c r="CZ38" s="74" t="str">
        <f t="shared" ca="1" si="78"/>
        <v/>
      </c>
      <c r="DA38" s="74" t="str">
        <f t="shared" ca="1" si="78"/>
        <v/>
      </c>
      <c r="DB38" s="74" t="str">
        <f t="shared" ca="1" si="78"/>
        <v/>
      </c>
      <c r="DC38" s="74" t="str">
        <f t="shared" ca="1" si="78"/>
        <v/>
      </c>
      <c r="DD38" s="74" t="str">
        <f t="shared" ca="1" si="78"/>
        <v/>
      </c>
      <c r="DE38" s="74" t="str">
        <f t="shared" ca="1" si="78"/>
        <v/>
      </c>
      <c r="DF38" s="74" t="str">
        <f t="shared" ca="1" si="79"/>
        <v/>
      </c>
      <c r="DG38" s="74" t="str">
        <f t="shared" ca="1" si="79"/>
        <v/>
      </c>
      <c r="DH38" s="74" t="str">
        <f t="shared" ca="1" si="79"/>
        <v/>
      </c>
      <c r="DI38" s="74" t="str">
        <f t="shared" ca="1" si="79"/>
        <v/>
      </c>
      <c r="DJ38" s="74" t="str">
        <f t="shared" ca="1" si="79"/>
        <v/>
      </c>
      <c r="DK38" s="74" t="str">
        <f t="shared" ca="1" si="79"/>
        <v/>
      </c>
      <c r="DL38" s="74" t="str">
        <f t="shared" ca="1" si="79"/>
        <v/>
      </c>
      <c r="DM38" s="74" t="str">
        <f t="shared" ca="1" si="79"/>
        <v/>
      </c>
      <c r="DN38" s="74" t="str">
        <f t="shared" ca="1" si="79"/>
        <v/>
      </c>
      <c r="DO38" s="74" t="str">
        <f t="shared" ca="1" si="79"/>
        <v/>
      </c>
      <c r="DP38" s="74" t="str">
        <f t="shared" ca="1" si="80"/>
        <v/>
      </c>
      <c r="DQ38" s="74" t="str">
        <f t="shared" ca="1" si="80"/>
        <v/>
      </c>
      <c r="DR38" s="74" t="str">
        <f t="shared" ca="1" si="80"/>
        <v/>
      </c>
      <c r="DS38" s="74" t="str">
        <f t="shared" ca="1" si="80"/>
        <v/>
      </c>
      <c r="DT38" s="74" t="str">
        <f t="shared" ca="1" si="80"/>
        <v/>
      </c>
      <c r="DU38" s="74" t="str">
        <f t="shared" ca="1" si="80"/>
        <v/>
      </c>
      <c r="DV38" s="74" t="str">
        <f t="shared" ca="1" si="80"/>
        <v/>
      </c>
      <c r="DW38" s="74" t="str">
        <f t="shared" ca="1" si="80"/>
        <v/>
      </c>
      <c r="DX38" s="74" t="str">
        <f t="shared" ca="1" si="80"/>
        <v/>
      </c>
      <c r="DY38" s="74" t="str">
        <f t="shared" ca="1" si="80"/>
        <v/>
      </c>
      <c r="DZ38" s="74" t="str">
        <f t="shared" ca="1" si="81"/>
        <v/>
      </c>
      <c r="EA38" s="74" t="str">
        <f t="shared" ca="1" si="81"/>
        <v/>
      </c>
      <c r="EB38" s="74" t="str">
        <f t="shared" ca="1" si="81"/>
        <v/>
      </c>
      <c r="EC38" s="74" t="str">
        <f t="shared" ca="1" si="81"/>
        <v/>
      </c>
      <c r="ED38" s="74" t="str">
        <f t="shared" ca="1" si="81"/>
        <v/>
      </c>
      <c r="EE38" s="74" t="str">
        <f t="shared" ca="1" si="81"/>
        <v/>
      </c>
      <c r="EF38" s="74" t="str">
        <f t="shared" ca="1" si="81"/>
        <v/>
      </c>
      <c r="EG38" s="74" t="str">
        <f t="shared" ca="1" si="81"/>
        <v/>
      </c>
      <c r="EH38" s="74" t="str">
        <f t="shared" ca="1" si="81"/>
        <v/>
      </c>
      <c r="EI38" s="74" t="str">
        <f t="shared" ca="1" si="81"/>
        <v/>
      </c>
      <c r="EJ38" s="74" t="str">
        <f t="shared" ca="1" si="82"/>
        <v/>
      </c>
      <c r="EK38" s="74" t="str">
        <f t="shared" ca="1" si="82"/>
        <v/>
      </c>
      <c r="EL38" s="74" t="str">
        <f t="shared" ca="1" si="82"/>
        <v/>
      </c>
      <c r="EM38" s="74" t="str">
        <f t="shared" ca="1" si="82"/>
        <v/>
      </c>
      <c r="EN38" s="74" t="str">
        <f t="shared" ca="1" si="82"/>
        <v/>
      </c>
      <c r="EO38" s="74" t="str">
        <f t="shared" ca="1" si="82"/>
        <v/>
      </c>
      <c r="EP38" s="74" t="str">
        <f t="shared" ca="1" si="82"/>
        <v/>
      </c>
      <c r="EQ38" s="74" t="str">
        <f t="shared" ca="1" si="82"/>
        <v/>
      </c>
      <c r="ER38" s="74" t="str">
        <f t="shared" ca="1" si="82"/>
        <v/>
      </c>
      <c r="ES38" s="74" t="str">
        <f t="shared" ca="1" si="82"/>
        <v/>
      </c>
      <c r="ET38" s="74" t="str">
        <f t="shared" ca="1" si="83"/>
        <v/>
      </c>
      <c r="EU38" s="74" t="str">
        <f t="shared" ca="1" si="83"/>
        <v/>
      </c>
      <c r="EV38" s="74" t="str">
        <f t="shared" ca="1" si="83"/>
        <v/>
      </c>
      <c r="EW38" s="74" t="str">
        <f t="shared" ca="1" si="83"/>
        <v/>
      </c>
      <c r="EX38" s="74" t="str">
        <f t="shared" ca="1" si="83"/>
        <v/>
      </c>
      <c r="EY38" s="74" t="str">
        <f t="shared" ca="1" si="83"/>
        <v/>
      </c>
      <c r="EZ38" s="74" t="str">
        <f t="shared" ca="1" si="83"/>
        <v/>
      </c>
      <c r="FA38" s="74" t="str">
        <f t="shared" ca="1" si="83"/>
        <v/>
      </c>
      <c r="FB38" s="74" t="str">
        <f t="shared" ca="1" si="83"/>
        <v/>
      </c>
      <c r="FC38" s="74" t="str">
        <f t="shared" ca="1" si="83"/>
        <v/>
      </c>
      <c r="FD38" s="74" t="str">
        <f t="shared" ca="1" si="84"/>
        <v/>
      </c>
      <c r="FE38" s="74" t="str">
        <f t="shared" ca="1" si="84"/>
        <v/>
      </c>
      <c r="FF38" s="74" t="str">
        <f t="shared" ca="1" si="84"/>
        <v/>
      </c>
      <c r="FG38" s="74" t="str">
        <f t="shared" ca="1" si="84"/>
        <v/>
      </c>
      <c r="FH38" s="74" t="str">
        <f t="shared" ca="1" si="84"/>
        <v/>
      </c>
      <c r="FI38" s="74" t="str">
        <f t="shared" ca="1" si="84"/>
        <v/>
      </c>
      <c r="FJ38" s="74" t="str">
        <f t="shared" ca="1" si="84"/>
        <v/>
      </c>
      <c r="FK38" s="74" t="str">
        <f t="shared" ca="1" si="84"/>
        <v/>
      </c>
      <c r="FL38" s="74" t="str">
        <f t="shared" ca="1" si="84"/>
        <v/>
      </c>
      <c r="FM38" s="74" t="str">
        <f t="shared" ca="1" si="84"/>
        <v/>
      </c>
      <c r="FN38" s="74" t="str">
        <f t="shared" ca="1" si="85"/>
        <v/>
      </c>
      <c r="FO38" s="74" t="str">
        <f t="shared" ca="1" si="85"/>
        <v/>
      </c>
      <c r="FP38" s="74" t="str">
        <f t="shared" ca="1" si="85"/>
        <v/>
      </c>
      <c r="FQ38" s="74" t="str">
        <f t="shared" ca="1" si="85"/>
        <v/>
      </c>
      <c r="FR38" s="74" t="str">
        <f t="shared" ca="1" si="85"/>
        <v/>
      </c>
      <c r="FS38" s="74" t="str">
        <f t="shared" ca="1" si="85"/>
        <v/>
      </c>
      <c r="FT38" s="74" t="str">
        <f t="shared" ca="1" si="85"/>
        <v/>
      </c>
      <c r="FU38" s="74" t="str">
        <f t="shared" ca="1" si="85"/>
        <v/>
      </c>
      <c r="FV38" s="74" t="str">
        <f t="shared" ca="1" si="85"/>
        <v/>
      </c>
      <c r="FW38" s="74" t="str">
        <f t="shared" ca="1" si="85"/>
        <v/>
      </c>
      <c r="FX38" s="74" t="str">
        <f t="shared" ca="1" si="86"/>
        <v/>
      </c>
      <c r="FY38" s="74" t="str">
        <f t="shared" ca="1" si="86"/>
        <v/>
      </c>
      <c r="FZ38" s="74" t="str">
        <f t="shared" ca="1" si="86"/>
        <v/>
      </c>
      <c r="GA38" s="74" t="str">
        <f t="shared" ca="1" si="86"/>
        <v/>
      </c>
      <c r="GB38" s="74" t="str">
        <f t="shared" ca="1" si="86"/>
        <v/>
      </c>
      <c r="GC38" s="74" t="str">
        <f t="shared" ca="1" si="86"/>
        <v/>
      </c>
      <c r="GD38" s="74" t="str">
        <f t="shared" ca="1" si="86"/>
        <v/>
      </c>
      <c r="GE38" s="74" t="str">
        <f t="shared" ca="1" si="86"/>
        <v/>
      </c>
      <c r="GF38" s="74" t="str">
        <f t="shared" ca="1" si="86"/>
        <v/>
      </c>
      <c r="GG38" s="74" t="str">
        <f t="shared" ca="1" si="86"/>
        <v/>
      </c>
      <c r="GH38" s="74" t="str">
        <f t="shared" ca="1" si="87"/>
        <v/>
      </c>
      <c r="GI38" s="74" t="str">
        <f t="shared" ca="1" si="87"/>
        <v/>
      </c>
      <c r="GJ38" s="74" t="str">
        <f t="shared" ca="1" si="87"/>
        <v/>
      </c>
      <c r="GK38" s="74" t="str">
        <f t="shared" ca="1" si="87"/>
        <v/>
      </c>
      <c r="GL38" s="74" t="str">
        <f t="shared" ca="1" si="87"/>
        <v/>
      </c>
      <c r="GM38" s="74" t="str">
        <f t="shared" ca="1" si="87"/>
        <v/>
      </c>
      <c r="GN38" s="74" t="str">
        <f t="shared" ca="1" si="87"/>
        <v/>
      </c>
      <c r="GO38" s="74" t="str">
        <f t="shared" ca="1" si="87"/>
        <v/>
      </c>
      <c r="GP38" s="74" t="str">
        <f t="shared" ca="1" si="87"/>
        <v/>
      </c>
      <c r="GQ38" s="74" t="str">
        <f t="shared" ca="1" si="87"/>
        <v/>
      </c>
      <c r="GR38" s="74" t="str">
        <f t="shared" ca="1" si="88"/>
        <v/>
      </c>
      <c r="GS38" s="74" t="str">
        <f t="shared" ca="1" si="88"/>
        <v/>
      </c>
      <c r="GT38" s="74" t="str">
        <f t="shared" ca="1" si="88"/>
        <v/>
      </c>
      <c r="GU38" s="74" t="str">
        <f t="shared" ca="1" si="88"/>
        <v/>
      </c>
      <c r="GV38" s="74" t="str">
        <f t="shared" ca="1" si="88"/>
        <v/>
      </c>
      <c r="GW38" s="74" t="str">
        <f t="shared" ca="1" si="88"/>
        <v/>
      </c>
      <c r="GX38" s="74" t="str">
        <f t="shared" ca="1" si="88"/>
        <v/>
      </c>
      <c r="GY38" s="74" t="str">
        <f t="shared" ca="1" si="88"/>
        <v/>
      </c>
      <c r="GZ38" s="74" t="str">
        <f t="shared" ca="1" si="88"/>
        <v/>
      </c>
      <c r="HA38" s="74" t="str">
        <f t="shared" ca="1" si="88"/>
        <v/>
      </c>
      <c r="HB38" s="74" t="str">
        <f t="shared" ca="1" si="89"/>
        <v/>
      </c>
      <c r="HC38" s="74" t="str">
        <f t="shared" ca="1" si="89"/>
        <v/>
      </c>
      <c r="HD38" s="74" t="str">
        <f t="shared" ca="1" si="89"/>
        <v/>
      </c>
      <c r="HE38" s="74" t="str">
        <f t="shared" ca="1" si="89"/>
        <v/>
      </c>
      <c r="HF38" s="74" t="str">
        <f t="shared" ca="1" si="89"/>
        <v/>
      </c>
      <c r="HG38" s="74" t="str">
        <f t="shared" ca="1" si="89"/>
        <v/>
      </c>
      <c r="HH38" s="74" t="str">
        <f t="shared" ca="1" si="89"/>
        <v/>
      </c>
      <c r="HI38" s="74" t="str">
        <f t="shared" ca="1" si="89"/>
        <v/>
      </c>
      <c r="HJ38" s="74" t="str">
        <f t="shared" ca="1" si="89"/>
        <v/>
      </c>
      <c r="HK38" s="74" t="str">
        <f t="shared" ca="1" si="89"/>
        <v/>
      </c>
      <c r="HL38" s="74" t="str">
        <f t="shared" ca="1" si="90"/>
        <v/>
      </c>
      <c r="HM38" s="74" t="str">
        <f t="shared" ca="1" si="90"/>
        <v/>
      </c>
      <c r="HN38" s="74" t="str">
        <f t="shared" ca="1" si="90"/>
        <v/>
      </c>
      <c r="HO38" s="74" t="str">
        <f t="shared" ca="1" si="90"/>
        <v/>
      </c>
      <c r="HP38" s="74" t="str">
        <f t="shared" ca="1" si="90"/>
        <v/>
      </c>
      <c r="HQ38" s="74" t="str">
        <f t="shared" ca="1" si="90"/>
        <v/>
      </c>
      <c r="HR38" s="74" t="str">
        <f t="shared" ca="1" si="90"/>
        <v/>
      </c>
      <c r="HS38" s="74" t="str">
        <f t="shared" ca="1" si="90"/>
        <v/>
      </c>
      <c r="HT38" s="74" t="str">
        <f t="shared" ca="1" si="90"/>
        <v/>
      </c>
      <c r="HU38" s="74" t="str">
        <f t="shared" ca="1" si="90"/>
        <v/>
      </c>
      <c r="HV38" s="74" t="str">
        <f t="shared" ca="1" si="91"/>
        <v/>
      </c>
      <c r="HW38" s="74" t="str">
        <f t="shared" ca="1" si="91"/>
        <v/>
      </c>
      <c r="HX38" s="74" t="str">
        <f t="shared" ca="1" si="91"/>
        <v/>
      </c>
      <c r="HY38" s="74" t="str">
        <f t="shared" ca="1" si="91"/>
        <v/>
      </c>
      <c r="HZ38" s="74" t="str">
        <f t="shared" ca="1" si="91"/>
        <v/>
      </c>
      <c r="IA38" s="74" t="str">
        <f t="shared" ca="1" si="91"/>
        <v/>
      </c>
      <c r="IB38" s="74" t="str">
        <f t="shared" ca="1" si="91"/>
        <v/>
      </c>
      <c r="IC38" s="74" t="str">
        <f t="shared" ca="1" si="91"/>
        <v/>
      </c>
      <c r="ID38" s="74" t="str">
        <f t="shared" ca="1" si="91"/>
        <v/>
      </c>
      <c r="IE38" s="74" t="str">
        <f t="shared" ca="1" si="91"/>
        <v/>
      </c>
      <c r="IF38" s="74" t="str">
        <f t="shared" ca="1" si="92"/>
        <v/>
      </c>
      <c r="IG38" s="74" t="str">
        <f t="shared" ca="1" si="92"/>
        <v/>
      </c>
      <c r="IH38" s="74" t="str">
        <f t="shared" ca="1" si="92"/>
        <v/>
      </c>
      <c r="II38" s="74" t="str">
        <f t="shared" ca="1" si="92"/>
        <v/>
      </c>
      <c r="IJ38" s="74" t="str">
        <f t="shared" ca="1" si="92"/>
        <v/>
      </c>
      <c r="IK38" s="74" t="str">
        <f t="shared" ca="1" si="92"/>
        <v/>
      </c>
      <c r="IL38" s="74" t="str">
        <f t="shared" ca="1" si="92"/>
        <v/>
      </c>
      <c r="IM38" s="74" t="str">
        <f t="shared" ca="1" si="92"/>
        <v/>
      </c>
      <c r="IN38" s="74" t="str">
        <f t="shared" ca="1" si="92"/>
        <v/>
      </c>
      <c r="IO38" s="74" t="str">
        <f t="shared" ca="1" si="92"/>
        <v/>
      </c>
      <c r="IP38" s="74" t="str">
        <f t="shared" ca="1" si="93"/>
        <v/>
      </c>
      <c r="IQ38" s="74" t="str">
        <f t="shared" ca="1" si="93"/>
        <v/>
      </c>
      <c r="IR38" s="74" t="str">
        <f t="shared" ca="1" si="93"/>
        <v/>
      </c>
      <c r="IS38" s="74" t="str">
        <f t="shared" ca="1" si="93"/>
        <v/>
      </c>
      <c r="IT38" s="74" t="str">
        <f t="shared" ca="1" si="93"/>
        <v/>
      </c>
      <c r="IU38" s="74" t="str">
        <f t="shared" ca="1" si="93"/>
        <v/>
      </c>
      <c r="IV38" s="74" t="str">
        <f t="shared" ca="1" si="93"/>
        <v/>
      </c>
      <c r="IW38" s="74" t="str">
        <f t="shared" ca="1" si="93"/>
        <v/>
      </c>
      <c r="IX38" s="74" t="str">
        <f t="shared" ca="1" si="93"/>
        <v/>
      </c>
      <c r="IY38" s="74" t="str">
        <f t="shared" ca="1" si="93"/>
        <v/>
      </c>
      <c r="IZ38" s="74" t="str">
        <f t="shared" ca="1" si="94"/>
        <v/>
      </c>
      <c r="JA38" s="74" t="str">
        <f t="shared" ca="1" si="94"/>
        <v/>
      </c>
      <c r="JB38" s="74" t="str">
        <f t="shared" ca="1" si="94"/>
        <v/>
      </c>
      <c r="JC38" s="74" t="str">
        <f t="shared" ca="1" si="94"/>
        <v/>
      </c>
      <c r="JD38" s="74" t="str">
        <f t="shared" ca="1" si="94"/>
        <v/>
      </c>
      <c r="JE38" s="74" t="str">
        <f t="shared" ca="1" si="94"/>
        <v/>
      </c>
      <c r="JF38" s="74" t="str">
        <f t="shared" ca="1" si="94"/>
        <v/>
      </c>
      <c r="JG38" s="74" t="str">
        <f t="shared" ca="1" si="94"/>
        <v/>
      </c>
      <c r="JH38" s="74" t="str">
        <f t="shared" ca="1" si="94"/>
        <v/>
      </c>
      <c r="JI38" s="74" t="str">
        <f t="shared" ca="1" si="94"/>
        <v/>
      </c>
      <c r="JJ38" s="74" t="str">
        <f t="shared" ca="1" si="95"/>
        <v/>
      </c>
      <c r="JK38" s="74" t="str">
        <f t="shared" ca="1" si="95"/>
        <v/>
      </c>
      <c r="JL38" s="74" t="str">
        <f t="shared" ca="1" si="95"/>
        <v/>
      </c>
      <c r="JM38" s="74" t="str">
        <f t="shared" ca="1" si="95"/>
        <v/>
      </c>
      <c r="JN38" s="74" t="str">
        <f t="shared" ca="1" si="95"/>
        <v/>
      </c>
      <c r="JO38" s="74" t="str">
        <f t="shared" ca="1" si="95"/>
        <v/>
      </c>
      <c r="JP38" s="74" t="str">
        <f t="shared" ca="1" si="95"/>
        <v/>
      </c>
      <c r="JQ38" s="74" t="str">
        <f t="shared" ca="1" si="95"/>
        <v/>
      </c>
      <c r="JR38" s="74" t="str">
        <f t="shared" ca="1" si="95"/>
        <v/>
      </c>
      <c r="JS38" s="74" t="str">
        <f t="shared" ca="1" si="95"/>
        <v/>
      </c>
      <c r="JT38" s="74" t="str">
        <f t="shared" ca="1" si="96"/>
        <v/>
      </c>
      <c r="JU38" s="74" t="str">
        <f t="shared" ca="1" si="96"/>
        <v/>
      </c>
      <c r="JV38" s="74" t="str">
        <f t="shared" ca="1" si="96"/>
        <v/>
      </c>
      <c r="JW38" s="74" t="str">
        <f t="shared" ca="1" si="96"/>
        <v/>
      </c>
      <c r="JX38" s="74" t="str">
        <f t="shared" ca="1" si="96"/>
        <v/>
      </c>
      <c r="JY38" s="74" t="str">
        <f t="shared" ca="1" si="96"/>
        <v/>
      </c>
      <c r="JZ38" s="74" t="str">
        <f t="shared" ca="1" si="96"/>
        <v/>
      </c>
      <c r="KA38" s="74" t="str">
        <f t="shared" ca="1" si="96"/>
        <v/>
      </c>
      <c r="KB38" s="74" t="str">
        <f t="shared" ca="1" si="96"/>
        <v/>
      </c>
      <c r="KC38" s="74" t="str">
        <f t="shared" ca="1" si="96"/>
        <v/>
      </c>
      <c r="KD38" s="74" t="str">
        <f t="shared" ca="1" si="97"/>
        <v/>
      </c>
      <c r="KE38" s="74" t="str">
        <f t="shared" ca="1" si="97"/>
        <v/>
      </c>
      <c r="KF38" s="74" t="str">
        <f t="shared" ca="1" si="97"/>
        <v/>
      </c>
      <c r="KG38" s="74" t="str">
        <f t="shared" ca="1" si="97"/>
        <v/>
      </c>
      <c r="KH38" s="74" t="str">
        <f t="shared" ca="1" si="97"/>
        <v/>
      </c>
      <c r="KI38" s="74" t="str">
        <f t="shared" ca="1" si="97"/>
        <v/>
      </c>
      <c r="KJ38" s="74" t="str">
        <f t="shared" ca="1" si="97"/>
        <v/>
      </c>
      <c r="KK38" s="74" t="str">
        <f t="shared" ca="1" si="97"/>
        <v/>
      </c>
      <c r="KL38" s="74" t="str">
        <f t="shared" ca="1" si="97"/>
        <v/>
      </c>
      <c r="KM38" s="74" t="str">
        <f t="shared" ca="1" si="97"/>
        <v/>
      </c>
      <c r="KN38" s="74" t="str">
        <f t="shared" ca="1" si="98"/>
        <v/>
      </c>
      <c r="KO38" s="74" t="str">
        <f t="shared" ca="1" si="98"/>
        <v/>
      </c>
      <c r="KP38" s="74" t="str">
        <f t="shared" ca="1" si="98"/>
        <v/>
      </c>
      <c r="KQ38" s="74" t="str">
        <f t="shared" ca="1" si="98"/>
        <v/>
      </c>
      <c r="KR38" s="74" t="str">
        <f t="shared" ca="1" si="98"/>
        <v/>
      </c>
      <c r="KS38" s="74" t="str">
        <f t="shared" ca="1" si="98"/>
        <v/>
      </c>
      <c r="KT38" s="74" t="str">
        <f t="shared" ca="1" si="98"/>
        <v/>
      </c>
      <c r="KU38" s="74" t="str">
        <f t="shared" ca="1" si="98"/>
        <v/>
      </c>
      <c r="KV38" s="74" t="str">
        <f t="shared" ca="1" si="98"/>
        <v/>
      </c>
      <c r="KW38" s="74" t="str">
        <f t="shared" ca="1" si="98"/>
        <v/>
      </c>
      <c r="KX38" s="74" t="str">
        <f t="shared" ca="1" si="99"/>
        <v/>
      </c>
      <c r="KY38" s="74" t="str">
        <f t="shared" ca="1" si="99"/>
        <v/>
      </c>
      <c r="KZ38" s="74" t="str">
        <f t="shared" ca="1" si="99"/>
        <v/>
      </c>
      <c r="LA38" s="74" t="str">
        <f t="shared" ca="1" si="99"/>
        <v/>
      </c>
      <c r="LB38" s="74" t="str">
        <f t="shared" ca="1" si="99"/>
        <v/>
      </c>
      <c r="LC38" s="74" t="str">
        <f t="shared" ca="1" si="99"/>
        <v/>
      </c>
      <c r="LD38" s="74" t="str">
        <f t="shared" ca="1" si="99"/>
        <v/>
      </c>
      <c r="LE38" s="74" t="str">
        <f t="shared" ca="1" si="99"/>
        <v/>
      </c>
      <c r="LF38" s="74" t="str">
        <f t="shared" ca="1" si="99"/>
        <v/>
      </c>
      <c r="LG38" s="74" t="str">
        <f t="shared" ca="1" si="99"/>
        <v/>
      </c>
      <c r="LH38" s="74" t="str">
        <f t="shared" ca="1" si="100"/>
        <v/>
      </c>
      <c r="LI38" s="74" t="str">
        <f t="shared" ca="1" si="100"/>
        <v/>
      </c>
      <c r="LJ38" s="74" t="str">
        <f t="shared" ca="1" si="100"/>
        <v/>
      </c>
      <c r="LK38" s="74" t="str">
        <f t="shared" ca="1" si="100"/>
        <v/>
      </c>
      <c r="LL38" s="74" t="str">
        <f t="shared" ca="1" si="100"/>
        <v/>
      </c>
      <c r="LM38" s="74" t="str">
        <f t="shared" ca="1" si="100"/>
        <v/>
      </c>
      <c r="LN38" s="74" t="str">
        <f t="shared" ca="1" si="100"/>
        <v/>
      </c>
      <c r="LO38" s="74" t="str">
        <f t="shared" ca="1" si="100"/>
        <v/>
      </c>
      <c r="LP38" s="74" t="str">
        <f t="shared" ca="1" si="100"/>
        <v/>
      </c>
      <c r="LQ38" s="74" t="str">
        <f t="shared" ca="1" si="100"/>
        <v/>
      </c>
      <c r="LR38" s="74" t="str">
        <f t="shared" ca="1" si="101"/>
        <v/>
      </c>
      <c r="LS38" s="74" t="str">
        <f t="shared" ca="1" si="101"/>
        <v/>
      </c>
      <c r="LT38" s="74" t="str">
        <f t="shared" ca="1" si="101"/>
        <v/>
      </c>
      <c r="LU38" s="74" t="str">
        <f t="shared" ca="1" si="101"/>
        <v/>
      </c>
      <c r="LV38" s="74" t="str">
        <f t="shared" ca="1" si="101"/>
        <v/>
      </c>
      <c r="LW38" s="74" t="str">
        <f t="shared" ca="1" si="101"/>
        <v/>
      </c>
      <c r="LX38" s="74" t="str">
        <f t="shared" ca="1" si="101"/>
        <v/>
      </c>
      <c r="LY38" s="74" t="str">
        <f t="shared" ca="1" si="101"/>
        <v/>
      </c>
      <c r="LZ38" s="74" t="str">
        <f t="shared" ca="1" si="101"/>
        <v/>
      </c>
      <c r="MA38" s="74" t="str">
        <f t="shared" ca="1" si="101"/>
        <v/>
      </c>
      <c r="MB38" s="74" t="str">
        <f t="shared" ca="1" si="102"/>
        <v/>
      </c>
      <c r="MC38" s="74" t="str">
        <f t="shared" ca="1" si="102"/>
        <v/>
      </c>
      <c r="MD38" s="74" t="str">
        <f t="shared" ca="1" si="102"/>
        <v/>
      </c>
      <c r="ME38" s="74" t="str">
        <f t="shared" ca="1" si="102"/>
        <v/>
      </c>
      <c r="MF38" s="74" t="str">
        <f t="shared" ca="1" si="102"/>
        <v/>
      </c>
      <c r="MG38" s="74" t="str">
        <f t="shared" ca="1" si="102"/>
        <v/>
      </c>
      <c r="MH38" s="74" t="str">
        <f t="shared" ca="1" si="102"/>
        <v/>
      </c>
      <c r="MI38" s="74" t="str">
        <f t="shared" ca="1" si="102"/>
        <v/>
      </c>
      <c r="MJ38" s="74" t="str">
        <f t="shared" ca="1" si="102"/>
        <v/>
      </c>
      <c r="MK38" s="74" t="str">
        <f t="shared" ca="1" si="102"/>
        <v/>
      </c>
      <c r="ML38" s="74" t="str">
        <f t="shared" ca="1" si="103"/>
        <v/>
      </c>
      <c r="MM38" s="74" t="str">
        <f t="shared" ca="1" si="103"/>
        <v/>
      </c>
      <c r="MN38" s="74" t="str">
        <f t="shared" ca="1" si="103"/>
        <v/>
      </c>
      <c r="MO38" s="74" t="str">
        <f t="shared" ca="1" si="103"/>
        <v/>
      </c>
      <c r="MP38" s="74" t="str">
        <f t="shared" ca="1" si="103"/>
        <v/>
      </c>
      <c r="MQ38" s="74" t="str">
        <f t="shared" ca="1" si="103"/>
        <v/>
      </c>
      <c r="MR38" s="74" t="str">
        <f t="shared" ca="1" si="103"/>
        <v/>
      </c>
      <c r="MS38" s="74" t="str">
        <f t="shared" ca="1" si="103"/>
        <v/>
      </c>
      <c r="MT38" s="74" t="str">
        <f t="shared" ca="1" si="103"/>
        <v/>
      </c>
      <c r="MU38" s="74" t="str">
        <f t="shared" ca="1" si="103"/>
        <v/>
      </c>
      <c r="MV38" s="74" t="str">
        <f t="shared" ca="1" si="104"/>
        <v/>
      </c>
      <c r="MW38" s="74" t="str">
        <f t="shared" ca="1" si="104"/>
        <v/>
      </c>
      <c r="MX38" s="74" t="str">
        <f t="shared" ca="1" si="104"/>
        <v/>
      </c>
      <c r="MY38" s="74" t="str">
        <f t="shared" ca="1" si="104"/>
        <v/>
      </c>
      <c r="MZ38" s="74" t="str">
        <f t="shared" ca="1" si="104"/>
        <v/>
      </c>
      <c r="NA38" s="74" t="str">
        <f t="shared" ca="1" si="104"/>
        <v/>
      </c>
      <c r="NB38" s="74" t="str">
        <f t="shared" ca="1" si="104"/>
        <v/>
      </c>
      <c r="NC38" s="74" t="str">
        <f t="shared" ca="1" si="104"/>
        <v/>
      </c>
      <c r="ND38" s="74" t="str">
        <f t="shared" ca="1" si="104"/>
        <v/>
      </c>
      <c r="NE38" s="74" t="str">
        <f t="shared" ca="1" si="104"/>
        <v/>
      </c>
      <c r="NF38" s="74" t="str">
        <f t="shared" ca="1" si="105"/>
        <v/>
      </c>
      <c r="NG38" s="74" t="str">
        <f t="shared" ca="1" si="105"/>
        <v/>
      </c>
      <c r="NH38" s="74" t="str">
        <f t="shared" ca="1" si="105"/>
        <v/>
      </c>
      <c r="NI38" s="74" t="str">
        <f t="shared" ca="1" si="105"/>
        <v/>
      </c>
      <c r="NJ38" s="74" t="str">
        <f t="shared" ca="1" si="105"/>
        <v/>
      </c>
      <c r="NK38" s="74" t="str">
        <f t="shared" ca="1" si="105"/>
        <v/>
      </c>
      <c r="NL38" s="74" t="str">
        <f t="shared" ca="1" si="105"/>
        <v/>
      </c>
      <c r="NM38" s="74" t="str">
        <f t="shared" ca="1" si="105"/>
        <v/>
      </c>
      <c r="NN38" s="74" t="str">
        <f t="shared" ca="1" si="105"/>
        <v/>
      </c>
      <c r="NO38" s="74" t="str">
        <f t="shared" ca="1" si="105"/>
        <v/>
      </c>
      <c r="NP38" s="74" t="str">
        <f t="shared" ca="1" si="106"/>
        <v/>
      </c>
      <c r="NQ38" s="74" t="str">
        <f t="shared" ca="1" si="106"/>
        <v/>
      </c>
      <c r="NR38" s="74" t="str">
        <f t="shared" ca="1" si="106"/>
        <v/>
      </c>
      <c r="NS38" s="74" t="str">
        <f t="shared" ca="1" si="106"/>
        <v/>
      </c>
      <c r="NT38" s="74" t="str">
        <f t="shared" ca="1" si="106"/>
        <v/>
      </c>
      <c r="NU38" s="74" t="str">
        <f t="shared" ca="1" si="106"/>
        <v/>
      </c>
      <c r="NV38" s="74" t="str">
        <f t="shared" ca="1" si="106"/>
        <v/>
      </c>
      <c r="NW38" s="74" t="str">
        <f t="shared" ca="1" si="106"/>
        <v/>
      </c>
      <c r="NX38" s="74" t="str">
        <f t="shared" ca="1" si="106"/>
        <v/>
      </c>
      <c r="NY38" s="74" t="str">
        <f t="shared" ca="1" si="106"/>
        <v/>
      </c>
      <c r="NZ38" s="74" t="str">
        <f t="shared" ca="1" si="107"/>
        <v/>
      </c>
      <c r="OA38" s="74" t="str">
        <f t="shared" ca="1" si="107"/>
        <v/>
      </c>
      <c r="OB38" s="74" t="str">
        <f t="shared" ca="1" si="107"/>
        <v/>
      </c>
      <c r="OC38" s="74" t="str">
        <f t="shared" ca="1" si="107"/>
        <v/>
      </c>
      <c r="OD38" s="74" t="str">
        <f t="shared" ca="1" si="107"/>
        <v/>
      </c>
      <c r="OE38" s="74" t="str">
        <f t="shared" ca="1" si="107"/>
        <v/>
      </c>
      <c r="OF38" s="74" t="str">
        <f t="shared" ca="1" si="107"/>
        <v/>
      </c>
      <c r="OG38" s="74" t="str">
        <f t="shared" ca="1" si="107"/>
        <v/>
      </c>
      <c r="OH38" s="74" t="str">
        <f t="shared" ca="1" si="107"/>
        <v/>
      </c>
      <c r="OI38" s="74" t="str">
        <f t="shared" ca="1" si="107"/>
        <v/>
      </c>
      <c r="OJ38" s="74" t="str">
        <f t="shared" ca="1" si="108"/>
        <v/>
      </c>
      <c r="OK38" s="74" t="str">
        <f t="shared" ca="1" si="108"/>
        <v/>
      </c>
      <c r="OL38" s="74" t="str">
        <f t="shared" ca="1" si="108"/>
        <v/>
      </c>
      <c r="OM38" s="74" t="str">
        <f t="shared" ca="1" si="108"/>
        <v/>
      </c>
      <c r="ON38" s="74" t="str">
        <f t="shared" ca="1" si="108"/>
        <v/>
      </c>
      <c r="OO38" s="74" t="str">
        <f t="shared" ca="1" si="108"/>
        <v/>
      </c>
      <c r="OP38" s="74" t="str">
        <f t="shared" ca="1" si="108"/>
        <v/>
      </c>
      <c r="OQ38" s="74" t="str">
        <f t="shared" ca="1" si="108"/>
        <v/>
      </c>
      <c r="OR38" s="74" t="str">
        <f t="shared" ca="1" si="108"/>
        <v/>
      </c>
      <c r="OS38" s="74" t="str">
        <f t="shared" ca="1" si="108"/>
        <v/>
      </c>
      <c r="OT38" s="74" t="str">
        <f t="shared" ca="1" si="109"/>
        <v/>
      </c>
      <c r="OU38" s="74" t="str">
        <f t="shared" ca="1" si="109"/>
        <v/>
      </c>
      <c r="OV38" s="74" t="str">
        <f t="shared" ca="1" si="109"/>
        <v/>
      </c>
      <c r="OW38" s="74" t="str">
        <f t="shared" ca="1" si="109"/>
        <v/>
      </c>
      <c r="OX38" s="74" t="str">
        <f t="shared" ca="1" si="109"/>
        <v/>
      </c>
      <c r="OY38" s="74" t="str">
        <f t="shared" ca="1" si="109"/>
        <v/>
      </c>
      <c r="OZ38" s="74" t="str">
        <f t="shared" ca="1" si="109"/>
        <v/>
      </c>
      <c r="PA38" s="74" t="str">
        <f t="shared" ca="1" si="109"/>
        <v/>
      </c>
      <c r="PB38" s="74" t="str">
        <f t="shared" ca="1" si="109"/>
        <v/>
      </c>
      <c r="PC38" s="74" t="str">
        <f t="shared" ca="1" si="109"/>
        <v/>
      </c>
      <c r="PD38" s="74" t="str">
        <f t="shared" ca="1" si="110"/>
        <v/>
      </c>
      <c r="PE38" s="74" t="str">
        <f t="shared" ca="1" si="110"/>
        <v/>
      </c>
      <c r="PF38" s="74" t="str">
        <f t="shared" ca="1" si="110"/>
        <v/>
      </c>
      <c r="PG38" s="74" t="str">
        <f t="shared" ca="1" si="110"/>
        <v/>
      </c>
      <c r="PH38" s="74" t="str">
        <f t="shared" ca="1" si="110"/>
        <v/>
      </c>
      <c r="PI38" s="74" t="str">
        <f t="shared" ca="1" si="110"/>
        <v/>
      </c>
      <c r="PJ38" s="74" t="str">
        <f t="shared" ca="1" si="110"/>
        <v/>
      </c>
      <c r="PK38" s="74" t="str">
        <f t="shared" ca="1" si="110"/>
        <v/>
      </c>
      <c r="PL38" s="74" t="str">
        <f t="shared" ca="1" si="110"/>
        <v/>
      </c>
      <c r="PM38" s="74" t="str">
        <f t="shared" ca="1" si="110"/>
        <v/>
      </c>
      <c r="PN38" s="74" t="str">
        <f t="shared" ca="1" si="111"/>
        <v/>
      </c>
      <c r="PO38" s="74" t="str">
        <f t="shared" ca="1" si="111"/>
        <v/>
      </c>
      <c r="PP38" s="74" t="str">
        <f t="shared" ca="1" si="111"/>
        <v/>
      </c>
      <c r="PQ38" s="74" t="str">
        <f t="shared" ca="1" si="111"/>
        <v/>
      </c>
      <c r="PR38" s="74" t="str">
        <f t="shared" ca="1" si="111"/>
        <v/>
      </c>
      <c r="PS38" s="74" t="str">
        <f t="shared" ca="1" si="111"/>
        <v/>
      </c>
      <c r="PT38" s="74" t="str">
        <f t="shared" ca="1" si="111"/>
        <v/>
      </c>
      <c r="PU38" s="74" t="str">
        <f t="shared" ca="1" si="111"/>
        <v/>
      </c>
      <c r="PV38" s="74" t="str">
        <f t="shared" ca="1" si="111"/>
        <v/>
      </c>
      <c r="PW38" s="74" t="str">
        <f t="shared" ca="1" si="111"/>
        <v/>
      </c>
      <c r="PX38" s="74" t="str">
        <f t="shared" ca="1" si="112"/>
        <v/>
      </c>
      <c r="PY38" s="74" t="str">
        <f t="shared" ca="1" si="112"/>
        <v/>
      </c>
      <c r="PZ38" s="74" t="str">
        <f t="shared" ca="1" si="112"/>
        <v/>
      </c>
      <c r="QA38" s="74" t="str">
        <f t="shared" ca="1" si="112"/>
        <v/>
      </c>
      <c r="QB38" s="74" t="str">
        <f t="shared" ca="1" si="112"/>
        <v/>
      </c>
      <c r="QC38" s="74" t="str">
        <f t="shared" ca="1" si="112"/>
        <v/>
      </c>
      <c r="QD38" s="74" t="str">
        <f t="shared" ca="1" si="112"/>
        <v/>
      </c>
      <c r="QE38" s="74" t="str">
        <f t="shared" ca="1" si="112"/>
        <v/>
      </c>
      <c r="QF38" s="74" t="str">
        <f t="shared" ca="1" si="112"/>
        <v/>
      </c>
      <c r="QG38" s="74" t="str">
        <f t="shared" ca="1" si="112"/>
        <v/>
      </c>
      <c r="QH38" s="74" t="str">
        <f t="shared" ca="1" si="113"/>
        <v/>
      </c>
      <c r="QI38" s="74" t="str">
        <f t="shared" ca="1" si="113"/>
        <v/>
      </c>
      <c r="QJ38" s="74" t="str">
        <f t="shared" ca="1" si="113"/>
        <v/>
      </c>
      <c r="QK38" s="74" t="str">
        <f t="shared" ca="1" si="113"/>
        <v/>
      </c>
      <c r="QL38" s="74" t="str">
        <f t="shared" ca="1" si="113"/>
        <v/>
      </c>
      <c r="QM38" s="74" t="str">
        <f t="shared" ca="1" si="113"/>
        <v/>
      </c>
      <c r="QN38" s="74" t="str">
        <f t="shared" ca="1" si="113"/>
        <v/>
      </c>
      <c r="QO38" s="74" t="str">
        <f t="shared" ca="1" si="113"/>
        <v/>
      </c>
      <c r="QP38" s="74" t="str">
        <f t="shared" ca="1" si="113"/>
        <v/>
      </c>
      <c r="QQ38" s="74" t="str">
        <f t="shared" ca="1" si="113"/>
        <v/>
      </c>
      <c r="QR38" s="74" t="str">
        <f t="shared" ca="1" si="114"/>
        <v/>
      </c>
      <c r="QS38" s="74" t="str">
        <f t="shared" ca="1" si="114"/>
        <v/>
      </c>
      <c r="QT38" s="74" t="str">
        <f t="shared" ca="1" si="114"/>
        <v/>
      </c>
      <c r="QU38" s="74" t="str">
        <f t="shared" ca="1" si="114"/>
        <v/>
      </c>
      <c r="QV38" s="74" t="str">
        <f t="shared" ca="1" si="114"/>
        <v/>
      </c>
      <c r="QW38" s="74" t="str">
        <f t="shared" ca="1" si="114"/>
        <v/>
      </c>
      <c r="QX38" s="74" t="str">
        <f t="shared" ca="1" si="114"/>
        <v/>
      </c>
      <c r="QY38" s="74" t="str">
        <f t="shared" ca="1" si="114"/>
        <v/>
      </c>
      <c r="QZ38" s="74" t="str">
        <f t="shared" ca="1" si="114"/>
        <v/>
      </c>
      <c r="RA38" s="74" t="str">
        <f t="shared" ca="1" si="114"/>
        <v/>
      </c>
      <c r="RB38" s="74" t="str">
        <f t="shared" ca="1" si="115"/>
        <v/>
      </c>
      <c r="RC38" s="74" t="str">
        <f t="shared" ca="1" si="115"/>
        <v/>
      </c>
      <c r="RD38" s="74" t="str">
        <f t="shared" ca="1" si="115"/>
        <v/>
      </c>
      <c r="RE38" s="74" t="str">
        <f t="shared" ca="1" si="115"/>
        <v/>
      </c>
      <c r="RF38" s="74" t="str">
        <f t="shared" ca="1" si="115"/>
        <v/>
      </c>
      <c r="RG38" s="74" t="str">
        <f t="shared" ca="1" si="115"/>
        <v/>
      </c>
      <c r="RH38" s="74" t="str">
        <f t="shared" ca="1" si="115"/>
        <v/>
      </c>
      <c r="RI38" s="74" t="str">
        <f t="shared" ca="1" si="115"/>
        <v/>
      </c>
      <c r="RJ38" s="74" t="str">
        <f t="shared" ca="1" si="115"/>
        <v/>
      </c>
      <c r="RK38" s="74" t="str">
        <f t="shared" ca="1" si="115"/>
        <v/>
      </c>
      <c r="RL38" s="74" t="str">
        <f t="shared" ca="1" si="116"/>
        <v/>
      </c>
      <c r="RM38" s="74" t="str">
        <f t="shared" ca="1" si="116"/>
        <v/>
      </c>
      <c r="RN38" s="74" t="str">
        <f t="shared" ca="1" si="116"/>
        <v/>
      </c>
      <c r="RO38" s="74" t="str">
        <f t="shared" ca="1" si="116"/>
        <v/>
      </c>
      <c r="RP38" s="74" t="str">
        <f t="shared" ca="1" si="116"/>
        <v/>
      </c>
      <c r="RQ38" s="74" t="str">
        <f t="shared" ca="1" si="116"/>
        <v/>
      </c>
      <c r="RR38" s="74" t="str">
        <f t="shared" ca="1" si="116"/>
        <v/>
      </c>
      <c r="RS38" s="74" t="str">
        <f t="shared" ca="1" si="116"/>
        <v/>
      </c>
      <c r="RT38" s="74" t="str">
        <f t="shared" ca="1" si="116"/>
        <v/>
      </c>
      <c r="RU38" s="74" t="str">
        <f t="shared" ca="1" si="116"/>
        <v/>
      </c>
      <c r="RV38" s="74" t="str">
        <f t="shared" ca="1" si="117"/>
        <v/>
      </c>
      <c r="RW38" s="74" t="str">
        <f t="shared" ca="1" si="117"/>
        <v/>
      </c>
      <c r="RX38" s="74" t="str">
        <f t="shared" ca="1" si="117"/>
        <v/>
      </c>
      <c r="RY38" s="74" t="str">
        <f t="shared" ca="1" si="117"/>
        <v/>
      </c>
      <c r="RZ38" s="74" t="str">
        <f t="shared" ca="1" si="117"/>
        <v/>
      </c>
      <c r="SA38" s="74" t="str">
        <f t="shared" ca="1" si="117"/>
        <v/>
      </c>
      <c r="SB38" s="74" t="str">
        <f t="shared" ca="1" si="117"/>
        <v/>
      </c>
      <c r="SC38" s="74" t="str">
        <f t="shared" ca="1" si="117"/>
        <v/>
      </c>
      <c r="SD38" s="74" t="str">
        <f t="shared" ca="1" si="117"/>
        <v/>
      </c>
      <c r="SE38" s="74" t="str">
        <f t="shared" ca="1" si="117"/>
        <v/>
      </c>
      <c r="SF38" s="74" t="str">
        <f t="shared" ca="1" si="118"/>
        <v/>
      </c>
      <c r="SG38" s="74" t="str">
        <f t="shared" ca="1" si="118"/>
        <v/>
      </c>
      <c r="SH38" s="74" t="str">
        <f t="shared" ca="1" si="118"/>
        <v/>
      </c>
      <c r="SI38" s="74" t="str">
        <f t="shared" ca="1" si="118"/>
        <v/>
      </c>
      <c r="SJ38" s="74" t="str">
        <f t="shared" ca="1" si="118"/>
        <v/>
      </c>
      <c r="SK38" s="74" t="str">
        <f t="shared" ca="1" si="118"/>
        <v/>
      </c>
      <c r="SL38" s="74" t="str">
        <f t="shared" ca="1" si="118"/>
        <v/>
      </c>
      <c r="SM38" s="74" t="str">
        <f t="shared" ca="1" si="118"/>
        <v/>
      </c>
      <c r="SN38" s="74" t="str">
        <f t="shared" ca="1" si="118"/>
        <v/>
      </c>
      <c r="SO38" s="74" t="str">
        <f t="shared" ca="1" si="118"/>
        <v/>
      </c>
      <c r="SP38" s="74" t="str">
        <f t="shared" ca="1" si="119"/>
        <v/>
      </c>
      <c r="SQ38" s="74" t="str">
        <f t="shared" ca="1" si="119"/>
        <v/>
      </c>
      <c r="SR38" s="74" t="str">
        <f t="shared" ca="1" si="119"/>
        <v/>
      </c>
      <c r="SS38" s="74" t="str">
        <f t="shared" ca="1" si="119"/>
        <v/>
      </c>
      <c r="ST38" s="74" t="str">
        <f t="shared" ca="1" si="119"/>
        <v/>
      </c>
      <c r="SU38" s="74" t="str">
        <f t="shared" ca="1" si="119"/>
        <v/>
      </c>
      <c r="SV38" s="74" t="str">
        <f t="shared" ca="1" si="119"/>
        <v/>
      </c>
      <c r="SW38" s="74" t="str">
        <f t="shared" ca="1" si="119"/>
        <v/>
      </c>
      <c r="SX38" s="74" t="str">
        <f t="shared" ca="1" si="119"/>
        <v/>
      </c>
      <c r="SY38" s="74" t="str">
        <f t="shared" ca="1" si="119"/>
        <v/>
      </c>
      <c r="SZ38" s="74" t="str">
        <f t="shared" ca="1" si="120"/>
        <v/>
      </c>
      <c r="TA38" s="74" t="str">
        <f t="shared" ca="1" si="120"/>
        <v/>
      </c>
      <c r="TB38" s="74" t="str">
        <f t="shared" ca="1" si="120"/>
        <v/>
      </c>
      <c r="TC38" s="74" t="str">
        <f t="shared" ca="1" si="120"/>
        <v/>
      </c>
      <c r="TD38" s="74" t="str">
        <f t="shared" ca="1" si="120"/>
        <v/>
      </c>
      <c r="TE38" s="74" t="str">
        <f t="shared" ca="1" si="120"/>
        <v/>
      </c>
      <c r="TF38" s="74" t="str">
        <f t="shared" ca="1" si="120"/>
        <v/>
      </c>
      <c r="TG38" s="74" t="str">
        <f t="shared" ca="1" si="120"/>
        <v/>
      </c>
      <c r="TH38" s="74" t="str">
        <f t="shared" ca="1" si="120"/>
        <v/>
      </c>
      <c r="TI38" s="74" t="str">
        <f t="shared" ca="1" si="120"/>
        <v/>
      </c>
      <c r="TJ38" s="74" t="str">
        <f t="shared" ca="1" si="121"/>
        <v/>
      </c>
      <c r="TK38" s="74" t="str">
        <f t="shared" ca="1" si="121"/>
        <v/>
      </c>
      <c r="TL38" s="74" t="str">
        <f t="shared" ca="1" si="121"/>
        <v/>
      </c>
      <c r="TM38" s="74" t="str">
        <f t="shared" ca="1" si="121"/>
        <v/>
      </c>
      <c r="TN38" s="74" t="str">
        <f t="shared" ca="1" si="121"/>
        <v/>
      </c>
      <c r="TO38" s="74" t="str">
        <f t="shared" ca="1" si="121"/>
        <v/>
      </c>
      <c r="TP38" s="74" t="str">
        <f t="shared" ca="1" si="121"/>
        <v/>
      </c>
      <c r="TQ38" s="74" t="str">
        <f t="shared" ca="1" si="121"/>
        <v/>
      </c>
      <c r="TR38" s="74" t="str">
        <f t="shared" ca="1" si="121"/>
        <v/>
      </c>
      <c r="TS38" s="74" t="str">
        <f t="shared" ca="1" si="121"/>
        <v/>
      </c>
      <c r="TT38" s="74" t="str">
        <f t="shared" ca="1" si="122"/>
        <v/>
      </c>
      <c r="TU38" s="74" t="str">
        <f t="shared" ca="1" si="122"/>
        <v/>
      </c>
      <c r="TV38" s="74" t="str">
        <f t="shared" ca="1" si="122"/>
        <v/>
      </c>
      <c r="TW38" s="74" t="str">
        <f t="shared" ca="1" si="122"/>
        <v/>
      </c>
      <c r="TX38" s="74" t="str">
        <f t="shared" ca="1" si="122"/>
        <v/>
      </c>
      <c r="TY38" s="74" t="str">
        <f t="shared" ca="1" si="122"/>
        <v/>
      </c>
      <c r="TZ38" s="74" t="str">
        <f t="shared" ca="1" si="122"/>
        <v/>
      </c>
      <c r="UA38" s="74" t="str">
        <f t="shared" ca="1" si="122"/>
        <v/>
      </c>
      <c r="UB38" s="74" t="str">
        <f t="shared" ca="1" si="122"/>
        <v/>
      </c>
      <c r="UC38" s="74" t="str">
        <f t="shared" ca="1" si="122"/>
        <v/>
      </c>
      <c r="UD38" s="74" t="str">
        <f t="shared" ca="1" si="123"/>
        <v/>
      </c>
      <c r="UE38" s="74" t="str">
        <f t="shared" ca="1" si="123"/>
        <v/>
      </c>
      <c r="UF38" s="74" t="str">
        <f t="shared" ca="1" si="123"/>
        <v/>
      </c>
      <c r="UG38" s="74" t="str">
        <f t="shared" ca="1" si="123"/>
        <v/>
      </c>
      <c r="UH38" s="74" t="str">
        <f t="shared" ca="1" si="123"/>
        <v/>
      </c>
      <c r="UI38" s="74" t="str">
        <f t="shared" ca="1" si="123"/>
        <v/>
      </c>
      <c r="UJ38" s="74" t="str">
        <f t="shared" ca="1" si="123"/>
        <v/>
      </c>
      <c r="UK38" s="74" t="str">
        <f t="shared" ca="1" si="123"/>
        <v/>
      </c>
      <c r="UL38" s="74" t="str">
        <f t="shared" ca="1" si="123"/>
        <v/>
      </c>
      <c r="UM38" s="74" t="str">
        <f t="shared" ca="1" si="123"/>
        <v/>
      </c>
      <c r="UN38" s="74" t="str">
        <f t="shared" ca="1" si="124"/>
        <v/>
      </c>
      <c r="UO38" s="74" t="str">
        <f t="shared" ca="1" si="124"/>
        <v/>
      </c>
      <c r="UP38" s="74" t="str">
        <f t="shared" ca="1" si="124"/>
        <v/>
      </c>
      <c r="UQ38" s="74" t="str">
        <f t="shared" ca="1" si="124"/>
        <v/>
      </c>
      <c r="UR38" s="74" t="str">
        <f t="shared" ca="1" si="124"/>
        <v/>
      </c>
      <c r="US38" s="74" t="str">
        <f t="shared" ca="1" si="124"/>
        <v/>
      </c>
      <c r="UT38" s="74" t="str">
        <f t="shared" ca="1" si="124"/>
        <v/>
      </c>
      <c r="UU38" s="74" t="str">
        <f t="shared" ca="1" si="124"/>
        <v/>
      </c>
      <c r="UV38" s="74" t="str">
        <f t="shared" ca="1" si="124"/>
        <v/>
      </c>
      <c r="UW38" s="74" t="str">
        <f t="shared" ca="1" si="124"/>
        <v/>
      </c>
      <c r="UX38" s="74" t="str">
        <f t="shared" ca="1" si="125"/>
        <v/>
      </c>
      <c r="UY38" s="74" t="str">
        <f t="shared" ca="1" si="125"/>
        <v/>
      </c>
      <c r="UZ38" s="74" t="str">
        <f t="shared" ca="1" si="125"/>
        <v/>
      </c>
      <c r="VA38" s="74" t="str">
        <f t="shared" ca="1" si="125"/>
        <v/>
      </c>
      <c r="VB38" s="74" t="str">
        <f t="shared" ca="1" si="125"/>
        <v/>
      </c>
      <c r="VC38" s="74" t="str">
        <f t="shared" ca="1" si="125"/>
        <v/>
      </c>
      <c r="VD38" s="74" t="str">
        <f t="shared" ca="1" si="125"/>
        <v/>
      </c>
      <c r="VE38" s="74" t="str">
        <f t="shared" ca="1" si="125"/>
        <v/>
      </c>
      <c r="VF38" s="74" t="str">
        <f t="shared" ca="1" si="125"/>
        <v/>
      </c>
      <c r="VG38" s="74" t="str">
        <f t="shared" ca="1" si="125"/>
        <v/>
      </c>
      <c r="VH38" s="74" t="str">
        <f t="shared" ca="1" si="126"/>
        <v/>
      </c>
      <c r="VI38" s="74" t="str">
        <f t="shared" ca="1" si="126"/>
        <v/>
      </c>
      <c r="VJ38" s="74" t="str">
        <f t="shared" ca="1" si="126"/>
        <v/>
      </c>
      <c r="VK38" s="74" t="str">
        <f t="shared" ca="1" si="126"/>
        <v/>
      </c>
      <c r="VL38" s="74" t="str">
        <f t="shared" ca="1" si="126"/>
        <v/>
      </c>
      <c r="VM38" s="74" t="str">
        <f t="shared" ca="1" si="126"/>
        <v/>
      </c>
      <c r="VN38" s="74" t="str">
        <f t="shared" ca="1" si="126"/>
        <v/>
      </c>
      <c r="VO38" s="74" t="str">
        <f t="shared" ca="1" si="126"/>
        <v/>
      </c>
      <c r="VP38" s="74" t="str">
        <f t="shared" ca="1" si="126"/>
        <v/>
      </c>
      <c r="VQ38" s="74" t="str">
        <f t="shared" ca="1" si="126"/>
        <v/>
      </c>
      <c r="VR38" s="74" t="str">
        <f t="shared" ca="1" si="126"/>
        <v/>
      </c>
      <c r="VS38" s="74" t="str">
        <f t="shared" ca="1" si="126"/>
        <v/>
      </c>
    </row>
    <row r="39" spans="1:591" s="17" customFormat="1" ht="16.2" customHeight="1" x14ac:dyDescent="0.3">
      <c r="A39" s="81"/>
      <c r="B39" s="56" t="str">
        <f>'CoS Tracker'!$AO$7</f>
        <v>8. Modification Approval Deadline</v>
      </c>
      <c r="C39" s="19" t="s">
        <v>75</v>
      </c>
      <c r="D39" s="19"/>
      <c r="E39" s="27">
        <v>0.1</v>
      </c>
      <c r="F39" s="26">
        <f>'CoS Tracker'!AO10</f>
        <v>46934</v>
      </c>
      <c r="G39" s="26">
        <f>'CoS Tracker'!AO10</f>
        <v>46934</v>
      </c>
      <c r="H39" s="25">
        <f>Milestones43524[[#This Row],[End]]-G38</f>
        <v>683</v>
      </c>
      <c r="I39" s="19"/>
      <c r="J39" s="74" t="str">
        <f t="shared" ca="1" si="69"/>
        <v/>
      </c>
      <c r="K39" s="74" t="str">
        <f t="shared" ca="1" si="69"/>
        <v/>
      </c>
      <c r="L39" s="74" t="str">
        <f t="shared" ca="1" si="69"/>
        <v/>
      </c>
      <c r="M39" s="74" t="str">
        <f t="shared" ca="1" si="69"/>
        <v/>
      </c>
      <c r="N39" s="74" t="str">
        <f t="shared" ca="1" si="69"/>
        <v/>
      </c>
      <c r="O39" s="74" t="str">
        <f t="shared" ca="1" si="69"/>
        <v/>
      </c>
      <c r="P39" s="74" t="str">
        <f t="shared" ca="1" si="69"/>
        <v/>
      </c>
      <c r="Q39" s="74" t="str">
        <f t="shared" ca="1" si="69"/>
        <v/>
      </c>
      <c r="R39" s="74" t="str">
        <f t="shared" ca="1" si="69"/>
        <v/>
      </c>
      <c r="S39" s="74" t="str">
        <f t="shared" ca="1" si="69"/>
        <v/>
      </c>
      <c r="T39" s="74" t="str">
        <f t="shared" ca="1" si="70"/>
        <v/>
      </c>
      <c r="U39" s="74" t="str">
        <f t="shared" ca="1" si="70"/>
        <v/>
      </c>
      <c r="V39" s="74" t="str">
        <f t="shared" ca="1" si="70"/>
        <v/>
      </c>
      <c r="W39" s="74" t="str">
        <f t="shared" ca="1" si="70"/>
        <v/>
      </c>
      <c r="X39" s="74" t="str">
        <f t="shared" ca="1" si="70"/>
        <v/>
      </c>
      <c r="Y39" s="74" t="str">
        <f t="shared" ca="1" si="70"/>
        <v/>
      </c>
      <c r="Z39" s="74" t="str">
        <f t="shared" ca="1" si="70"/>
        <v/>
      </c>
      <c r="AA39" s="74" t="str">
        <f t="shared" ca="1" si="70"/>
        <v/>
      </c>
      <c r="AB39" s="74" t="str">
        <f t="shared" ca="1" si="70"/>
        <v/>
      </c>
      <c r="AC39" s="74" t="str">
        <f t="shared" ca="1" si="70"/>
        <v/>
      </c>
      <c r="AD39" s="74" t="str">
        <f t="shared" ca="1" si="71"/>
        <v/>
      </c>
      <c r="AE39" s="74" t="str">
        <f t="shared" ca="1" si="71"/>
        <v/>
      </c>
      <c r="AF39" s="74" t="str">
        <f t="shared" ca="1" si="71"/>
        <v/>
      </c>
      <c r="AG39" s="74" t="str">
        <f t="shared" ca="1" si="71"/>
        <v/>
      </c>
      <c r="AH39" s="74" t="str">
        <f t="shared" ca="1" si="71"/>
        <v/>
      </c>
      <c r="AI39" s="74" t="str">
        <f t="shared" ca="1" si="71"/>
        <v/>
      </c>
      <c r="AJ39" s="74" t="str">
        <f t="shared" ca="1" si="71"/>
        <v/>
      </c>
      <c r="AK39" s="74" t="str">
        <f t="shared" ca="1" si="71"/>
        <v/>
      </c>
      <c r="AL39" s="74" t="str">
        <f t="shared" ca="1" si="71"/>
        <v/>
      </c>
      <c r="AM39" s="74" t="str">
        <f t="shared" ca="1" si="71"/>
        <v/>
      </c>
      <c r="AN39" s="74" t="str">
        <f t="shared" ca="1" si="72"/>
        <v/>
      </c>
      <c r="AO39" s="74" t="str">
        <f t="shared" ca="1" si="72"/>
        <v/>
      </c>
      <c r="AP39" s="74" t="str">
        <f t="shared" ca="1" si="72"/>
        <v/>
      </c>
      <c r="AQ39" s="74" t="str">
        <f t="shared" ca="1" si="72"/>
        <v/>
      </c>
      <c r="AR39" s="74" t="str">
        <f t="shared" ca="1" si="72"/>
        <v/>
      </c>
      <c r="AS39" s="74" t="str">
        <f t="shared" ca="1" si="72"/>
        <v/>
      </c>
      <c r="AT39" s="74" t="str">
        <f t="shared" ca="1" si="72"/>
        <v/>
      </c>
      <c r="AU39" s="74" t="str">
        <f t="shared" ca="1" si="72"/>
        <v/>
      </c>
      <c r="AV39" s="74" t="str">
        <f t="shared" ca="1" si="72"/>
        <v/>
      </c>
      <c r="AW39" s="74" t="str">
        <f t="shared" ca="1" si="72"/>
        <v/>
      </c>
      <c r="AX39" s="74" t="str">
        <f t="shared" ca="1" si="73"/>
        <v/>
      </c>
      <c r="AY39" s="74" t="str">
        <f t="shared" ca="1" si="73"/>
        <v/>
      </c>
      <c r="AZ39" s="74" t="str">
        <f t="shared" ca="1" si="73"/>
        <v/>
      </c>
      <c r="BA39" s="74" t="str">
        <f t="shared" ca="1" si="73"/>
        <v/>
      </c>
      <c r="BB39" s="74" t="str">
        <f t="shared" ca="1" si="73"/>
        <v/>
      </c>
      <c r="BC39" s="74" t="str">
        <f t="shared" ca="1" si="73"/>
        <v/>
      </c>
      <c r="BD39" s="74" t="str">
        <f t="shared" ca="1" si="73"/>
        <v/>
      </c>
      <c r="BE39" s="74" t="str">
        <f t="shared" ca="1" si="73"/>
        <v/>
      </c>
      <c r="BF39" s="74" t="str">
        <f t="shared" ca="1" si="73"/>
        <v/>
      </c>
      <c r="BG39" s="74" t="str">
        <f t="shared" ca="1" si="73"/>
        <v/>
      </c>
      <c r="BH39" s="74" t="str">
        <f t="shared" ca="1" si="74"/>
        <v/>
      </c>
      <c r="BI39" s="74" t="str">
        <f t="shared" ca="1" si="74"/>
        <v/>
      </c>
      <c r="BJ39" s="74" t="str">
        <f t="shared" ca="1" si="74"/>
        <v/>
      </c>
      <c r="BK39" s="74" t="str">
        <f t="shared" ca="1" si="74"/>
        <v/>
      </c>
      <c r="BL39" s="74" t="str">
        <f t="shared" ca="1" si="74"/>
        <v/>
      </c>
      <c r="BM39" s="74" t="str">
        <f t="shared" ca="1" si="74"/>
        <v/>
      </c>
      <c r="BN39" s="74" t="str">
        <f t="shared" ca="1" si="74"/>
        <v/>
      </c>
      <c r="BO39" s="74" t="str">
        <f t="shared" ca="1" si="74"/>
        <v/>
      </c>
      <c r="BP39" s="74" t="str">
        <f t="shared" ca="1" si="74"/>
        <v/>
      </c>
      <c r="BQ39" s="74" t="str">
        <f t="shared" ca="1" si="74"/>
        <v/>
      </c>
      <c r="BR39" s="74" t="str">
        <f t="shared" ca="1" si="75"/>
        <v/>
      </c>
      <c r="BS39" s="74" t="str">
        <f t="shared" ca="1" si="75"/>
        <v/>
      </c>
      <c r="BT39" s="74" t="str">
        <f t="shared" ca="1" si="75"/>
        <v/>
      </c>
      <c r="BU39" s="74" t="str">
        <f t="shared" ca="1" si="75"/>
        <v/>
      </c>
      <c r="BV39" s="74" t="str">
        <f t="shared" ca="1" si="75"/>
        <v/>
      </c>
      <c r="BW39" s="74" t="str">
        <f t="shared" ca="1" si="75"/>
        <v/>
      </c>
      <c r="BX39" s="74" t="str">
        <f t="shared" ca="1" si="75"/>
        <v/>
      </c>
      <c r="BY39" s="74" t="str">
        <f t="shared" ca="1" si="75"/>
        <v/>
      </c>
      <c r="BZ39" s="74" t="str">
        <f t="shared" ca="1" si="75"/>
        <v/>
      </c>
      <c r="CA39" s="74" t="str">
        <f t="shared" ca="1" si="75"/>
        <v/>
      </c>
      <c r="CB39" s="74" t="str">
        <f t="shared" ca="1" si="76"/>
        <v/>
      </c>
      <c r="CC39" s="74" t="str">
        <f t="shared" ca="1" si="76"/>
        <v/>
      </c>
      <c r="CD39" s="74" t="str">
        <f t="shared" ca="1" si="76"/>
        <v/>
      </c>
      <c r="CE39" s="74" t="str">
        <f t="shared" ca="1" si="76"/>
        <v/>
      </c>
      <c r="CF39" s="74" t="str">
        <f t="shared" ca="1" si="76"/>
        <v/>
      </c>
      <c r="CG39" s="74" t="str">
        <f t="shared" ca="1" si="76"/>
        <v/>
      </c>
      <c r="CH39" s="74" t="str">
        <f t="shared" ca="1" si="76"/>
        <v/>
      </c>
      <c r="CI39" s="74" t="str">
        <f t="shared" ca="1" si="76"/>
        <v/>
      </c>
      <c r="CJ39" s="74" t="str">
        <f t="shared" ca="1" si="76"/>
        <v/>
      </c>
      <c r="CK39" s="74" t="str">
        <f t="shared" ca="1" si="76"/>
        <v/>
      </c>
      <c r="CL39" s="74" t="str">
        <f t="shared" ca="1" si="77"/>
        <v/>
      </c>
      <c r="CM39" s="74" t="str">
        <f t="shared" ca="1" si="77"/>
        <v/>
      </c>
      <c r="CN39" s="74" t="str">
        <f t="shared" ca="1" si="77"/>
        <v/>
      </c>
      <c r="CO39" s="74" t="str">
        <f t="shared" ca="1" si="77"/>
        <v/>
      </c>
      <c r="CP39" s="74" t="str">
        <f t="shared" ca="1" si="77"/>
        <v/>
      </c>
      <c r="CQ39" s="74" t="str">
        <f t="shared" ca="1" si="77"/>
        <v/>
      </c>
      <c r="CR39" s="74" t="str">
        <f t="shared" ca="1" si="77"/>
        <v/>
      </c>
      <c r="CS39" s="74" t="str">
        <f t="shared" ca="1" si="77"/>
        <v/>
      </c>
      <c r="CT39" s="74" t="str">
        <f t="shared" ca="1" si="77"/>
        <v/>
      </c>
      <c r="CU39" s="74" t="str">
        <f t="shared" ca="1" si="77"/>
        <v/>
      </c>
      <c r="CV39" s="74" t="str">
        <f t="shared" ca="1" si="78"/>
        <v/>
      </c>
      <c r="CW39" s="74" t="str">
        <f t="shared" ca="1" si="78"/>
        <v/>
      </c>
      <c r="CX39" s="74" t="str">
        <f t="shared" ca="1" si="78"/>
        <v/>
      </c>
      <c r="CY39" s="74" t="str">
        <f t="shared" ca="1" si="78"/>
        <v/>
      </c>
      <c r="CZ39" s="74" t="str">
        <f t="shared" ca="1" si="78"/>
        <v/>
      </c>
      <c r="DA39" s="74" t="str">
        <f t="shared" ca="1" si="78"/>
        <v/>
      </c>
      <c r="DB39" s="74" t="str">
        <f t="shared" ca="1" si="78"/>
        <v/>
      </c>
      <c r="DC39" s="74" t="str">
        <f t="shared" ca="1" si="78"/>
        <v/>
      </c>
      <c r="DD39" s="74" t="str">
        <f t="shared" ca="1" si="78"/>
        <v/>
      </c>
      <c r="DE39" s="74" t="str">
        <f t="shared" ca="1" si="78"/>
        <v/>
      </c>
      <c r="DF39" s="74" t="str">
        <f t="shared" ca="1" si="79"/>
        <v/>
      </c>
      <c r="DG39" s="74" t="str">
        <f t="shared" ca="1" si="79"/>
        <v/>
      </c>
      <c r="DH39" s="74" t="str">
        <f t="shared" ca="1" si="79"/>
        <v/>
      </c>
      <c r="DI39" s="74" t="str">
        <f t="shared" ca="1" si="79"/>
        <v/>
      </c>
      <c r="DJ39" s="74" t="str">
        <f t="shared" ca="1" si="79"/>
        <v/>
      </c>
      <c r="DK39" s="74" t="str">
        <f t="shared" ca="1" si="79"/>
        <v/>
      </c>
      <c r="DL39" s="74" t="str">
        <f t="shared" ca="1" si="79"/>
        <v/>
      </c>
      <c r="DM39" s="74" t="str">
        <f t="shared" ca="1" si="79"/>
        <v/>
      </c>
      <c r="DN39" s="74" t="str">
        <f t="shared" ca="1" si="79"/>
        <v/>
      </c>
      <c r="DO39" s="74" t="str">
        <f t="shared" ca="1" si="79"/>
        <v/>
      </c>
      <c r="DP39" s="74" t="str">
        <f t="shared" ca="1" si="80"/>
        <v/>
      </c>
      <c r="DQ39" s="74" t="str">
        <f t="shared" ca="1" si="80"/>
        <v/>
      </c>
      <c r="DR39" s="74" t="str">
        <f t="shared" ca="1" si="80"/>
        <v/>
      </c>
      <c r="DS39" s="74" t="str">
        <f t="shared" ca="1" si="80"/>
        <v/>
      </c>
      <c r="DT39" s="74" t="str">
        <f t="shared" ca="1" si="80"/>
        <v/>
      </c>
      <c r="DU39" s="74" t="str">
        <f t="shared" ca="1" si="80"/>
        <v/>
      </c>
      <c r="DV39" s="74" t="str">
        <f t="shared" ca="1" si="80"/>
        <v/>
      </c>
      <c r="DW39" s="74" t="str">
        <f t="shared" ca="1" si="80"/>
        <v/>
      </c>
      <c r="DX39" s="74" t="str">
        <f t="shared" ca="1" si="80"/>
        <v/>
      </c>
      <c r="DY39" s="74" t="str">
        <f t="shared" ca="1" si="80"/>
        <v/>
      </c>
      <c r="DZ39" s="74" t="str">
        <f t="shared" ca="1" si="81"/>
        <v/>
      </c>
      <c r="EA39" s="74" t="str">
        <f t="shared" ca="1" si="81"/>
        <v/>
      </c>
      <c r="EB39" s="74" t="str">
        <f t="shared" ca="1" si="81"/>
        <v/>
      </c>
      <c r="EC39" s="74" t="str">
        <f t="shared" ca="1" si="81"/>
        <v/>
      </c>
      <c r="ED39" s="74" t="str">
        <f t="shared" ca="1" si="81"/>
        <v/>
      </c>
      <c r="EE39" s="74" t="str">
        <f t="shared" ca="1" si="81"/>
        <v/>
      </c>
      <c r="EF39" s="74" t="str">
        <f t="shared" ca="1" si="81"/>
        <v/>
      </c>
      <c r="EG39" s="74" t="str">
        <f t="shared" ca="1" si="81"/>
        <v/>
      </c>
      <c r="EH39" s="74" t="str">
        <f t="shared" ca="1" si="81"/>
        <v/>
      </c>
      <c r="EI39" s="74" t="str">
        <f t="shared" ca="1" si="81"/>
        <v/>
      </c>
      <c r="EJ39" s="74" t="str">
        <f t="shared" ca="1" si="82"/>
        <v/>
      </c>
      <c r="EK39" s="74" t="str">
        <f t="shared" ca="1" si="82"/>
        <v/>
      </c>
      <c r="EL39" s="74" t="str">
        <f t="shared" ca="1" si="82"/>
        <v/>
      </c>
      <c r="EM39" s="74" t="str">
        <f t="shared" ca="1" si="82"/>
        <v/>
      </c>
      <c r="EN39" s="74" t="str">
        <f t="shared" ca="1" si="82"/>
        <v/>
      </c>
      <c r="EO39" s="74" t="str">
        <f t="shared" ca="1" si="82"/>
        <v/>
      </c>
      <c r="EP39" s="74" t="str">
        <f t="shared" ca="1" si="82"/>
        <v/>
      </c>
      <c r="EQ39" s="74" t="str">
        <f t="shared" ca="1" si="82"/>
        <v/>
      </c>
      <c r="ER39" s="74" t="str">
        <f t="shared" ca="1" si="82"/>
        <v/>
      </c>
      <c r="ES39" s="74" t="str">
        <f t="shared" ca="1" si="82"/>
        <v/>
      </c>
      <c r="ET39" s="74" t="str">
        <f t="shared" ca="1" si="83"/>
        <v/>
      </c>
      <c r="EU39" s="74" t="str">
        <f t="shared" ca="1" si="83"/>
        <v/>
      </c>
      <c r="EV39" s="74" t="str">
        <f t="shared" ca="1" si="83"/>
        <v/>
      </c>
      <c r="EW39" s="74" t="str">
        <f t="shared" ca="1" si="83"/>
        <v/>
      </c>
      <c r="EX39" s="74" t="str">
        <f t="shared" ca="1" si="83"/>
        <v/>
      </c>
      <c r="EY39" s="74" t="str">
        <f t="shared" ca="1" si="83"/>
        <v/>
      </c>
      <c r="EZ39" s="74" t="str">
        <f t="shared" ca="1" si="83"/>
        <v/>
      </c>
      <c r="FA39" s="74" t="str">
        <f t="shared" ca="1" si="83"/>
        <v/>
      </c>
      <c r="FB39" s="74" t="str">
        <f t="shared" ca="1" si="83"/>
        <v/>
      </c>
      <c r="FC39" s="74" t="str">
        <f t="shared" ca="1" si="83"/>
        <v/>
      </c>
      <c r="FD39" s="74" t="str">
        <f t="shared" ca="1" si="84"/>
        <v/>
      </c>
      <c r="FE39" s="74" t="str">
        <f t="shared" ca="1" si="84"/>
        <v/>
      </c>
      <c r="FF39" s="74" t="str">
        <f t="shared" ca="1" si="84"/>
        <v/>
      </c>
      <c r="FG39" s="74" t="str">
        <f t="shared" ca="1" si="84"/>
        <v/>
      </c>
      <c r="FH39" s="74" t="str">
        <f t="shared" ca="1" si="84"/>
        <v/>
      </c>
      <c r="FI39" s="74" t="str">
        <f t="shared" ca="1" si="84"/>
        <v/>
      </c>
      <c r="FJ39" s="74" t="str">
        <f t="shared" ca="1" si="84"/>
        <v/>
      </c>
      <c r="FK39" s="74" t="str">
        <f t="shared" ca="1" si="84"/>
        <v/>
      </c>
      <c r="FL39" s="74" t="str">
        <f t="shared" ca="1" si="84"/>
        <v/>
      </c>
      <c r="FM39" s="74" t="str">
        <f t="shared" ca="1" si="84"/>
        <v/>
      </c>
      <c r="FN39" s="74" t="str">
        <f t="shared" ca="1" si="85"/>
        <v/>
      </c>
      <c r="FO39" s="74" t="str">
        <f t="shared" ca="1" si="85"/>
        <v/>
      </c>
      <c r="FP39" s="74" t="str">
        <f t="shared" ca="1" si="85"/>
        <v/>
      </c>
      <c r="FQ39" s="74" t="str">
        <f t="shared" ca="1" si="85"/>
        <v/>
      </c>
      <c r="FR39" s="74" t="str">
        <f t="shared" ca="1" si="85"/>
        <v/>
      </c>
      <c r="FS39" s="74" t="str">
        <f t="shared" ca="1" si="85"/>
        <v/>
      </c>
      <c r="FT39" s="74" t="str">
        <f t="shared" ca="1" si="85"/>
        <v/>
      </c>
      <c r="FU39" s="74" t="str">
        <f t="shared" ca="1" si="85"/>
        <v/>
      </c>
      <c r="FV39" s="74" t="str">
        <f t="shared" ca="1" si="85"/>
        <v/>
      </c>
      <c r="FW39" s="74" t="str">
        <f t="shared" ca="1" si="85"/>
        <v/>
      </c>
      <c r="FX39" s="74" t="str">
        <f t="shared" ca="1" si="86"/>
        <v/>
      </c>
      <c r="FY39" s="74" t="str">
        <f t="shared" ca="1" si="86"/>
        <v/>
      </c>
      <c r="FZ39" s="74" t="str">
        <f t="shared" ca="1" si="86"/>
        <v/>
      </c>
      <c r="GA39" s="74" t="str">
        <f t="shared" ca="1" si="86"/>
        <v/>
      </c>
      <c r="GB39" s="74" t="str">
        <f t="shared" ca="1" si="86"/>
        <v/>
      </c>
      <c r="GC39" s="74" t="str">
        <f t="shared" ca="1" si="86"/>
        <v/>
      </c>
      <c r="GD39" s="74" t="str">
        <f t="shared" ca="1" si="86"/>
        <v/>
      </c>
      <c r="GE39" s="74" t="str">
        <f t="shared" ca="1" si="86"/>
        <v/>
      </c>
      <c r="GF39" s="74" t="str">
        <f t="shared" ca="1" si="86"/>
        <v/>
      </c>
      <c r="GG39" s="74" t="str">
        <f t="shared" ca="1" si="86"/>
        <v/>
      </c>
      <c r="GH39" s="74" t="str">
        <f t="shared" ca="1" si="87"/>
        <v/>
      </c>
      <c r="GI39" s="74" t="str">
        <f t="shared" ca="1" si="87"/>
        <v/>
      </c>
      <c r="GJ39" s="74" t="str">
        <f t="shared" ca="1" si="87"/>
        <v/>
      </c>
      <c r="GK39" s="74" t="str">
        <f t="shared" ca="1" si="87"/>
        <v/>
      </c>
      <c r="GL39" s="74" t="str">
        <f t="shared" ca="1" si="87"/>
        <v/>
      </c>
      <c r="GM39" s="74" t="str">
        <f t="shared" ca="1" si="87"/>
        <v/>
      </c>
      <c r="GN39" s="74" t="str">
        <f t="shared" ca="1" si="87"/>
        <v/>
      </c>
      <c r="GO39" s="74" t="str">
        <f t="shared" ca="1" si="87"/>
        <v/>
      </c>
      <c r="GP39" s="74" t="str">
        <f t="shared" ca="1" si="87"/>
        <v/>
      </c>
      <c r="GQ39" s="74" t="str">
        <f t="shared" ca="1" si="87"/>
        <v/>
      </c>
      <c r="GR39" s="74" t="str">
        <f t="shared" ca="1" si="88"/>
        <v/>
      </c>
      <c r="GS39" s="74" t="str">
        <f t="shared" ca="1" si="88"/>
        <v/>
      </c>
      <c r="GT39" s="74" t="str">
        <f t="shared" ca="1" si="88"/>
        <v/>
      </c>
      <c r="GU39" s="74" t="str">
        <f t="shared" ca="1" si="88"/>
        <v/>
      </c>
      <c r="GV39" s="74" t="str">
        <f t="shared" ca="1" si="88"/>
        <v/>
      </c>
      <c r="GW39" s="74" t="str">
        <f t="shared" ca="1" si="88"/>
        <v/>
      </c>
      <c r="GX39" s="74" t="str">
        <f t="shared" ca="1" si="88"/>
        <v/>
      </c>
      <c r="GY39" s="74" t="str">
        <f t="shared" ca="1" si="88"/>
        <v/>
      </c>
      <c r="GZ39" s="74" t="str">
        <f t="shared" ca="1" si="88"/>
        <v/>
      </c>
      <c r="HA39" s="74" t="str">
        <f t="shared" ca="1" si="88"/>
        <v/>
      </c>
      <c r="HB39" s="74" t="str">
        <f t="shared" ca="1" si="89"/>
        <v/>
      </c>
      <c r="HC39" s="74" t="str">
        <f t="shared" ca="1" si="89"/>
        <v/>
      </c>
      <c r="HD39" s="74" t="str">
        <f t="shared" ca="1" si="89"/>
        <v/>
      </c>
      <c r="HE39" s="74" t="str">
        <f t="shared" ca="1" si="89"/>
        <v/>
      </c>
      <c r="HF39" s="74" t="str">
        <f t="shared" ca="1" si="89"/>
        <v/>
      </c>
      <c r="HG39" s="74" t="str">
        <f t="shared" ca="1" si="89"/>
        <v/>
      </c>
      <c r="HH39" s="74" t="str">
        <f t="shared" ca="1" si="89"/>
        <v/>
      </c>
      <c r="HI39" s="74" t="str">
        <f t="shared" ca="1" si="89"/>
        <v/>
      </c>
      <c r="HJ39" s="74" t="str">
        <f t="shared" ca="1" si="89"/>
        <v/>
      </c>
      <c r="HK39" s="74" t="str">
        <f t="shared" ca="1" si="89"/>
        <v/>
      </c>
      <c r="HL39" s="74" t="str">
        <f t="shared" ca="1" si="90"/>
        <v/>
      </c>
      <c r="HM39" s="74" t="str">
        <f t="shared" ca="1" si="90"/>
        <v/>
      </c>
      <c r="HN39" s="74" t="str">
        <f t="shared" ca="1" si="90"/>
        <v/>
      </c>
      <c r="HO39" s="74" t="str">
        <f t="shared" ca="1" si="90"/>
        <v/>
      </c>
      <c r="HP39" s="74" t="str">
        <f t="shared" ca="1" si="90"/>
        <v/>
      </c>
      <c r="HQ39" s="74" t="str">
        <f t="shared" ca="1" si="90"/>
        <v/>
      </c>
      <c r="HR39" s="74" t="str">
        <f t="shared" ca="1" si="90"/>
        <v/>
      </c>
      <c r="HS39" s="74" t="str">
        <f t="shared" ca="1" si="90"/>
        <v/>
      </c>
      <c r="HT39" s="74" t="str">
        <f t="shared" ca="1" si="90"/>
        <v/>
      </c>
      <c r="HU39" s="74" t="str">
        <f t="shared" ca="1" si="90"/>
        <v/>
      </c>
      <c r="HV39" s="74" t="str">
        <f t="shared" ca="1" si="91"/>
        <v/>
      </c>
      <c r="HW39" s="74" t="str">
        <f t="shared" ca="1" si="91"/>
        <v/>
      </c>
      <c r="HX39" s="74" t="str">
        <f t="shared" ca="1" si="91"/>
        <v/>
      </c>
      <c r="HY39" s="74" t="str">
        <f t="shared" ca="1" si="91"/>
        <v/>
      </c>
      <c r="HZ39" s="74" t="str">
        <f t="shared" ca="1" si="91"/>
        <v/>
      </c>
      <c r="IA39" s="74" t="str">
        <f t="shared" ca="1" si="91"/>
        <v/>
      </c>
      <c r="IB39" s="74" t="str">
        <f t="shared" ca="1" si="91"/>
        <v/>
      </c>
      <c r="IC39" s="74" t="str">
        <f t="shared" ca="1" si="91"/>
        <v/>
      </c>
      <c r="ID39" s="74" t="str">
        <f t="shared" ca="1" si="91"/>
        <v/>
      </c>
      <c r="IE39" s="74" t="str">
        <f t="shared" ca="1" si="91"/>
        <v/>
      </c>
      <c r="IF39" s="74" t="str">
        <f t="shared" ca="1" si="92"/>
        <v/>
      </c>
      <c r="IG39" s="74" t="str">
        <f t="shared" ca="1" si="92"/>
        <v/>
      </c>
      <c r="IH39" s="74" t="str">
        <f t="shared" ca="1" si="92"/>
        <v/>
      </c>
      <c r="II39" s="74" t="str">
        <f t="shared" ca="1" si="92"/>
        <v/>
      </c>
      <c r="IJ39" s="74" t="str">
        <f t="shared" ca="1" si="92"/>
        <v/>
      </c>
      <c r="IK39" s="74" t="str">
        <f t="shared" ca="1" si="92"/>
        <v/>
      </c>
      <c r="IL39" s="74" t="str">
        <f t="shared" ca="1" si="92"/>
        <v/>
      </c>
      <c r="IM39" s="74" t="str">
        <f t="shared" ca="1" si="92"/>
        <v/>
      </c>
      <c r="IN39" s="74" t="str">
        <f t="shared" ca="1" si="92"/>
        <v/>
      </c>
      <c r="IO39" s="74" t="str">
        <f t="shared" ca="1" si="92"/>
        <v/>
      </c>
      <c r="IP39" s="74" t="str">
        <f t="shared" ca="1" si="93"/>
        <v/>
      </c>
      <c r="IQ39" s="74" t="str">
        <f t="shared" ca="1" si="93"/>
        <v/>
      </c>
      <c r="IR39" s="74" t="str">
        <f t="shared" ca="1" si="93"/>
        <v/>
      </c>
      <c r="IS39" s="74" t="str">
        <f t="shared" ca="1" si="93"/>
        <v/>
      </c>
      <c r="IT39" s="74" t="str">
        <f t="shared" ca="1" si="93"/>
        <v/>
      </c>
      <c r="IU39" s="74" t="str">
        <f t="shared" ca="1" si="93"/>
        <v/>
      </c>
      <c r="IV39" s="74" t="str">
        <f t="shared" ca="1" si="93"/>
        <v/>
      </c>
      <c r="IW39" s="74" t="str">
        <f t="shared" ca="1" si="93"/>
        <v/>
      </c>
      <c r="IX39" s="74" t="str">
        <f t="shared" ca="1" si="93"/>
        <v/>
      </c>
      <c r="IY39" s="74" t="str">
        <f t="shared" ca="1" si="93"/>
        <v/>
      </c>
      <c r="IZ39" s="74" t="str">
        <f t="shared" ca="1" si="94"/>
        <v/>
      </c>
      <c r="JA39" s="74" t="str">
        <f t="shared" ca="1" si="94"/>
        <v/>
      </c>
      <c r="JB39" s="74" t="str">
        <f t="shared" ca="1" si="94"/>
        <v/>
      </c>
      <c r="JC39" s="74" t="str">
        <f t="shared" ca="1" si="94"/>
        <v/>
      </c>
      <c r="JD39" s="74" t="str">
        <f t="shared" ca="1" si="94"/>
        <v/>
      </c>
      <c r="JE39" s="74" t="str">
        <f t="shared" ca="1" si="94"/>
        <v/>
      </c>
      <c r="JF39" s="74" t="str">
        <f t="shared" ca="1" si="94"/>
        <v/>
      </c>
      <c r="JG39" s="74" t="str">
        <f t="shared" ca="1" si="94"/>
        <v/>
      </c>
      <c r="JH39" s="74" t="str">
        <f t="shared" ca="1" si="94"/>
        <v/>
      </c>
      <c r="JI39" s="74" t="str">
        <f t="shared" ca="1" si="94"/>
        <v/>
      </c>
      <c r="JJ39" s="74" t="str">
        <f t="shared" ca="1" si="95"/>
        <v/>
      </c>
      <c r="JK39" s="74" t="str">
        <f t="shared" ca="1" si="95"/>
        <v/>
      </c>
      <c r="JL39" s="74" t="str">
        <f t="shared" ca="1" si="95"/>
        <v/>
      </c>
      <c r="JM39" s="74" t="str">
        <f t="shared" ca="1" si="95"/>
        <v/>
      </c>
      <c r="JN39" s="74" t="str">
        <f t="shared" ca="1" si="95"/>
        <v/>
      </c>
      <c r="JO39" s="74" t="str">
        <f t="shared" ca="1" si="95"/>
        <v/>
      </c>
      <c r="JP39" s="74" t="str">
        <f t="shared" ca="1" si="95"/>
        <v/>
      </c>
      <c r="JQ39" s="74" t="str">
        <f t="shared" ca="1" si="95"/>
        <v/>
      </c>
      <c r="JR39" s="74" t="str">
        <f t="shared" ca="1" si="95"/>
        <v/>
      </c>
      <c r="JS39" s="74" t="str">
        <f t="shared" ca="1" si="95"/>
        <v/>
      </c>
      <c r="JT39" s="74" t="str">
        <f t="shared" ca="1" si="96"/>
        <v/>
      </c>
      <c r="JU39" s="74" t="str">
        <f t="shared" ca="1" si="96"/>
        <v/>
      </c>
      <c r="JV39" s="74" t="str">
        <f t="shared" ca="1" si="96"/>
        <v/>
      </c>
      <c r="JW39" s="74" t="str">
        <f t="shared" ca="1" si="96"/>
        <v/>
      </c>
      <c r="JX39" s="74" t="str">
        <f t="shared" ca="1" si="96"/>
        <v/>
      </c>
      <c r="JY39" s="74" t="str">
        <f t="shared" ca="1" si="96"/>
        <v/>
      </c>
      <c r="JZ39" s="74" t="str">
        <f t="shared" ca="1" si="96"/>
        <v/>
      </c>
      <c r="KA39" s="74" t="str">
        <f t="shared" ca="1" si="96"/>
        <v/>
      </c>
      <c r="KB39" s="74" t="str">
        <f t="shared" ca="1" si="96"/>
        <v/>
      </c>
      <c r="KC39" s="74" t="str">
        <f t="shared" ca="1" si="96"/>
        <v/>
      </c>
      <c r="KD39" s="74" t="str">
        <f t="shared" ca="1" si="97"/>
        <v/>
      </c>
      <c r="KE39" s="74" t="str">
        <f t="shared" ca="1" si="97"/>
        <v/>
      </c>
      <c r="KF39" s="74" t="str">
        <f t="shared" ca="1" si="97"/>
        <v/>
      </c>
      <c r="KG39" s="74" t="str">
        <f t="shared" ca="1" si="97"/>
        <v/>
      </c>
      <c r="KH39" s="74" t="str">
        <f t="shared" ca="1" si="97"/>
        <v/>
      </c>
      <c r="KI39" s="74" t="str">
        <f t="shared" ca="1" si="97"/>
        <v/>
      </c>
      <c r="KJ39" s="74" t="str">
        <f t="shared" ca="1" si="97"/>
        <v/>
      </c>
      <c r="KK39" s="74" t="str">
        <f t="shared" ca="1" si="97"/>
        <v/>
      </c>
      <c r="KL39" s="74" t="str">
        <f t="shared" ca="1" si="97"/>
        <v/>
      </c>
      <c r="KM39" s="74" t="str">
        <f t="shared" ca="1" si="97"/>
        <v/>
      </c>
      <c r="KN39" s="74" t="str">
        <f t="shared" ca="1" si="98"/>
        <v/>
      </c>
      <c r="KO39" s="74" t="str">
        <f t="shared" ca="1" si="98"/>
        <v/>
      </c>
      <c r="KP39" s="74" t="str">
        <f t="shared" ca="1" si="98"/>
        <v/>
      </c>
      <c r="KQ39" s="74" t="str">
        <f t="shared" ca="1" si="98"/>
        <v/>
      </c>
      <c r="KR39" s="74" t="str">
        <f t="shared" ca="1" si="98"/>
        <v/>
      </c>
      <c r="KS39" s="74" t="str">
        <f t="shared" ca="1" si="98"/>
        <v/>
      </c>
      <c r="KT39" s="74" t="str">
        <f t="shared" ca="1" si="98"/>
        <v/>
      </c>
      <c r="KU39" s="74" t="str">
        <f t="shared" ca="1" si="98"/>
        <v/>
      </c>
      <c r="KV39" s="74" t="str">
        <f t="shared" ca="1" si="98"/>
        <v/>
      </c>
      <c r="KW39" s="74" t="str">
        <f t="shared" ca="1" si="98"/>
        <v/>
      </c>
      <c r="KX39" s="74" t="str">
        <f t="shared" ca="1" si="99"/>
        <v/>
      </c>
      <c r="KY39" s="74" t="str">
        <f t="shared" ca="1" si="99"/>
        <v/>
      </c>
      <c r="KZ39" s="74" t="str">
        <f t="shared" ca="1" si="99"/>
        <v/>
      </c>
      <c r="LA39" s="74" t="str">
        <f t="shared" ca="1" si="99"/>
        <v/>
      </c>
      <c r="LB39" s="74" t="str">
        <f t="shared" ca="1" si="99"/>
        <v/>
      </c>
      <c r="LC39" s="74" t="str">
        <f t="shared" ca="1" si="99"/>
        <v/>
      </c>
      <c r="LD39" s="74" t="str">
        <f t="shared" ca="1" si="99"/>
        <v/>
      </c>
      <c r="LE39" s="74" t="str">
        <f t="shared" ca="1" si="99"/>
        <v/>
      </c>
      <c r="LF39" s="74" t="str">
        <f t="shared" ca="1" si="99"/>
        <v/>
      </c>
      <c r="LG39" s="74" t="str">
        <f t="shared" ca="1" si="99"/>
        <v/>
      </c>
      <c r="LH39" s="74" t="str">
        <f t="shared" ca="1" si="100"/>
        <v/>
      </c>
      <c r="LI39" s="74" t="str">
        <f t="shared" ca="1" si="100"/>
        <v/>
      </c>
      <c r="LJ39" s="74" t="str">
        <f t="shared" ca="1" si="100"/>
        <v/>
      </c>
      <c r="LK39" s="74" t="str">
        <f t="shared" ca="1" si="100"/>
        <v/>
      </c>
      <c r="LL39" s="74" t="str">
        <f t="shared" ca="1" si="100"/>
        <v/>
      </c>
      <c r="LM39" s="74" t="str">
        <f t="shared" ca="1" si="100"/>
        <v/>
      </c>
      <c r="LN39" s="74" t="str">
        <f t="shared" ca="1" si="100"/>
        <v/>
      </c>
      <c r="LO39" s="74" t="str">
        <f t="shared" ca="1" si="100"/>
        <v/>
      </c>
      <c r="LP39" s="74" t="str">
        <f t="shared" ca="1" si="100"/>
        <v/>
      </c>
      <c r="LQ39" s="74" t="str">
        <f t="shared" ca="1" si="100"/>
        <v/>
      </c>
      <c r="LR39" s="74" t="str">
        <f t="shared" ca="1" si="101"/>
        <v/>
      </c>
      <c r="LS39" s="74" t="str">
        <f t="shared" ca="1" si="101"/>
        <v/>
      </c>
      <c r="LT39" s="74" t="str">
        <f t="shared" ca="1" si="101"/>
        <v/>
      </c>
      <c r="LU39" s="74" t="str">
        <f t="shared" ca="1" si="101"/>
        <v/>
      </c>
      <c r="LV39" s="74" t="str">
        <f t="shared" ca="1" si="101"/>
        <v/>
      </c>
      <c r="LW39" s="74" t="str">
        <f t="shared" ca="1" si="101"/>
        <v/>
      </c>
      <c r="LX39" s="74" t="str">
        <f t="shared" ca="1" si="101"/>
        <v/>
      </c>
      <c r="LY39" s="74" t="str">
        <f t="shared" ca="1" si="101"/>
        <v/>
      </c>
      <c r="LZ39" s="74" t="str">
        <f t="shared" ca="1" si="101"/>
        <v/>
      </c>
      <c r="MA39" s="74" t="str">
        <f t="shared" ca="1" si="101"/>
        <v/>
      </c>
      <c r="MB39" s="74" t="str">
        <f t="shared" ca="1" si="102"/>
        <v/>
      </c>
      <c r="MC39" s="74" t="str">
        <f t="shared" ca="1" si="102"/>
        <v/>
      </c>
      <c r="MD39" s="74" t="str">
        <f t="shared" ca="1" si="102"/>
        <v/>
      </c>
      <c r="ME39" s="74" t="str">
        <f t="shared" ca="1" si="102"/>
        <v/>
      </c>
      <c r="MF39" s="74" t="str">
        <f t="shared" ca="1" si="102"/>
        <v/>
      </c>
      <c r="MG39" s="74" t="str">
        <f t="shared" ca="1" si="102"/>
        <v/>
      </c>
      <c r="MH39" s="74" t="str">
        <f t="shared" ca="1" si="102"/>
        <v/>
      </c>
      <c r="MI39" s="74" t="str">
        <f t="shared" ca="1" si="102"/>
        <v/>
      </c>
      <c r="MJ39" s="74" t="str">
        <f t="shared" ca="1" si="102"/>
        <v/>
      </c>
      <c r="MK39" s="74" t="str">
        <f t="shared" ca="1" si="102"/>
        <v/>
      </c>
      <c r="ML39" s="74" t="str">
        <f t="shared" ca="1" si="103"/>
        <v/>
      </c>
      <c r="MM39" s="74" t="str">
        <f t="shared" ca="1" si="103"/>
        <v/>
      </c>
      <c r="MN39" s="74" t="str">
        <f t="shared" ca="1" si="103"/>
        <v/>
      </c>
      <c r="MO39" s="74" t="str">
        <f t="shared" ca="1" si="103"/>
        <v/>
      </c>
      <c r="MP39" s="74" t="str">
        <f t="shared" ca="1" si="103"/>
        <v/>
      </c>
      <c r="MQ39" s="74" t="str">
        <f t="shared" ca="1" si="103"/>
        <v/>
      </c>
      <c r="MR39" s="74" t="str">
        <f t="shared" ca="1" si="103"/>
        <v/>
      </c>
      <c r="MS39" s="74" t="str">
        <f t="shared" ca="1" si="103"/>
        <v/>
      </c>
      <c r="MT39" s="74" t="str">
        <f t="shared" ca="1" si="103"/>
        <v/>
      </c>
      <c r="MU39" s="74" t="str">
        <f t="shared" ca="1" si="103"/>
        <v/>
      </c>
      <c r="MV39" s="74" t="str">
        <f t="shared" ca="1" si="104"/>
        <v/>
      </c>
      <c r="MW39" s="74" t="str">
        <f t="shared" ca="1" si="104"/>
        <v/>
      </c>
      <c r="MX39" s="74" t="str">
        <f t="shared" ca="1" si="104"/>
        <v/>
      </c>
      <c r="MY39" s="74" t="str">
        <f t="shared" ca="1" si="104"/>
        <v/>
      </c>
      <c r="MZ39" s="74" t="str">
        <f t="shared" ca="1" si="104"/>
        <v/>
      </c>
      <c r="NA39" s="74" t="str">
        <f t="shared" ca="1" si="104"/>
        <v/>
      </c>
      <c r="NB39" s="74" t="str">
        <f t="shared" ca="1" si="104"/>
        <v/>
      </c>
      <c r="NC39" s="74" t="str">
        <f t="shared" ca="1" si="104"/>
        <v/>
      </c>
      <c r="ND39" s="74" t="str">
        <f t="shared" ca="1" si="104"/>
        <v/>
      </c>
      <c r="NE39" s="74" t="str">
        <f t="shared" ca="1" si="104"/>
        <v/>
      </c>
      <c r="NF39" s="74" t="str">
        <f t="shared" ca="1" si="105"/>
        <v/>
      </c>
      <c r="NG39" s="74" t="str">
        <f t="shared" ca="1" si="105"/>
        <v/>
      </c>
      <c r="NH39" s="74" t="str">
        <f t="shared" ca="1" si="105"/>
        <v/>
      </c>
      <c r="NI39" s="74" t="str">
        <f t="shared" ca="1" si="105"/>
        <v/>
      </c>
      <c r="NJ39" s="74" t="str">
        <f t="shared" ca="1" si="105"/>
        <v/>
      </c>
      <c r="NK39" s="74" t="str">
        <f t="shared" ca="1" si="105"/>
        <v/>
      </c>
      <c r="NL39" s="74" t="str">
        <f t="shared" ca="1" si="105"/>
        <v/>
      </c>
      <c r="NM39" s="74" t="str">
        <f t="shared" ca="1" si="105"/>
        <v/>
      </c>
      <c r="NN39" s="74" t="str">
        <f t="shared" ca="1" si="105"/>
        <v/>
      </c>
      <c r="NO39" s="74" t="str">
        <f t="shared" ca="1" si="105"/>
        <v/>
      </c>
      <c r="NP39" s="74" t="str">
        <f t="shared" ca="1" si="106"/>
        <v/>
      </c>
      <c r="NQ39" s="74" t="str">
        <f t="shared" ca="1" si="106"/>
        <v/>
      </c>
      <c r="NR39" s="74" t="str">
        <f t="shared" ca="1" si="106"/>
        <v/>
      </c>
      <c r="NS39" s="74" t="str">
        <f t="shared" ca="1" si="106"/>
        <v/>
      </c>
      <c r="NT39" s="74" t="str">
        <f t="shared" ca="1" si="106"/>
        <v/>
      </c>
      <c r="NU39" s="74" t="str">
        <f t="shared" ca="1" si="106"/>
        <v/>
      </c>
      <c r="NV39" s="74" t="str">
        <f t="shared" ca="1" si="106"/>
        <v/>
      </c>
      <c r="NW39" s="74" t="str">
        <f t="shared" ca="1" si="106"/>
        <v/>
      </c>
      <c r="NX39" s="74" t="str">
        <f t="shared" ca="1" si="106"/>
        <v/>
      </c>
      <c r="NY39" s="74" t="str">
        <f t="shared" ca="1" si="106"/>
        <v/>
      </c>
      <c r="NZ39" s="74" t="str">
        <f t="shared" ca="1" si="107"/>
        <v/>
      </c>
      <c r="OA39" s="74" t="str">
        <f t="shared" ca="1" si="107"/>
        <v/>
      </c>
      <c r="OB39" s="74" t="str">
        <f t="shared" ca="1" si="107"/>
        <v/>
      </c>
      <c r="OC39" s="74" t="str">
        <f t="shared" ca="1" si="107"/>
        <v/>
      </c>
      <c r="OD39" s="74" t="str">
        <f t="shared" ca="1" si="107"/>
        <v/>
      </c>
      <c r="OE39" s="74" t="str">
        <f t="shared" ca="1" si="107"/>
        <v/>
      </c>
      <c r="OF39" s="74" t="str">
        <f t="shared" ca="1" si="107"/>
        <v/>
      </c>
      <c r="OG39" s="74" t="str">
        <f t="shared" ca="1" si="107"/>
        <v/>
      </c>
      <c r="OH39" s="74" t="str">
        <f t="shared" ca="1" si="107"/>
        <v/>
      </c>
      <c r="OI39" s="74" t="str">
        <f t="shared" ca="1" si="107"/>
        <v/>
      </c>
      <c r="OJ39" s="74" t="str">
        <f t="shared" ca="1" si="108"/>
        <v/>
      </c>
      <c r="OK39" s="74" t="str">
        <f t="shared" ca="1" si="108"/>
        <v/>
      </c>
      <c r="OL39" s="74" t="str">
        <f t="shared" ca="1" si="108"/>
        <v/>
      </c>
      <c r="OM39" s="74" t="str">
        <f t="shared" ca="1" si="108"/>
        <v/>
      </c>
      <c r="ON39" s="74" t="str">
        <f t="shared" ca="1" si="108"/>
        <v/>
      </c>
      <c r="OO39" s="74" t="str">
        <f t="shared" ca="1" si="108"/>
        <v/>
      </c>
      <c r="OP39" s="74" t="str">
        <f t="shared" ca="1" si="108"/>
        <v/>
      </c>
      <c r="OQ39" s="74" t="str">
        <f t="shared" ca="1" si="108"/>
        <v/>
      </c>
      <c r="OR39" s="74" t="str">
        <f t="shared" ca="1" si="108"/>
        <v/>
      </c>
      <c r="OS39" s="74" t="str">
        <f t="shared" ca="1" si="108"/>
        <v/>
      </c>
      <c r="OT39" s="74" t="str">
        <f t="shared" ca="1" si="109"/>
        <v/>
      </c>
      <c r="OU39" s="74" t="str">
        <f t="shared" ca="1" si="109"/>
        <v/>
      </c>
      <c r="OV39" s="74" t="str">
        <f t="shared" ca="1" si="109"/>
        <v/>
      </c>
      <c r="OW39" s="74" t="str">
        <f t="shared" ca="1" si="109"/>
        <v/>
      </c>
      <c r="OX39" s="74" t="str">
        <f t="shared" ca="1" si="109"/>
        <v/>
      </c>
      <c r="OY39" s="74" t="str">
        <f t="shared" ca="1" si="109"/>
        <v/>
      </c>
      <c r="OZ39" s="74" t="str">
        <f t="shared" ca="1" si="109"/>
        <v/>
      </c>
      <c r="PA39" s="74" t="str">
        <f t="shared" ca="1" si="109"/>
        <v/>
      </c>
      <c r="PB39" s="74" t="str">
        <f t="shared" ca="1" si="109"/>
        <v/>
      </c>
      <c r="PC39" s="74" t="str">
        <f t="shared" ca="1" si="109"/>
        <v/>
      </c>
      <c r="PD39" s="74" t="str">
        <f t="shared" ca="1" si="110"/>
        <v/>
      </c>
      <c r="PE39" s="74" t="str">
        <f t="shared" ca="1" si="110"/>
        <v/>
      </c>
      <c r="PF39" s="74" t="str">
        <f t="shared" ca="1" si="110"/>
        <v/>
      </c>
      <c r="PG39" s="74" t="str">
        <f t="shared" ca="1" si="110"/>
        <v/>
      </c>
      <c r="PH39" s="74" t="str">
        <f t="shared" ca="1" si="110"/>
        <v/>
      </c>
      <c r="PI39" s="74" t="str">
        <f t="shared" ca="1" si="110"/>
        <v/>
      </c>
      <c r="PJ39" s="74" t="str">
        <f t="shared" ca="1" si="110"/>
        <v/>
      </c>
      <c r="PK39" s="74" t="str">
        <f t="shared" ca="1" si="110"/>
        <v/>
      </c>
      <c r="PL39" s="74" t="str">
        <f t="shared" ca="1" si="110"/>
        <v/>
      </c>
      <c r="PM39" s="74" t="str">
        <f t="shared" ca="1" si="110"/>
        <v/>
      </c>
      <c r="PN39" s="74" t="str">
        <f t="shared" ca="1" si="111"/>
        <v/>
      </c>
      <c r="PO39" s="74" t="str">
        <f t="shared" ca="1" si="111"/>
        <v/>
      </c>
      <c r="PP39" s="74" t="str">
        <f t="shared" ca="1" si="111"/>
        <v/>
      </c>
      <c r="PQ39" s="74" t="str">
        <f t="shared" ca="1" si="111"/>
        <v/>
      </c>
      <c r="PR39" s="74" t="str">
        <f t="shared" ca="1" si="111"/>
        <v/>
      </c>
      <c r="PS39" s="74" t="str">
        <f t="shared" ca="1" si="111"/>
        <v/>
      </c>
      <c r="PT39" s="74" t="str">
        <f t="shared" ca="1" si="111"/>
        <v/>
      </c>
      <c r="PU39" s="74" t="str">
        <f t="shared" ca="1" si="111"/>
        <v/>
      </c>
      <c r="PV39" s="74" t="str">
        <f t="shared" ca="1" si="111"/>
        <v/>
      </c>
      <c r="PW39" s="74" t="str">
        <f t="shared" ca="1" si="111"/>
        <v/>
      </c>
      <c r="PX39" s="74" t="str">
        <f t="shared" ca="1" si="112"/>
        <v/>
      </c>
      <c r="PY39" s="74" t="str">
        <f t="shared" ca="1" si="112"/>
        <v/>
      </c>
      <c r="PZ39" s="74" t="str">
        <f t="shared" ca="1" si="112"/>
        <v/>
      </c>
      <c r="QA39" s="74" t="str">
        <f t="shared" ca="1" si="112"/>
        <v/>
      </c>
      <c r="QB39" s="74" t="str">
        <f t="shared" ca="1" si="112"/>
        <v/>
      </c>
      <c r="QC39" s="74" t="str">
        <f t="shared" ca="1" si="112"/>
        <v/>
      </c>
      <c r="QD39" s="74" t="str">
        <f t="shared" ca="1" si="112"/>
        <v/>
      </c>
      <c r="QE39" s="74" t="str">
        <f t="shared" ca="1" si="112"/>
        <v/>
      </c>
      <c r="QF39" s="74" t="str">
        <f t="shared" ca="1" si="112"/>
        <v/>
      </c>
      <c r="QG39" s="74" t="str">
        <f t="shared" ca="1" si="112"/>
        <v/>
      </c>
      <c r="QH39" s="74" t="str">
        <f t="shared" ca="1" si="113"/>
        <v/>
      </c>
      <c r="QI39" s="74" t="str">
        <f t="shared" ca="1" si="113"/>
        <v/>
      </c>
      <c r="QJ39" s="74" t="str">
        <f t="shared" ca="1" si="113"/>
        <v/>
      </c>
      <c r="QK39" s="74" t="str">
        <f t="shared" ca="1" si="113"/>
        <v/>
      </c>
      <c r="QL39" s="74" t="str">
        <f t="shared" ca="1" si="113"/>
        <v/>
      </c>
      <c r="QM39" s="74" t="str">
        <f t="shared" ca="1" si="113"/>
        <v/>
      </c>
      <c r="QN39" s="74" t="str">
        <f t="shared" ca="1" si="113"/>
        <v/>
      </c>
      <c r="QO39" s="74" t="str">
        <f t="shared" ca="1" si="113"/>
        <v/>
      </c>
      <c r="QP39" s="74" t="str">
        <f t="shared" ca="1" si="113"/>
        <v/>
      </c>
      <c r="QQ39" s="74" t="str">
        <f t="shared" ca="1" si="113"/>
        <v/>
      </c>
      <c r="QR39" s="74" t="str">
        <f t="shared" ca="1" si="114"/>
        <v/>
      </c>
      <c r="QS39" s="74" t="str">
        <f t="shared" ca="1" si="114"/>
        <v/>
      </c>
      <c r="QT39" s="74" t="str">
        <f t="shared" ca="1" si="114"/>
        <v/>
      </c>
      <c r="QU39" s="74" t="str">
        <f t="shared" ca="1" si="114"/>
        <v/>
      </c>
      <c r="QV39" s="74" t="str">
        <f t="shared" ca="1" si="114"/>
        <v/>
      </c>
      <c r="QW39" s="74" t="str">
        <f t="shared" ca="1" si="114"/>
        <v/>
      </c>
      <c r="QX39" s="74" t="str">
        <f t="shared" ca="1" si="114"/>
        <v/>
      </c>
      <c r="QY39" s="74" t="str">
        <f t="shared" ca="1" si="114"/>
        <v/>
      </c>
      <c r="QZ39" s="74" t="str">
        <f t="shared" ca="1" si="114"/>
        <v/>
      </c>
      <c r="RA39" s="74" t="str">
        <f t="shared" ca="1" si="114"/>
        <v/>
      </c>
      <c r="RB39" s="74" t="str">
        <f t="shared" ca="1" si="115"/>
        <v/>
      </c>
      <c r="RC39" s="74" t="str">
        <f t="shared" ca="1" si="115"/>
        <v/>
      </c>
      <c r="RD39" s="74" t="str">
        <f t="shared" ca="1" si="115"/>
        <v/>
      </c>
      <c r="RE39" s="74" t="str">
        <f t="shared" ca="1" si="115"/>
        <v/>
      </c>
      <c r="RF39" s="74" t="str">
        <f t="shared" ca="1" si="115"/>
        <v/>
      </c>
      <c r="RG39" s="74" t="str">
        <f t="shared" ca="1" si="115"/>
        <v/>
      </c>
      <c r="RH39" s="74" t="str">
        <f t="shared" ca="1" si="115"/>
        <v/>
      </c>
      <c r="RI39" s="74" t="str">
        <f t="shared" ca="1" si="115"/>
        <v/>
      </c>
      <c r="RJ39" s="74" t="str">
        <f t="shared" ca="1" si="115"/>
        <v/>
      </c>
      <c r="RK39" s="74" t="str">
        <f t="shared" ca="1" si="115"/>
        <v/>
      </c>
      <c r="RL39" s="74" t="str">
        <f t="shared" ca="1" si="116"/>
        <v/>
      </c>
      <c r="RM39" s="74" t="str">
        <f t="shared" ca="1" si="116"/>
        <v/>
      </c>
      <c r="RN39" s="74" t="str">
        <f t="shared" ca="1" si="116"/>
        <v/>
      </c>
      <c r="RO39" s="74" t="str">
        <f t="shared" ca="1" si="116"/>
        <v/>
      </c>
      <c r="RP39" s="74" t="str">
        <f t="shared" ca="1" si="116"/>
        <v/>
      </c>
      <c r="RQ39" s="74" t="str">
        <f t="shared" ca="1" si="116"/>
        <v/>
      </c>
      <c r="RR39" s="74" t="str">
        <f t="shared" ca="1" si="116"/>
        <v/>
      </c>
      <c r="RS39" s="74" t="str">
        <f t="shared" ca="1" si="116"/>
        <v/>
      </c>
      <c r="RT39" s="74" t="str">
        <f t="shared" ca="1" si="116"/>
        <v/>
      </c>
      <c r="RU39" s="74" t="str">
        <f t="shared" ca="1" si="116"/>
        <v/>
      </c>
      <c r="RV39" s="74" t="str">
        <f t="shared" ca="1" si="117"/>
        <v/>
      </c>
      <c r="RW39" s="74" t="str">
        <f t="shared" ca="1" si="117"/>
        <v/>
      </c>
      <c r="RX39" s="74" t="str">
        <f t="shared" ca="1" si="117"/>
        <v/>
      </c>
      <c r="RY39" s="74" t="str">
        <f t="shared" ca="1" si="117"/>
        <v/>
      </c>
      <c r="RZ39" s="74" t="str">
        <f t="shared" ca="1" si="117"/>
        <v/>
      </c>
      <c r="SA39" s="74" t="str">
        <f t="shared" ca="1" si="117"/>
        <v/>
      </c>
      <c r="SB39" s="74" t="str">
        <f t="shared" ca="1" si="117"/>
        <v/>
      </c>
      <c r="SC39" s="74" t="str">
        <f t="shared" ca="1" si="117"/>
        <v/>
      </c>
      <c r="SD39" s="74" t="str">
        <f t="shared" ca="1" si="117"/>
        <v/>
      </c>
      <c r="SE39" s="74" t="str">
        <f t="shared" ca="1" si="117"/>
        <v/>
      </c>
      <c r="SF39" s="74" t="str">
        <f t="shared" ca="1" si="118"/>
        <v/>
      </c>
      <c r="SG39" s="74" t="str">
        <f t="shared" ca="1" si="118"/>
        <v/>
      </c>
      <c r="SH39" s="74" t="str">
        <f t="shared" ca="1" si="118"/>
        <v/>
      </c>
      <c r="SI39" s="74" t="str">
        <f t="shared" ca="1" si="118"/>
        <v/>
      </c>
      <c r="SJ39" s="74" t="str">
        <f t="shared" ca="1" si="118"/>
        <v/>
      </c>
      <c r="SK39" s="74" t="str">
        <f t="shared" ca="1" si="118"/>
        <v/>
      </c>
      <c r="SL39" s="74" t="str">
        <f t="shared" ca="1" si="118"/>
        <v/>
      </c>
      <c r="SM39" s="74" t="str">
        <f t="shared" ca="1" si="118"/>
        <v/>
      </c>
      <c r="SN39" s="74" t="str">
        <f t="shared" ca="1" si="118"/>
        <v/>
      </c>
      <c r="SO39" s="74" t="str">
        <f t="shared" ca="1" si="118"/>
        <v/>
      </c>
      <c r="SP39" s="74" t="str">
        <f t="shared" ca="1" si="119"/>
        <v/>
      </c>
      <c r="SQ39" s="74" t="str">
        <f t="shared" ca="1" si="119"/>
        <v/>
      </c>
      <c r="SR39" s="74" t="str">
        <f t="shared" ca="1" si="119"/>
        <v/>
      </c>
      <c r="SS39" s="74" t="str">
        <f t="shared" ca="1" si="119"/>
        <v/>
      </c>
      <c r="ST39" s="74" t="str">
        <f t="shared" ca="1" si="119"/>
        <v/>
      </c>
      <c r="SU39" s="74" t="str">
        <f t="shared" ca="1" si="119"/>
        <v/>
      </c>
      <c r="SV39" s="74" t="str">
        <f t="shared" ca="1" si="119"/>
        <v/>
      </c>
      <c r="SW39" s="74" t="str">
        <f t="shared" ca="1" si="119"/>
        <v/>
      </c>
      <c r="SX39" s="74" t="str">
        <f t="shared" ca="1" si="119"/>
        <v/>
      </c>
      <c r="SY39" s="74" t="str">
        <f t="shared" ca="1" si="119"/>
        <v/>
      </c>
      <c r="SZ39" s="74" t="str">
        <f t="shared" ca="1" si="120"/>
        <v/>
      </c>
      <c r="TA39" s="74" t="str">
        <f t="shared" ca="1" si="120"/>
        <v/>
      </c>
      <c r="TB39" s="74" t="str">
        <f t="shared" ca="1" si="120"/>
        <v/>
      </c>
      <c r="TC39" s="74" t="str">
        <f t="shared" ca="1" si="120"/>
        <v/>
      </c>
      <c r="TD39" s="74" t="str">
        <f t="shared" ca="1" si="120"/>
        <v/>
      </c>
      <c r="TE39" s="74" t="str">
        <f t="shared" ca="1" si="120"/>
        <v/>
      </c>
      <c r="TF39" s="74" t="str">
        <f t="shared" ca="1" si="120"/>
        <v/>
      </c>
      <c r="TG39" s="74" t="str">
        <f t="shared" ca="1" si="120"/>
        <v/>
      </c>
      <c r="TH39" s="74" t="str">
        <f t="shared" ca="1" si="120"/>
        <v/>
      </c>
      <c r="TI39" s="74" t="str">
        <f t="shared" ca="1" si="120"/>
        <v/>
      </c>
      <c r="TJ39" s="74" t="str">
        <f t="shared" ca="1" si="121"/>
        <v/>
      </c>
      <c r="TK39" s="74" t="str">
        <f t="shared" ca="1" si="121"/>
        <v/>
      </c>
      <c r="TL39" s="74" t="str">
        <f t="shared" ca="1" si="121"/>
        <v/>
      </c>
      <c r="TM39" s="74" t="str">
        <f t="shared" ca="1" si="121"/>
        <v/>
      </c>
      <c r="TN39" s="74" t="str">
        <f t="shared" ca="1" si="121"/>
        <v/>
      </c>
      <c r="TO39" s="74" t="str">
        <f t="shared" ca="1" si="121"/>
        <v/>
      </c>
      <c r="TP39" s="74" t="str">
        <f t="shared" ca="1" si="121"/>
        <v/>
      </c>
      <c r="TQ39" s="74" t="str">
        <f t="shared" ca="1" si="121"/>
        <v/>
      </c>
      <c r="TR39" s="74" t="str">
        <f t="shared" ca="1" si="121"/>
        <v/>
      </c>
      <c r="TS39" s="74" t="str">
        <f t="shared" ca="1" si="121"/>
        <v/>
      </c>
      <c r="TT39" s="74" t="str">
        <f t="shared" ca="1" si="122"/>
        <v/>
      </c>
      <c r="TU39" s="74" t="str">
        <f t="shared" ca="1" si="122"/>
        <v/>
      </c>
      <c r="TV39" s="74" t="str">
        <f t="shared" ca="1" si="122"/>
        <v/>
      </c>
      <c r="TW39" s="74" t="str">
        <f t="shared" ca="1" si="122"/>
        <v/>
      </c>
      <c r="TX39" s="74" t="str">
        <f t="shared" ca="1" si="122"/>
        <v/>
      </c>
      <c r="TY39" s="74" t="str">
        <f t="shared" ca="1" si="122"/>
        <v/>
      </c>
      <c r="TZ39" s="74" t="str">
        <f t="shared" ca="1" si="122"/>
        <v/>
      </c>
      <c r="UA39" s="74" t="str">
        <f t="shared" ca="1" si="122"/>
        <v/>
      </c>
      <c r="UB39" s="74" t="str">
        <f t="shared" ca="1" si="122"/>
        <v/>
      </c>
      <c r="UC39" s="74" t="str">
        <f t="shared" ca="1" si="122"/>
        <v/>
      </c>
      <c r="UD39" s="74" t="str">
        <f t="shared" ca="1" si="123"/>
        <v/>
      </c>
      <c r="UE39" s="74" t="str">
        <f t="shared" ca="1" si="123"/>
        <v/>
      </c>
      <c r="UF39" s="74" t="str">
        <f t="shared" ca="1" si="123"/>
        <v/>
      </c>
      <c r="UG39" s="74" t="str">
        <f t="shared" ca="1" si="123"/>
        <v/>
      </c>
      <c r="UH39" s="74" t="str">
        <f t="shared" ca="1" si="123"/>
        <v/>
      </c>
      <c r="UI39" s="74" t="str">
        <f t="shared" ca="1" si="123"/>
        <v/>
      </c>
      <c r="UJ39" s="74" t="str">
        <f t="shared" ca="1" si="123"/>
        <v/>
      </c>
      <c r="UK39" s="74" t="str">
        <f t="shared" ca="1" si="123"/>
        <v/>
      </c>
      <c r="UL39" s="74" t="str">
        <f t="shared" ca="1" si="123"/>
        <v/>
      </c>
      <c r="UM39" s="74" t="str">
        <f t="shared" ca="1" si="123"/>
        <v/>
      </c>
      <c r="UN39" s="74" t="str">
        <f t="shared" ca="1" si="124"/>
        <v/>
      </c>
      <c r="UO39" s="74" t="str">
        <f t="shared" ca="1" si="124"/>
        <v/>
      </c>
      <c r="UP39" s="74" t="str">
        <f t="shared" ca="1" si="124"/>
        <v/>
      </c>
      <c r="UQ39" s="74" t="str">
        <f t="shared" ca="1" si="124"/>
        <v/>
      </c>
      <c r="UR39" s="74" t="str">
        <f t="shared" ca="1" si="124"/>
        <v/>
      </c>
      <c r="US39" s="74" t="str">
        <f t="shared" ca="1" si="124"/>
        <v/>
      </c>
      <c r="UT39" s="74" t="str">
        <f t="shared" ca="1" si="124"/>
        <v/>
      </c>
      <c r="UU39" s="74" t="str">
        <f t="shared" ca="1" si="124"/>
        <v/>
      </c>
      <c r="UV39" s="74" t="str">
        <f t="shared" ca="1" si="124"/>
        <v/>
      </c>
      <c r="UW39" s="74" t="str">
        <f t="shared" ca="1" si="124"/>
        <v/>
      </c>
      <c r="UX39" s="74" t="str">
        <f t="shared" ca="1" si="125"/>
        <v/>
      </c>
      <c r="UY39" s="74" t="str">
        <f t="shared" ca="1" si="125"/>
        <v/>
      </c>
      <c r="UZ39" s="74" t="str">
        <f t="shared" ca="1" si="125"/>
        <v/>
      </c>
      <c r="VA39" s="74" t="str">
        <f t="shared" ca="1" si="125"/>
        <v/>
      </c>
      <c r="VB39" s="74" t="str">
        <f t="shared" ca="1" si="125"/>
        <v/>
      </c>
      <c r="VC39" s="74" t="str">
        <f t="shared" ca="1" si="125"/>
        <v/>
      </c>
      <c r="VD39" s="74" t="str">
        <f t="shared" ca="1" si="125"/>
        <v/>
      </c>
      <c r="VE39" s="74" t="str">
        <f t="shared" ca="1" si="125"/>
        <v/>
      </c>
      <c r="VF39" s="74" t="str">
        <f t="shared" ca="1" si="125"/>
        <v/>
      </c>
      <c r="VG39" s="74" t="str">
        <f t="shared" ca="1" si="125"/>
        <v/>
      </c>
      <c r="VH39" s="74" t="str">
        <f t="shared" ca="1" si="126"/>
        <v/>
      </c>
      <c r="VI39" s="74" t="str">
        <f t="shared" ca="1" si="126"/>
        <v/>
      </c>
      <c r="VJ39" s="74" t="str">
        <f t="shared" ca="1" si="126"/>
        <v/>
      </c>
      <c r="VK39" s="74" t="str">
        <f t="shared" ca="1" si="126"/>
        <v/>
      </c>
      <c r="VL39" s="74" t="str">
        <f t="shared" ca="1" si="126"/>
        <v/>
      </c>
      <c r="VM39" s="74" t="str">
        <f t="shared" ca="1" si="126"/>
        <v/>
      </c>
      <c r="VN39" s="74" t="str">
        <f t="shared" ca="1" si="126"/>
        <v/>
      </c>
      <c r="VO39" s="74" t="str">
        <f t="shared" ca="1" si="126"/>
        <v/>
      </c>
      <c r="VP39" s="74" t="str">
        <f t="shared" ca="1" si="126"/>
        <v/>
      </c>
      <c r="VQ39" s="74" t="str">
        <f t="shared" ca="1" si="126"/>
        <v/>
      </c>
      <c r="VR39" s="74" t="str">
        <f t="shared" ca="1" si="126"/>
        <v/>
      </c>
      <c r="VS39" s="74" t="str">
        <f t="shared" ca="1" si="126"/>
        <v/>
      </c>
    </row>
    <row r="40" spans="1:591" s="80" customFormat="1" ht="21.6" customHeight="1" x14ac:dyDescent="0.3">
      <c r="A40" s="82"/>
      <c r="B40" s="84" t="str">
        <f>'CoS Tracker'!B11</f>
        <v>0802S</v>
      </c>
      <c r="C40" s="76"/>
      <c r="D40" s="76"/>
      <c r="E40" s="77"/>
      <c r="F40" s="78"/>
      <c r="G40" s="78"/>
      <c r="H40" s="79"/>
      <c r="I40" s="76"/>
      <c r="J40" s="76" t="str">
        <f t="shared" ca="1" si="69"/>
        <v/>
      </c>
      <c r="K40" s="76" t="str">
        <f t="shared" ca="1" si="69"/>
        <v/>
      </c>
      <c r="L40" s="76" t="str">
        <f t="shared" ca="1" si="69"/>
        <v/>
      </c>
      <c r="M40" s="76" t="str">
        <f t="shared" ca="1" si="69"/>
        <v/>
      </c>
      <c r="N40" s="76" t="str">
        <f t="shared" ca="1" si="69"/>
        <v/>
      </c>
      <c r="O40" s="76" t="str">
        <f t="shared" ca="1" si="69"/>
        <v/>
      </c>
      <c r="P40" s="76" t="str">
        <f t="shared" ca="1" si="69"/>
        <v/>
      </c>
      <c r="Q40" s="76" t="str">
        <f t="shared" ca="1" si="69"/>
        <v/>
      </c>
      <c r="R40" s="76" t="str">
        <f t="shared" ca="1" si="69"/>
        <v/>
      </c>
      <c r="S40" s="76" t="str">
        <f t="shared" ca="1" si="69"/>
        <v/>
      </c>
      <c r="T40" s="76" t="str">
        <f t="shared" ca="1" si="70"/>
        <v/>
      </c>
      <c r="U40" s="76" t="str">
        <f t="shared" ca="1" si="70"/>
        <v/>
      </c>
      <c r="V40" s="76" t="str">
        <f t="shared" ca="1" si="70"/>
        <v/>
      </c>
      <c r="W40" s="76" t="str">
        <f t="shared" ca="1" si="70"/>
        <v/>
      </c>
      <c r="X40" s="76" t="str">
        <f t="shared" ca="1" si="70"/>
        <v/>
      </c>
      <c r="Y40" s="76" t="str">
        <f t="shared" ca="1" si="70"/>
        <v/>
      </c>
      <c r="Z40" s="76" t="str">
        <f t="shared" ca="1" si="70"/>
        <v/>
      </c>
      <c r="AA40" s="76" t="str">
        <f t="shared" ca="1" si="70"/>
        <v/>
      </c>
      <c r="AB40" s="76" t="str">
        <f t="shared" ca="1" si="70"/>
        <v/>
      </c>
      <c r="AC40" s="76" t="str">
        <f t="shared" ca="1" si="70"/>
        <v/>
      </c>
      <c r="AD40" s="76" t="str">
        <f t="shared" ca="1" si="71"/>
        <v/>
      </c>
      <c r="AE40" s="76" t="str">
        <f t="shared" ca="1" si="71"/>
        <v/>
      </c>
      <c r="AF40" s="76" t="str">
        <f t="shared" ca="1" si="71"/>
        <v/>
      </c>
      <c r="AG40" s="76" t="str">
        <f t="shared" ca="1" si="71"/>
        <v/>
      </c>
      <c r="AH40" s="76" t="str">
        <f t="shared" ca="1" si="71"/>
        <v/>
      </c>
      <c r="AI40" s="76" t="str">
        <f t="shared" ca="1" si="71"/>
        <v/>
      </c>
      <c r="AJ40" s="76" t="str">
        <f t="shared" ca="1" si="71"/>
        <v/>
      </c>
      <c r="AK40" s="76" t="str">
        <f t="shared" ca="1" si="71"/>
        <v/>
      </c>
      <c r="AL40" s="76" t="str">
        <f t="shared" ca="1" si="71"/>
        <v/>
      </c>
      <c r="AM40" s="76" t="str">
        <f t="shared" ca="1" si="71"/>
        <v/>
      </c>
      <c r="AN40" s="76" t="str">
        <f t="shared" ca="1" si="72"/>
        <v/>
      </c>
      <c r="AO40" s="76" t="str">
        <f t="shared" ca="1" si="72"/>
        <v/>
      </c>
      <c r="AP40" s="76" t="str">
        <f t="shared" ca="1" si="72"/>
        <v/>
      </c>
      <c r="AQ40" s="76" t="str">
        <f t="shared" ca="1" si="72"/>
        <v/>
      </c>
      <c r="AR40" s="76" t="str">
        <f t="shared" ca="1" si="72"/>
        <v/>
      </c>
      <c r="AS40" s="76" t="str">
        <f t="shared" ca="1" si="72"/>
        <v/>
      </c>
      <c r="AT40" s="76" t="str">
        <f t="shared" ca="1" si="72"/>
        <v/>
      </c>
      <c r="AU40" s="76" t="str">
        <f t="shared" ca="1" si="72"/>
        <v/>
      </c>
      <c r="AV40" s="76" t="str">
        <f t="shared" ca="1" si="72"/>
        <v/>
      </c>
      <c r="AW40" s="76" t="str">
        <f t="shared" ca="1" si="72"/>
        <v/>
      </c>
      <c r="AX40" s="76" t="str">
        <f t="shared" ca="1" si="73"/>
        <v/>
      </c>
      <c r="AY40" s="76" t="str">
        <f t="shared" ca="1" si="73"/>
        <v/>
      </c>
      <c r="AZ40" s="76" t="str">
        <f t="shared" ca="1" si="73"/>
        <v/>
      </c>
      <c r="BA40" s="76" t="str">
        <f t="shared" ca="1" si="73"/>
        <v/>
      </c>
      <c r="BB40" s="76" t="str">
        <f t="shared" ca="1" si="73"/>
        <v/>
      </c>
      <c r="BC40" s="76" t="str">
        <f t="shared" ca="1" si="73"/>
        <v/>
      </c>
      <c r="BD40" s="76" t="str">
        <f t="shared" ca="1" si="73"/>
        <v/>
      </c>
      <c r="BE40" s="76" t="str">
        <f t="shared" ca="1" si="73"/>
        <v/>
      </c>
      <c r="BF40" s="76" t="str">
        <f t="shared" ca="1" si="73"/>
        <v/>
      </c>
      <c r="BG40" s="76" t="str">
        <f t="shared" ca="1" si="73"/>
        <v/>
      </c>
      <c r="BH40" s="76" t="str">
        <f t="shared" ca="1" si="74"/>
        <v/>
      </c>
      <c r="BI40" s="76" t="str">
        <f t="shared" ca="1" si="74"/>
        <v/>
      </c>
      <c r="BJ40" s="76" t="str">
        <f t="shared" ca="1" si="74"/>
        <v/>
      </c>
      <c r="BK40" s="76" t="str">
        <f t="shared" ca="1" si="74"/>
        <v/>
      </c>
      <c r="BL40" s="76" t="str">
        <f t="shared" ca="1" si="74"/>
        <v/>
      </c>
      <c r="BM40" s="76" t="str">
        <f t="shared" ca="1" si="74"/>
        <v/>
      </c>
      <c r="BN40" s="76" t="str">
        <f t="shared" ca="1" si="74"/>
        <v/>
      </c>
      <c r="BO40" s="76" t="str">
        <f t="shared" ca="1" si="74"/>
        <v/>
      </c>
      <c r="BP40" s="76" t="str">
        <f t="shared" ca="1" si="74"/>
        <v/>
      </c>
      <c r="BQ40" s="76" t="str">
        <f t="shared" ca="1" si="74"/>
        <v/>
      </c>
      <c r="BR40" s="76" t="str">
        <f t="shared" ca="1" si="75"/>
        <v/>
      </c>
      <c r="BS40" s="76" t="str">
        <f t="shared" ca="1" si="75"/>
        <v/>
      </c>
      <c r="BT40" s="76" t="str">
        <f t="shared" ca="1" si="75"/>
        <v/>
      </c>
      <c r="BU40" s="76" t="str">
        <f t="shared" ca="1" si="75"/>
        <v/>
      </c>
      <c r="BV40" s="76" t="str">
        <f t="shared" ca="1" si="75"/>
        <v/>
      </c>
      <c r="BW40" s="76" t="str">
        <f t="shared" ca="1" si="75"/>
        <v/>
      </c>
      <c r="BX40" s="76" t="str">
        <f t="shared" ca="1" si="75"/>
        <v/>
      </c>
      <c r="BY40" s="76" t="str">
        <f t="shared" ca="1" si="75"/>
        <v/>
      </c>
      <c r="BZ40" s="76" t="str">
        <f t="shared" ca="1" si="75"/>
        <v/>
      </c>
      <c r="CA40" s="76" t="str">
        <f t="shared" ca="1" si="75"/>
        <v/>
      </c>
      <c r="CB40" s="76" t="str">
        <f t="shared" ca="1" si="76"/>
        <v/>
      </c>
      <c r="CC40" s="76" t="str">
        <f t="shared" ca="1" si="76"/>
        <v/>
      </c>
      <c r="CD40" s="76" t="str">
        <f t="shared" ca="1" si="76"/>
        <v/>
      </c>
      <c r="CE40" s="76" t="str">
        <f t="shared" ca="1" si="76"/>
        <v/>
      </c>
      <c r="CF40" s="76" t="str">
        <f t="shared" ca="1" si="76"/>
        <v/>
      </c>
      <c r="CG40" s="76" t="str">
        <f t="shared" ca="1" si="76"/>
        <v/>
      </c>
      <c r="CH40" s="76" t="str">
        <f t="shared" ca="1" si="76"/>
        <v/>
      </c>
      <c r="CI40" s="76" t="str">
        <f t="shared" ca="1" si="76"/>
        <v/>
      </c>
      <c r="CJ40" s="76" t="str">
        <f t="shared" ca="1" si="76"/>
        <v/>
      </c>
      <c r="CK40" s="76" t="str">
        <f t="shared" ca="1" si="76"/>
        <v/>
      </c>
      <c r="CL40" s="76" t="str">
        <f t="shared" ca="1" si="77"/>
        <v/>
      </c>
      <c r="CM40" s="76" t="str">
        <f t="shared" ca="1" si="77"/>
        <v/>
      </c>
      <c r="CN40" s="76" t="str">
        <f t="shared" ca="1" si="77"/>
        <v/>
      </c>
      <c r="CO40" s="76" t="str">
        <f t="shared" ca="1" si="77"/>
        <v/>
      </c>
      <c r="CP40" s="76" t="str">
        <f t="shared" ca="1" si="77"/>
        <v/>
      </c>
      <c r="CQ40" s="76" t="str">
        <f t="shared" ca="1" si="77"/>
        <v/>
      </c>
      <c r="CR40" s="76" t="str">
        <f t="shared" ca="1" si="77"/>
        <v/>
      </c>
      <c r="CS40" s="76" t="str">
        <f t="shared" ca="1" si="77"/>
        <v/>
      </c>
      <c r="CT40" s="76" t="str">
        <f t="shared" ca="1" si="77"/>
        <v/>
      </c>
      <c r="CU40" s="76" t="str">
        <f t="shared" ca="1" si="77"/>
        <v/>
      </c>
      <c r="CV40" s="76" t="str">
        <f t="shared" ca="1" si="78"/>
        <v/>
      </c>
      <c r="CW40" s="76" t="str">
        <f t="shared" ca="1" si="78"/>
        <v/>
      </c>
      <c r="CX40" s="76" t="str">
        <f t="shared" ca="1" si="78"/>
        <v/>
      </c>
      <c r="CY40" s="76" t="str">
        <f t="shared" ca="1" si="78"/>
        <v/>
      </c>
      <c r="CZ40" s="76" t="str">
        <f t="shared" ca="1" si="78"/>
        <v/>
      </c>
      <c r="DA40" s="76" t="str">
        <f t="shared" ca="1" si="78"/>
        <v/>
      </c>
      <c r="DB40" s="76" t="str">
        <f t="shared" ca="1" si="78"/>
        <v/>
      </c>
      <c r="DC40" s="76" t="str">
        <f t="shared" ca="1" si="78"/>
        <v/>
      </c>
      <c r="DD40" s="76" t="str">
        <f t="shared" ca="1" si="78"/>
        <v/>
      </c>
      <c r="DE40" s="76" t="str">
        <f t="shared" ca="1" si="78"/>
        <v/>
      </c>
      <c r="DF40" s="76" t="str">
        <f t="shared" ca="1" si="79"/>
        <v/>
      </c>
      <c r="DG40" s="76" t="str">
        <f t="shared" ca="1" si="79"/>
        <v/>
      </c>
      <c r="DH40" s="76" t="str">
        <f t="shared" ca="1" si="79"/>
        <v/>
      </c>
      <c r="DI40" s="76" t="str">
        <f t="shared" ca="1" si="79"/>
        <v/>
      </c>
      <c r="DJ40" s="76" t="str">
        <f t="shared" ca="1" si="79"/>
        <v/>
      </c>
      <c r="DK40" s="76" t="str">
        <f t="shared" ca="1" si="79"/>
        <v/>
      </c>
      <c r="DL40" s="76" t="str">
        <f t="shared" ca="1" si="79"/>
        <v/>
      </c>
      <c r="DM40" s="76" t="str">
        <f t="shared" ca="1" si="79"/>
        <v/>
      </c>
      <c r="DN40" s="76" t="str">
        <f t="shared" ca="1" si="79"/>
        <v/>
      </c>
      <c r="DO40" s="76" t="str">
        <f t="shared" ca="1" si="79"/>
        <v/>
      </c>
      <c r="DP40" s="76" t="str">
        <f t="shared" ca="1" si="80"/>
        <v/>
      </c>
      <c r="DQ40" s="76" t="str">
        <f t="shared" ca="1" si="80"/>
        <v/>
      </c>
      <c r="DR40" s="76" t="str">
        <f t="shared" ca="1" si="80"/>
        <v/>
      </c>
      <c r="DS40" s="76" t="str">
        <f t="shared" ca="1" si="80"/>
        <v/>
      </c>
      <c r="DT40" s="76" t="str">
        <f t="shared" ca="1" si="80"/>
        <v/>
      </c>
      <c r="DU40" s="76" t="str">
        <f t="shared" ca="1" si="80"/>
        <v/>
      </c>
      <c r="DV40" s="76" t="str">
        <f t="shared" ca="1" si="80"/>
        <v/>
      </c>
      <c r="DW40" s="76" t="str">
        <f t="shared" ca="1" si="80"/>
        <v/>
      </c>
      <c r="DX40" s="76" t="str">
        <f t="shared" ca="1" si="80"/>
        <v/>
      </c>
      <c r="DY40" s="76" t="str">
        <f t="shared" ca="1" si="80"/>
        <v/>
      </c>
      <c r="DZ40" s="76" t="str">
        <f t="shared" ca="1" si="81"/>
        <v/>
      </c>
      <c r="EA40" s="76" t="str">
        <f t="shared" ca="1" si="81"/>
        <v/>
      </c>
      <c r="EB40" s="76" t="str">
        <f t="shared" ca="1" si="81"/>
        <v/>
      </c>
      <c r="EC40" s="76" t="str">
        <f t="shared" ca="1" si="81"/>
        <v/>
      </c>
      <c r="ED40" s="76" t="str">
        <f t="shared" ca="1" si="81"/>
        <v/>
      </c>
      <c r="EE40" s="76" t="str">
        <f t="shared" ca="1" si="81"/>
        <v/>
      </c>
      <c r="EF40" s="76" t="str">
        <f t="shared" ca="1" si="81"/>
        <v/>
      </c>
      <c r="EG40" s="76" t="str">
        <f t="shared" ca="1" si="81"/>
        <v/>
      </c>
      <c r="EH40" s="76" t="str">
        <f t="shared" ca="1" si="81"/>
        <v/>
      </c>
      <c r="EI40" s="76" t="str">
        <f t="shared" ca="1" si="81"/>
        <v/>
      </c>
      <c r="EJ40" s="76" t="str">
        <f t="shared" ca="1" si="82"/>
        <v/>
      </c>
      <c r="EK40" s="76" t="str">
        <f t="shared" ca="1" si="82"/>
        <v/>
      </c>
      <c r="EL40" s="76" t="str">
        <f t="shared" ca="1" si="82"/>
        <v/>
      </c>
      <c r="EM40" s="76" t="str">
        <f t="shared" ca="1" si="82"/>
        <v/>
      </c>
      <c r="EN40" s="76" t="str">
        <f t="shared" ca="1" si="82"/>
        <v/>
      </c>
      <c r="EO40" s="76" t="str">
        <f t="shared" ca="1" si="82"/>
        <v/>
      </c>
      <c r="EP40" s="76" t="str">
        <f t="shared" ca="1" si="82"/>
        <v/>
      </c>
      <c r="EQ40" s="76" t="str">
        <f t="shared" ca="1" si="82"/>
        <v/>
      </c>
      <c r="ER40" s="76" t="str">
        <f t="shared" ca="1" si="82"/>
        <v/>
      </c>
      <c r="ES40" s="76" t="str">
        <f t="shared" ca="1" si="82"/>
        <v/>
      </c>
      <c r="ET40" s="76" t="str">
        <f t="shared" ca="1" si="83"/>
        <v/>
      </c>
      <c r="EU40" s="76" t="str">
        <f t="shared" ca="1" si="83"/>
        <v/>
      </c>
      <c r="EV40" s="76" t="str">
        <f t="shared" ca="1" si="83"/>
        <v/>
      </c>
      <c r="EW40" s="76" t="str">
        <f t="shared" ca="1" si="83"/>
        <v/>
      </c>
      <c r="EX40" s="76" t="str">
        <f t="shared" ca="1" si="83"/>
        <v/>
      </c>
      <c r="EY40" s="76" t="str">
        <f t="shared" ca="1" si="83"/>
        <v/>
      </c>
      <c r="EZ40" s="76" t="str">
        <f t="shared" ca="1" si="83"/>
        <v/>
      </c>
      <c r="FA40" s="76" t="str">
        <f t="shared" ca="1" si="83"/>
        <v/>
      </c>
      <c r="FB40" s="76" t="str">
        <f t="shared" ca="1" si="83"/>
        <v/>
      </c>
      <c r="FC40" s="76" t="str">
        <f t="shared" ca="1" si="83"/>
        <v/>
      </c>
      <c r="FD40" s="76" t="str">
        <f t="shared" ca="1" si="84"/>
        <v/>
      </c>
      <c r="FE40" s="76" t="str">
        <f t="shared" ca="1" si="84"/>
        <v/>
      </c>
      <c r="FF40" s="76" t="str">
        <f t="shared" ca="1" si="84"/>
        <v/>
      </c>
      <c r="FG40" s="76" t="str">
        <f t="shared" ca="1" si="84"/>
        <v/>
      </c>
      <c r="FH40" s="76" t="str">
        <f t="shared" ca="1" si="84"/>
        <v/>
      </c>
      <c r="FI40" s="76" t="str">
        <f t="shared" ca="1" si="84"/>
        <v/>
      </c>
      <c r="FJ40" s="76" t="str">
        <f t="shared" ca="1" si="84"/>
        <v/>
      </c>
      <c r="FK40" s="76" t="str">
        <f t="shared" ca="1" si="84"/>
        <v/>
      </c>
      <c r="FL40" s="76" t="str">
        <f t="shared" ca="1" si="84"/>
        <v/>
      </c>
      <c r="FM40" s="76" t="str">
        <f t="shared" ca="1" si="84"/>
        <v/>
      </c>
      <c r="FN40" s="76" t="str">
        <f t="shared" ca="1" si="85"/>
        <v/>
      </c>
      <c r="FO40" s="76" t="str">
        <f t="shared" ca="1" si="85"/>
        <v/>
      </c>
      <c r="FP40" s="76" t="str">
        <f t="shared" ca="1" si="85"/>
        <v/>
      </c>
      <c r="FQ40" s="76" t="str">
        <f t="shared" ca="1" si="85"/>
        <v/>
      </c>
      <c r="FR40" s="76" t="str">
        <f t="shared" ca="1" si="85"/>
        <v/>
      </c>
      <c r="FS40" s="76" t="str">
        <f t="shared" ca="1" si="85"/>
        <v/>
      </c>
      <c r="FT40" s="76" t="str">
        <f t="shared" ca="1" si="85"/>
        <v/>
      </c>
      <c r="FU40" s="76" t="str">
        <f t="shared" ca="1" si="85"/>
        <v/>
      </c>
      <c r="FV40" s="76" t="str">
        <f t="shared" ca="1" si="85"/>
        <v/>
      </c>
      <c r="FW40" s="76" t="str">
        <f t="shared" ca="1" si="85"/>
        <v/>
      </c>
      <c r="FX40" s="76" t="str">
        <f t="shared" ca="1" si="86"/>
        <v/>
      </c>
      <c r="FY40" s="76" t="str">
        <f t="shared" ca="1" si="86"/>
        <v/>
      </c>
      <c r="FZ40" s="76" t="str">
        <f t="shared" ca="1" si="86"/>
        <v/>
      </c>
      <c r="GA40" s="76" t="str">
        <f t="shared" ca="1" si="86"/>
        <v/>
      </c>
      <c r="GB40" s="76" t="str">
        <f t="shared" ca="1" si="86"/>
        <v/>
      </c>
      <c r="GC40" s="76" t="str">
        <f t="shared" ca="1" si="86"/>
        <v/>
      </c>
      <c r="GD40" s="76" t="str">
        <f t="shared" ca="1" si="86"/>
        <v/>
      </c>
      <c r="GE40" s="76" t="str">
        <f t="shared" ca="1" si="86"/>
        <v/>
      </c>
      <c r="GF40" s="76" t="str">
        <f t="shared" ca="1" si="86"/>
        <v/>
      </c>
      <c r="GG40" s="76" t="str">
        <f t="shared" ca="1" si="86"/>
        <v/>
      </c>
      <c r="GH40" s="76" t="str">
        <f t="shared" ca="1" si="87"/>
        <v/>
      </c>
      <c r="GI40" s="76" t="str">
        <f t="shared" ca="1" si="87"/>
        <v/>
      </c>
      <c r="GJ40" s="76" t="str">
        <f t="shared" ca="1" si="87"/>
        <v/>
      </c>
      <c r="GK40" s="76" t="str">
        <f t="shared" ca="1" si="87"/>
        <v/>
      </c>
      <c r="GL40" s="76" t="str">
        <f t="shared" ca="1" si="87"/>
        <v/>
      </c>
      <c r="GM40" s="76" t="str">
        <f t="shared" ca="1" si="87"/>
        <v/>
      </c>
      <c r="GN40" s="76" t="str">
        <f t="shared" ca="1" si="87"/>
        <v/>
      </c>
      <c r="GO40" s="76" t="str">
        <f t="shared" ca="1" si="87"/>
        <v/>
      </c>
      <c r="GP40" s="76" t="str">
        <f t="shared" ca="1" si="87"/>
        <v/>
      </c>
      <c r="GQ40" s="76" t="str">
        <f t="shared" ca="1" si="87"/>
        <v/>
      </c>
      <c r="GR40" s="76" t="str">
        <f t="shared" ca="1" si="88"/>
        <v/>
      </c>
      <c r="GS40" s="76" t="str">
        <f t="shared" ca="1" si="88"/>
        <v/>
      </c>
      <c r="GT40" s="76" t="str">
        <f t="shared" ca="1" si="88"/>
        <v/>
      </c>
      <c r="GU40" s="76" t="str">
        <f t="shared" ca="1" si="88"/>
        <v/>
      </c>
      <c r="GV40" s="76" t="str">
        <f t="shared" ca="1" si="88"/>
        <v/>
      </c>
      <c r="GW40" s="76" t="str">
        <f t="shared" ca="1" si="88"/>
        <v/>
      </c>
      <c r="GX40" s="76" t="str">
        <f t="shared" ca="1" si="88"/>
        <v/>
      </c>
      <c r="GY40" s="76" t="str">
        <f t="shared" ca="1" si="88"/>
        <v/>
      </c>
      <c r="GZ40" s="76" t="str">
        <f t="shared" ca="1" si="88"/>
        <v/>
      </c>
      <c r="HA40" s="76" t="str">
        <f t="shared" ca="1" si="88"/>
        <v/>
      </c>
      <c r="HB40" s="76" t="str">
        <f t="shared" ca="1" si="89"/>
        <v/>
      </c>
      <c r="HC40" s="76" t="str">
        <f t="shared" ca="1" si="89"/>
        <v/>
      </c>
      <c r="HD40" s="76" t="str">
        <f t="shared" ca="1" si="89"/>
        <v/>
      </c>
      <c r="HE40" s="76" t="str">
        <f t="shared" ca="1" si="89"/>
        <v/>
      </c>
      <c r="HF40" s="76" t="str">
        <f t="shared" ca="1" si="89"/>
        <v/>
      </c>
      <c r="HG40" s="76" t="str">
        <f t="shared" ca="1" si="89"/>
        <v/>
      </c>
      <c r="HH40" s="76" t="str">
        <f t="shared" ca="1" si="89"/>
        <v/>
      </c>
      <c r="HI40" s="76" t="str">
        <f t="shared" ca="1" si="89"/>
        <v/>
      </c>
      <c r="HJ40" s="76" t="str">
        <f t="shared" ca="1" si="89"/>
        <v/>
      </c>
      <c r="HK40" s="76" t="str">
        <f t="shared" ca="1" si="89"/>
        <v/>
      </c>
      <c r="HL40" s="76" t="str">
        <f t="shared" ca="1" si="90"/>
        <v/>
      </c>
      <c r="HM40" s="76" t="str">
        <f t="shared" ca="1" si="90"/>
        <v/>
      </c>
      <c r="HN40" s="76" t="str">
        <f t="shared" ca="1" si="90"/>
        <v/>
      </c>
      <c r="HO40" s="76" t="str">
        <f t="shared" ca="1" si="90"/>
        <v/>
      </c>
      <c r="HP40" s="76" t="str">
        <f t="shared" ca="1" si="90"/>
        <v/>
      </c>
      <c r="HQ40" s="76" t="str">
        <f t="shared" ca="1" si="90"/>
        <v/>
      </c>
      <c r="HR40" s="76" t="str">
        <f t="shared" ca="1" si="90"/>
        <v/>
      </c>
      <c r="HS40" s="76" t="str">
        <f t="shared" ca="1" si="90"/>
        <v/>
      </c>
      <c r="HT40" s="76" t="str">
        <f t="shared" ca="1" si="90"/>
        <v/>
      </c>
      <c r="HU40" s="76" t="str">
        <f t="shared" ca="1" si="90"/>
        <v/>
      </c>
      <c r="HV40" s="76" t="str">
        <f t="shared" ca="1" si="91"/>
        <v/>
      </c>
      <c r="HW40" s="76" t="str">
        <f t="shared" ca="1" si="91"/>
        <v/>
      </c>
      <c r="HX40" s="76" t="str">
        <f t="shared" ca="1" si="91"/>
        <v/>
      </c>
      <c r="HY40" s="76" t="str">
        <f t="shared" ca="1" si="91"/>
        <v/>
      </c>
      <c r="HZ40" s="76" t="str">
        <f t="shared" ca="1" si="91"/>
        <v/>
      </c>
      <c r="IA40" s="76" t="str">
        <f t="shared" ca="1" si="91"/>
        <v/>
      </c>
      <c r="IB40" s="76" t="str">
        <f t="shared" ca="1" si="91"/>
        <v/>
      </c>
      <c r="IC40" s="76" t="str">
        <f t="shared" ca="1" si="91"/>
        <v/>
      </c>
      <c r="ID40" s="76" t="str">
        <f t="shared" ca="1" si="91"/>
        <v/>
      </c>
      <c r="IE40" s="76" t="str">
        <f t="shared" ca="1" si="91"/>
        <v/>
      </c>
      <c r="IF40" s="76" t="str">
        <f t="shared" ca="1" si="92"/>
        <v/>
      </c>
      <c r="IG40" s="76" t="str">
        <f t="shared" ca="1" si="92"/>
        <v/>
      </c>
      <c r="IH40" s="76" t="str">
        <f t="shared" ca="1" si="92"/>
        <v/>
      </c>
      <c r="II40" s="76" t="str">
        <f t="shared" ca="1" si="92"/>
        <v/>
      </c>
      <c r="IJ40" s="76" t="str">
        <f t="shared" ca="1" si="92"/>
        <v/>
      </c>
      <c r="IK40" s="76" t="str">
        <f t="shared" ca="1" si="92"/>
        <v/>
      </c>
      <c r="IL40" s="76" t="str">
        <f t="shared" ca="1" si="92"/>
        <v/>
      </c>
      <c r="IM40" s="76" t="str">
        <f t="shared" ca="1" si="92"/>
        <v/>
      </c>
      <c r="IN40" s="76" t="str">
        <f t="shared" ca="1" si="92"/>
        <v/>
      </c>
      <c r="IO40" s="76" t="str">
        <f t="shared" ca="1" si="92"/>
        <v/>
      </c>
      <c r="IP40" s="76" t="str">
        <f t="shared" ca="1" si="93"/>
        <v/>
      </c>
      <c r="IQ40" s="76" t="str">
        <f t="shared" ca="1" si="93"/>
        <v/>
      </c>
      <c r="IR40" s="76" t="str">
        <f t="shared" ca="1" si="93"/>
        <v/>
      </c>
      <c r="IS40" s="76" t="str">
        <f t="shared" ca="1" si="93"/>
        <v/>
      </c>
      <c r="IT40" s="76" t="str">
        <f t="shared" ca="1" si="93"/>
        <v/>
      </c>
      <c r="IU40" s="76" t="str">
        <f t="shared" ca="1" si="93"/>
        <v/>
      </c>
      <c r="IV40" s="76" t="str">
        <f t="shared" ca="1" si="93"/>
        <v/>
      </c>
      <c r="IW40" s="76" t="str">
        <f t="shared" ca="1" si="93"/>
        <v/>
      </c>
      <c r="IX40" s="76" t="str">
        <f t="shared" ca="1" si="93"/>
        <v/>
      </c>
      <c r="IY40" s="76" t="str">
        <f t="shared" ca="1" si="93"/>
        <v/>
      </c>
      <c r="IZ40" s="76" t="str">
        <f t="shared" ca="1" si="94"/>
        <v/>
      </c>
      <c r="JA40" s="76" t="str">
        <f t="shared" ca="1" si="94"/>
        <v/>
      </c>
      <c r="JB40" s="76" t="str">
        <f t="shared" ca="1" si="94"/>
        <v/>
      </c>
      <c r="JC40" s="76" t="str">
        <f t="shared" ca="1" si="94"/>
        <v/>
      </c>
      <c r="JD40" s="76" t="str">
        <f t="shared" ca="1" si="94"/>
        <v/>
      </c>
      <c r="JE40" s="76" t="str">
        <f t="shared" ca="1" si="94"/>
        <v/>
      </c>
      <c r="JF40" s="76" t="str">
        <f t="shared" ca="1" si="94"/>
        <v/>
      </c>
      <c r="JG40" s="76" t="str">
        <f t="shared" ca="1" si="94"/>
        <v/>
      </c>
      <c r="JH40" s="76" t="str">
        <f t="shared" ca="1" si="94"/>
        <v/>
      </c>
      <c r="JI40" s="76" t="str">
        <f t="shared" ca="1" si="94"/>
        <v/>
      </c>
      <c r="JJ40" s="76" t="str">
        <f t="shared" ca="1" si="95"/>
        <v/>
      </c>
      <c r="JK40" s="76" t="str">
        <f t="shared" ca="1" si="95"/>
        <v/>
      </c>
      <c r="JL40" s="76" t="str">
        <f t="shared" ca="1" si="95"/>
        <v/>
      </c>
      <c r="JM40" s="76" t="str">
        <f t="shared" ca="1" si="95"/>
        <v/>
      </c>
      <c r="JN40" s="76" t="str">
        <f t="shared" ca="1" si="95"/>
        <v/>
      </c>
      <c r="JO40" s="76" t="str">
        <f t="shared" ca="1" si="95"/>
        <v/>
      </c>
      <c r="JP40" s="76" t="str">
        <f t="shared" ca="1" si="95"/>
        <v/>
      </c>
      <c r="JQ40" s="76" t="str">
        <f t="shared" ca="1" si="95"/>
        <v/>
      </c>
      <c r="JR40" s="76" t="str">
        <f t="shared" ca="1" si="95"/>
        <v/>
      </c>
      <c r="JS40" s="76" t="str">
        <f t="shared" ca="1" si="95"/>
        <v/>
      </c>
      <c r="JT40" s="76" t="str">
        <f t="shared" ca="1" si="96"/>
        <v/>
      </c>
      <c r="JU40" s="76" t="str">
        <f t="shared" ca="1" si="96"/>
        <v/>
      </c>
      <c r="JV40" s="76" t="str">
        <f t="shared" ca="1" si="96"/>
        <v/>
      </c>
      <c r="JW40" s="76" t="str">
        <f t="shared" ca="1" si="96"/>
        <v/>
      </c>
      <c r="JX40" s="76" t="str">
        <f t="shared" ca="1" si="96"/>
        <v/>
      </c>
      <c r="JY40" s="76" t="str">
        <f t="shared" ca="1" si="96"/>
        <v/>
      </c>
      <c r="JZ40" s="76" t="str">
        <f t="shared" ca="1" si="96"/>
        <v/>
      </c>
      <c r="KA40" s="76" t="str">
        <f t="shared" ca="1" si="96"/>
        <v/>
      </c>
      <c r="KB40" s="76" t="str">
        <f t="shared" ca="1" si="96"/>
        <v/>
      </c>
      <c r="KC40" s="76" t="str">
        <f t="shared" ca="1" si="96"/>
        <v/>
      </c>
      <c r="KD40" s="76" t="str">
        <f t="shared" ca="1" si="97"/>
        <v/>
      </c>
      <c r="KE40" s="76" t="str">
        <f t="shared" ca="1" si="97"/>
        <v/>
      </c>
      <c r="KF40" s="76" t="str">
        <f t="shared" ca="1" si="97"/>
        <v/>
      </c>
      <c r="KG40" s="76" t="str">
        <f t="shared" ca="1" si="97"/>
        <v/>
      </c>
      <c r="KH40" s="76" t="str">
        <f t="shared" ca="1" si="97"/>
        <v/>
      </c>
      <c r="KI40" s="76" t="str">
        <f t="shared" ca="1" si="97"/>
        <v/>
      </c>
      <c r="KJ40" s="76" t="str">
        <f t="shared" ca="1" si="97"/>
        <v/>
      </c>
      <c r="KK40" s="76" t="str">
        <f t="shared" ca="1" si="97"/>
        <v/>
      </c>
      <c r="KL40" s="76" t="str">
        <f t="shared" ca="1" si="97"/>
        <v/>
      </c>
      <c r="KM40" s="76" t="str">
        <f t="shared" ca="1" si="97"/>
        <v/>
      </c>
      <c r="KN40" s="76" t="str">
        <f t="shared" ca="1" si="98"/>
        <v/>
      </c>
      <c r="KO40" s="76" t="str">
        <f t="shared" ca="1" si="98"/>
        <v/>
      </c>
      <c r="KP40" s="76" t="str">
        <f t="shared" ca="1" si="98"/>
        <v/>
      </c>
      <c r="KQ40" s="76" t="str">
        <f t="shared" ca="1" si="98"/>
        <v/>
      </c>
      <c r="KR40" s="76" t="str">
        <f t="shared" ca="1" si="98"/>
        <v/>
      </c>
      <c r="KS40" s="76" t="str">
        <f t="shared" ca="1" si="98"/>
        <v/>
      </c>
      <c r="KT40" s="76" t="str">
        <f t="shared" ca="1" si="98"/>
        <v/>
      </c>
      <c r="KU40" s="76" t="str">
        <f t="shared" ca="1" si="98"/>
        <v/>
      </c>
      <c r="KV40" s="76" t="str">
        <f t="shared" ca="1" si="98"/>
        <v/>
      </c>
      <c r="KW40" s="76" t="str">
        <f t="shared" ca="1" si="98"/>
        <v/>
      </c>
      <c r="KX40" s="76" t="str">
        <f t="shared" ca="1" si="99"/>
        <v/>
      </c>
      <c r="KY40" s="76" t="str">
        <f t="shared" ca="1" si="99"/>
        <v/>
      </c>
      <c r="KZ40" s="76" t="str">
        <f t="shared" ca="1" si="99"/>
        <v/>
      </c>
      <c r="LA40" s="76" t="str">
        <f t="shared" ca="1" si="99"/>
        <v/>
      </c>
      <c r="LB40" s="76" t="str">
        <f t="shared" ca="1" si="99"/>
        <v/>
      </c>
      <c r="LC40" s="76" t="str">
        <f t="shared" ca="1" si="99"/>
        <v/>
      </c>
      <c r="LD40" s="76" t="str">
        <f t="shared" ca="1" si="99"/>
        <v/>
      </c>
      <c r="LE40" s="76" t="str">
        <f t="shared" ca="1" si="99"/>
        <v/>
      </c>
      <c r="LF40" s="76" t="str">
        <f t="shared" ca="1" si="99"/>
        <v/>
      </c>
      <c r="LG40" s="76" t="str">
        <f t="shared" ca="1" si="99"/>
        <v/>
      </c>
      <c r="LH40" s="76" t="str">
        <f t="shared" ca="1" si="100"/>
        <v/>
      </c>
      <c r="LI40" s="76" t="str">
        <f t="shared" ca="1" si="100"/>
        <v/>
      </c>
      <c r="LJ40" s="76" t="str">
        <f t="shared" ca="1" si="100"/>
        <v/>
      </c>
      <c r="LK40" s="76" t="str">
        <f t="shared" ca="1" si="100"/>
        <v/>
      </c>
      <c r="LL40" s="76" t="str">
        <f t="shared" ca="1" si="100"/>
        <v/>
      </c>
      <c r="LM40" s="76" t="str">
        <f t="shared" ca="1" si="100"/>
        <v/>
      </c>
      <c r="LN40" s="76" t="str">
        <f t="shared" ca="1" si="100"/>
        <v/>
      </c>
      <c r="LO40" s="76" t="str">
        <f t="shared" ca="1" si="100"/>
        <v/>
      </c>
      <c r="LP40" s="76" t="str">
        <f t="shared" ca="1" si="100"/>
        <v/>
      </c>
      <c r="LQ40" s="76" t="str">
        <f t="shared" ca="1" si="100"/>
        <v/>
      </c>
      <c r="LR40" s="76" t="str">
        <f t="shared" ca="1" si="101"/>
        <v/>
      </c>
      <c r="LS40" s="76" t="str">
        <f t="shared" ca="1" si="101"/>
        <v/>
      </c>
      <c r="LT40" s="76" t="str">
        <f t="shared" ca="1" si="101"/>
        <v/>
      </c>
      <c r="LU40" s="76" t="str">
        <f t="shared" ca="1" si="101"/>
        <v/>
      </c>
      <c r="LV40" s="76" t="str">
        <f t="shared" ca="1" si="101"/>
        <v/>
      </c>
      <c r="LW40" s="76" t="str">
        <f t="shared" ca="1" si="101"/>
        <v/>
      </c>
      <c r="LX40" s="76" t="str">
        <f t="shared" ca="1" si="101"/>
        <v/>
      </c>
      <c r="LY40" s="76" t="str">
        <f t="shared" ca="1" si="101"/>
        <v/>
      </c>
      <c r="LZ40" s="76" t="str">
        <f t="shared" ca="1" si="101"/>
        <v/>
      </c>
      <c r="MA40" s="76" t="str">
        <f t="shared" ca="1" si="101"/>
        <v/>
      </c>
      <c r="MB40" s="76" t="str">
        <f t="shared" ca="1" si="102"/>
        <v/>
      </c>
      <c r="MC40" s="76" t="str">
        <f t="shared" ca="1" si="102"/>
        <v/>
      </c>
      <c r="MD40" s="76" t="str">
        <f t="shared" ca="1" si="102"/>
        <v/>
      </c>
      <c r="ME40" s="76" t="str">
        <f t="shared" ca="1" si="102"/>
        <v/>
      </c>
      <c r="MF40" s="76" t="str">
        <f t="shared" ca="1" si="102"/>
        <v/>
      </c>
      <c r="MG40" s="76" t="str">
        <f t="shared" ca="1" si="102"/>
        <v/>
      </c>
      <c r="MH40" s="76" t="str">
        <f t="shared" ca="1" si="102"/>
        <v/>
      </c>
      <c r="MI40" s="76" t="str">
        <f t="shared" ca="1" si="102"/>
        <v/>
      </c>
      <c r="MJ40" s="76" t="str">
        <f t="shared" ca="1" si="102"/>
        <v/>
      </c>
      <c r="MK40" s="76" t="str">
        <f t="shared" ca="1" si="102"/>
        <v/>
      </c>
      <c r="ML40" s="76" t="str">
        <f t="shared" ca="1" si="103"/>
        <v/>
      </c>
      <c r="MM40" s="76" t="str">
        <f t="shared" ca="1" si="103"/>
        <v/>
      </c>
      <c r="MN40" s="76" t="str">
        <f t="shared" ca="1" si="103"/>
        <v/>
      </c>
      <c r="MO40" s="76" t="str">
        <f t="shared" ca="1" si="103"/>
        <v/>
      </c>
      <c r="MP40" s="76" t="str">
        <f t="shared" ca="1" si="103"/>
        <v/>
      </c>
      <c r="MQ40" s="76" t="str">
        <f t="shared" ca="1" si="103"/>
        <v/>
      </c>
      <c r="MR40" s="76" t="str">
        <f t="shared" ca="1" si="103"/>
        <v/>
      </c>
      <c r="MS40" s="76" t="str">
        <f t="shared" ca="1" si="103"/>
        <v/>
      </c>
      <c r="MT40" s="76" t="str">
        <f t="shared" ca="1" si="103"/>
        <v/>
      </c>
      <c r="MU40" s="76" t="str">
        <f t="shared" ca="1" si="103"/>
        <v/>
      </c>
      <c r="MV40" s="76" t="str">
        <f t="shared" ca="1" si="104"/>
        <v/>
      </c>
      <c r="MW40" s="76" t="str">
        <f t="shared" ca="1" si="104"/>
        <v/>
      </c>
      <c r="MX40" s="76" t="str">
        <f t="shared" ca="1" si="104"/>
        <v/>
      </c>
      <c r="MY40" s="76" t="str">
        <f t="shared" ca="1" si="104"/>
        <v/>
      </c>
      <c r="MZ40" s="76" t="str">
        <f t="shared" ca="1" si="104"/>
        <v/>
      </c>
      <c r="NA40" s="76" t="str">
        <f t="shared" ca="1" si="104"/>
        <v/>
      </c>
      <c r="NB40" s="76" t="str">
        <f t="shared" ca="1" si="104"/>
        <v/>
      </c>
      <c r="NC40" s="76" t="str">
        <f t="shared" ca="1" si="104"/>
        <v/>
      </c>
      <c r="ND40" s="76" t="str">
        <f t="shared" ca="1" si="104"/>
        <v/>
      </c>
      <c r="NE40" s="76" t="str">
        <f t="shared" ca="1" si="104"/>
        <v/>
      </c>
      <c r="NF40" s="76" t="str">
        <f t="shared" ca="1" si="105"/>
        <v/>
      </c>
      <c r="NG40" s="76" t="str">
        <f t="shared" ca="1" si="105"/>
        <v/>
      </c>
      <c r="NH40" s="76" t="str">
        <f t="shared" ca="1" si="105"/>
        <v/>
      </c>
      <c r="NI40" s="76" t="str">
        <f t="shared" ca="1" si="105"/>
        <v/>
      </c>
      <c r="NJ40" s="76" t="str">
        <f t="shared" ca="1" si="105"/>
        <v/>
      </c>
      <c r="NK40" s="76" t="str">
        <f t="shared" ca="1" si="105"/>
        <v/>
      </c>
      <c r="NL40" s="76" t="str">
        <f t="shared" ca="1" si="105"/>
        <v/>
      </c>
      <c r="NM40" s="76" t="str">
        <f t="shared" ca="1" si="105"/>
        <v/>
      </c>
      <c r="NN40" s="76" t="str">
        <f t="shared" ca="1" si="105"/>
        <v/>
      </c>
      <c r="NO40" s="76" t="str">
        <f t="shared" ca="1" si="105"/>
        <v/>
      </c>
      <c r="NP40" s="76" t="str">
        <f t="shared" ca="1" si="106"/>
        <v/>
      </c>
      <c r="NQ40" s="76" t="str">
        <f t="shared" ca="1" si="106"/>
        <v/>
      </c>
      <c r="NR40" s="76" t="str">
        <f t="shared" ca="1" si="106"/>
        <v/>
      </c>
      <c r="NS40" s="76" t="str">
        <f t="shared" ca="1" si="106"/>
        <v/>
      </c>
      <c r="NT40" s="76" t="str">
        <f t="shared" ca="1" si="106"/>
        <v/>
      </c>
      <c r="NU40" s="76" t="str">
        <f t="shared" ca="1" si="106"/>
        <v/>
      </c>
      <c r="NV40" s="76" t="str">
        <f t="shared" ca="1" si="106"/>
        <v/>
      </c>
      <c r="NW40" s="76" t="str">
        <f t="shared" ca="1" si="106"/>
        <v/>
      </c>
      <c r="NX40" s="76" t="str">
        <f t="shared" ca="1" si="106"/>
        <v/>
      </c>
      <c r="NY40" s="76" t="str">
        <f t="shared" ca="1" si="106"/>
        <v/>
      </c>
      <c r="NZ40" s="76" t="str">
        <f t="shared" ca="1" si="107"/>
        <v/>
      </c>
      <c r="OA40" s="76" t="str">
        <f t="shared" ca="1" si="107"/>
        <v/>
      </c>
      <c r="OB40" s="76" t="str">
        <f t="shared" ca="1" si="107"/>
        <v/>
      </c>
      <c r="OC40" s="76" t="str">
        <f t="shared" ca="1" si="107"/>
        <v/>
      </c>
      <c r="OD40" s="76" t="str">
        <f t="shared" ca="1" si="107"/>
        <v/>
      </c>
      <c r="OE40" s="76" t="str">
        <f t="shared" ca="1" si="107"/>
        <v/>
      </c>
      <c r="OF40" s="76" t="str">
        <f t="shared" ca="1" si="107"/>
        <v/>
      </c>
      <c r="OG40" s="76" t="str">
        <f t="shared" ca="1" si="107"/>
        <v/>
      </c>
      <c r="OH40" s="76" t="str">
        <f t="shared" ca="1" si="107"/>
        <v/>
      </c>
      <c r="OI40" s="76" t="str">
        <f t="shared" ca="1" si="107"/>
        <v/>
      </c>
      <c r="OJ40" s="76" t="str">
        <f t="shared" ca="1" si="108"/>
        <v/>
      </c>
      <c r="OK40" s="76" t="str">
        <f t="shared" ca="1" si="108"/>
        <v/>
      </c>
      <c r="OL40" s="76" t="str">
        <f t="shared" ca="1" si="108"/>
        <v/>
      </c>
      <c r="OM40" s="76" t="str">
        <f t="shared" ca="1" si="108"/>
        <v/>
      </c>
      <c r="ON40" s="76" t="str">
        <f t="shared" ca="1" si="108"/>
        <v/>
      </c>
      <c r="OO40" s="76" t="str">
        <f t="shared" ca="1" si="108"/>
        <v/>
      </c>
      <c r="OP40" s="76" t="str">
        <f t="shared" ca="1" si="108"/>
        <v/>
      </c>
      <c r="OQ40" s="76" t="str">
        <f t="shared" ca="1" si="108"/>
        <v/>
      </c>
      <c r="OR40" s="76" t="str">
        <f t="shared" ca="1" si="108"/>
        <v/>
      </c>
      <c r="OS40" s="76" t="str">
        <f t="shared" ca="1" si="108"/>
        <v/>
      </c>
      <c r="OT40" s="76" t="str">
        <f t="shared" ca="1" si="109"/>
        <v/>
      </c>
      <c r="OU40" s="76" t="str">
        <f t="shared" ca="1" si="109"/>
        <v/>
      </c>
      <c r="OV40" s="76" t="str">
        <f t="shared" ca="1" si="109"/>
        <v/>
      </c>
      <c r="OW40" s="76" t="str">
        <f t="shared" ca="1" si="109"/>
        <v/>
      </c>
      <c r="OX40" s="76" t="str">
        <f t="shared" ca="1" si="109"/>
        <v/>
      </c>
      <c r="OY40" s="76" t="str">
        <f t="shared" ca="1" si="109"/>
        <v/>
      </c>
      <c r="OZ40" s="76" t="str">
        <f t="shared" ca="1" si="109"/>
        <v/>
      </c>
      <c r="PA40" s="76" t="str">
        <f t="shared" ca="1" si="109"/>
        <v/>
      </c>
      <c r="PB40" s="76" t="str">
        <f t="shared" ca="1" si="109"/>
        <v/>
      </c>
      <c r="PC40" s="76" t="str">
        <f t="shared" ca="1" si="109"/>
        <v/>
      </c>
      <c r="PD40" s="76" t="str">
        <f t="shared" ca="1" si="110"/>
        <v/>
      </c>
      <c r="PE40" s="76" t="str">
        <f t="shared" ca="1" si="110"/>
        <v/>
      </c>
      <c r="PF40" s="76" t="str">
        <f t="shared" ca="1" si="110"/>
        <v/>
      </c>
      <c r="PG40" s="76" t="str">
        <f t="shared" ca="1" si="110"/>
        <v/>
      </c>
      <c r="PH40" s="76" t="str">
        <f t="shared" ca="1" si="110"/>
        <v/>
      </c>
      <c r="PI40" s="76" t="str">
        <f t="shared" ca="1" si="110"/>
        <v/>
      </c>
      <c r="PJ40" s="76" t="str">
        <f t="shared" ca="1" si="110"/>
        <v/>
      </c>
      <c r="PK40" s="76" t="str">
        <f t="shared" ca="1" si="110"/>
        <v/>
      </c>
      <c r="PL40" s="76" t="str">
        <f t="shared" ca="1" si="110"/>
        <v/>
      </c>
      <c r="PM40" s="76" t="str">
        <f t="shared" ca="1" si="110"/>
        <v/>
      </c>
      <c r="PN40" s="76" t="str">
        <f t="shared" ca="1" si="111"/>
        <v/>
      </c>
      <c r="PO40" s="76" t="str">
        <f t="shared" ca="1" si="111"/>
        <v/>
      </c>
      <c r="PP40" s="76" t="str">
        <f t="shared" ca="1" si="111"/>
        <v/>
      </c>
      <c r="PQ40" s="76" t="str">
        <f t="shared" ca="1" si="111"/>
        <v/>
      </c>
      <c r="PR40" s="76" t="str">
        <f t="shared" ca="1" si="111"/>
        <v/>
      </c>
      <c r="PS40" s="76" t="str">
        <f t="shared" ca="1" si="111"/>
        <v/>
      </c>
      <c r="PT40" s="76" t="str">
        <f t="shared" ca="1" si="111"/>
        <v/>
      </c>
      <c r="PU40" s="76" t="str">
        <f t="shared" ca="1" si="111"/>
        <v/>
      </c>
      <c r="PV40" s="76" t="str">
        <f t="shared" ca="1" si="111"/>
        <v/>
      </c>
      <c r="PW40" s="76" t="str">
        <f t="shared" ca="1" si="111"/>
        <v/>
      </c>
      <c r="PX40" s="76" t="str">
        <f t="shared" ca="1" si="112"/>
        <v/>
      </c>
      <c r="PY40" s="76" t="str">
        <f t="shared" ca="1" si="112"/>
        <v/>
      </c>
      <c r="PZ40" s="76" t="str">
        <f t="shared" ca="1" si="112"/>
        <v/>
      </c>
      <c r="QA40" s="76" t="str">
        <f t="shared" ca="1" si="112"/>
        <v/>
      </c>
      <c r="QB40" s="76" t="str">
        <f t="shared" ca="1" si="112"/>
        <v/>
      </c>
      <c r="QC40" s="76" t="str">
        <f t="shared" ca="1" si="112"/>
        <v/>
      </c>
      <c r="QD40" s="76" t="str">
        <f t="shared" ca="1" si="112"/>
        <v/>
      </c>
      <c r="QE40" s="76" t="str">
        <f t="shared" ca="1" si="112"/>
        <v/>
      </c>
      <c r="QF40" s="76" t="str">
        <f t="shared" ca="1" si="112"/>
        <v/>
      </c>
      <c r="QG40" s="76" t="str">
        <f t="shared" ca="1" si="112"/>
        <v/>
      </c>
      <c r="QH40" s="76" t="str">
        <f t="shared" ca="1" si="113"/>
        <v/>
      </c>
      <c r="QI40" s="76" t="str">
        <f t="shared" ca="1" si="113"/>
        <v/>
      </c>
      <c r="QJ40" s="76" t="str">
        <f t="shared" ca="1" si="113"/>
        <v/>
      </c>
      <c r="QK40" s="76" t="str">
        <f t="shared" ca="1" si="113"/>
        <v/>
      </c>
      <c r="QL40" s="76" t="str">
        <f t="shared" ca="1" si="113"/>
        <v/>
      </c>
      <c r="QM40" s="76" t="str">
        <f t="shared" ca="1" si="113"/>
        <v/>
      </c>
      <c r="QN40" s="76" t="str">
        <f t="shared" ca="1" si="113"/>
        <v/>
      </c>
      <c r="QO40" s="76" t="str">
        <f t="shared" ca="1" si="113"/>
        <v/>
      </c>
      <c r="QP40" s="76" t="str">
        <f t="shared" ca="1" si="113"/>
        <v/>
      </c>
      <c r="QQ40" s="76" t="str">
        <f t="shared" ca="1" si="113"/>
        <v/>
      </c>
      <c r="QR40" s="76" t="str">
        <f t="shared" ca="1" si="114"/>
        <v/>
      </c>
      <c r="QS40" s="76" t="str">
        <f t="shared" ca="1" si="114"/>
        <v/>
      </c>
      <c r="QT40" s="76" t="str">
        <f t="shared" ca="1" si="114"/>
        <v/>
      </c>
      <c r="QU40" s="76" t="str">
        <f t="shared" ca="1" si="114"/>
        <v/>
      </c>
      <c r="QV40" s="76" t="str">
        <f t="shared" ca="1" si="114"/>
        <v/>
      </c>
      <c r="QW40" s="76" t="str">
        <f t="shared" ca="1" si="114"/>
        <v/>
      </c>
      <c r="QX40" s="76" t="str">
        <f t="shared" ca="1" si="114"/>
        <v/>
      </c>
      <c r="QY40" s="76" t="str">
        <f t="shared" ca="1" si="114"/>
        <v/>
      </c>
      <c r="QZ40" s="76" t="str">
        <f t="shared" ca="1" si="114"/>
        <v/>
      </c>
      <c r="RA40" s="76" t="str">
        <f t="shared" ca="1" si="114"/>
        <v/>
      </c>
      <c r="RB40" s="76" t="str">
        <f t="shared" ca="1" si="115"/>
        <v/>
      </c>
      <c r="RC40" s="76" t="str">
        <f t="shared" ca="1" si="115"/>
        <v/>
      </c>
      <c r="RD40" s="76" t="str">
        <f t="shared" ca="1" si="115"/>
        <v/>
      </c>
      <c r="RE40" s="76" t="str">
        <f t="shared" ca="1" si="115"/>
        <v/>
      </c>
      <c r="RF40" s="76" t="str">
        <f t="shared" ca="1" si="115"/>
        <v/>
      </c>
      <c r="RG40" s="76" t="str">
        <f t="shared" ca="1" si="115"/>
        <v/>
      </c>
      <c r="RH40" s="76" t="str">
        <f t="shared" ca="1" si="115"/>
        <v/>
      </c>
      <c r="RI40" s="76" t="str">
        <f t="shared" ca="1" si="115"/>
        <v/>
      </c>
      <c r="RJ40" s="76" t="str">
        <f t="shared" ca="1" si="115"/>
        <v/>
      </c>
      <c r="RK40" s="76" t="str">
        <f t="shared" ca="1" si="115"/>
        <v/>
      </c>
      <c r="RL40" s="76" t="str">
        <f t="shared" ca="1" si="116"/>
        <v/>
      </c>
      <c r="RM40" s="76" t="str">
        <f t="shared" ca="1" si="116"/>
        <v/>
      </c>
      <c r="RN40" s="76" t="str">
        <f t="shared" ca="1" si="116"/>
        <v/>
      </c>
      <c r="RO40" s="76" t="str">
        <f t="shared" ca="1" si="116"/>
        <v/>
      </c>
      <c r="RP40" s="76" t="str">
        <f t="shared" ca="1" si="116"/>
        <v/>
      </c>
      <c r="RQ40" s="76" t="str">
        <f t="shared" ca="1" si="116"/>
        <v/>
      </c>
      <c r="RR40" s="76" t="str">
        <f t="shared" ca="1" si="116"/>
        <v/>
      </c>
      <c r="RS40" s="76" t="str">
        <f t="shared" ca="1" si="116"/>
        <v/>
      </c>
      <c r="RT40" s="76" t="str">
        <f t="shared" ca="1" si="116"/>
        <v/>
      </c>
      <c r="RU40" s="76" t="str">
        <f t="shared" ca="1" si="116"/>
        <v/>
      </c>
      <c r="RV40" s="76" t="str">
        <f t="shared" ca="1" si="117"/>
        <v/>
      </c>
      <c r="RW40" s="76" t="str">
        <f t="shared" ca="1" si="117"/>
        <v/>
      </c>
      <c r="RX40" s="76" t="str">
        <f t="shared" ca="1" si="117"/>
        <v/>
      </c>
      <c r="RY40" s="76" t="str">
        <f t="shared" ca="1" si="117"/>
        <v/>
      </c>
      <c r="RZ40" s="76" t="str">
        <f t="shared" ca="1" si="117"/>
        <v/>
      </c>
      <c r="SA40" s="76" t="str">
        <f t="shared" ca="1" si="117"/>
        <v/>
      </c>
      <c r="SB40" s="76" t="str">
        <f t="shared" ca="1" si="117"/>
        <v/>
      </c>
      <c r="SC40" s="76" t="str">
        <f t="shared" ca="1" si="117"/>
        <v/>
      </c>
      <c r="SD40" s="76" t="str">
        <f t="shared" ca="1" si="117"/>
        <v/>
      </c>
      <c r="SE40" s="76" t="str">
        <f t="shared" ca="1" si="117"/>
        <v/>
      </c>
      <c r="SF40" s="76" t="str">
        <f t="shared" ca="1" si="118"/>
        <v/>
      </c>
      <c r="SG40" s="76" t="str">
        <f t="shared" ca="1" si="118"/>
        <v/>
      </c>
      <c r="SH40" s="76" t="str">
        <f t="shared" ca="1" si="118"/>
        <v/>
      </c>
      <c r="SI40" s="76" t="str">
        <f t="shared" ca="1" si="118"/>
        <v/>
      </c>
      <c r="SJ40" s="76" t="str">
        <f t="shared" ca="1" si="118"/>
        <v/>
      </c>
      <c r="SK40" s="76" t="str">
        <f t="shared" ca="1" si="118"/>
        <v/>
      </c>
      <c r="SL40" s="76" t="str">
        <f t="shared" ca="1" si="118"/>
        <v/>
      </c>
      <c r="SM40" s="76" t="str">
        <f t="shared" ca="1" si="118"/>
        <v/>
      </c>
      <c r="SN40" s="76" t="str">
        <f t="shared" ca="1" si="118"/>
        <v/>
      </c>
      <c r="SO40" s="76" t="str">
        <f t="shared" ca="1" si="118"/>
        <v/>
      </c>
      <c r="SP40" s="76" t="str">
        <f t="shared" ca="1" si="119"/>
        <v/>
      </c>
      <c r="SQ40" s="76" t="str">
        <f t="shared" ca="1" si="119"/>
        <v/>
      </c>
      <c r="SR40" s="76" t="str">
        <f t="shared" ca="1" si="119"/>
        <v/>
      </c>
      <c r="SS40" s="76" t="str">
        <f t="shared" ca="1" si="119"/>
        <v/>
      </c>
      <c r="ST40" s="76" t="str">
        <f t="shared" ca="1" si="119"/>
        <v/>
      </c>
      <c r="SU40" s="76" t="str">
        <f t="shared" ca="1" si="119"/>
        <v/>
      </c>
      <c r="SV40" s="76" t="str">
        <f t="shared" ca="1" si="119"/>
        <v/>
      </c>
      <c r="SW40" s="76" t="str">
        <f t="shared" ca="1" si="119"/>
        <v/>
      </c>
      <c r="SX40" s="76" t="str">
        <f t="shared" ca="1" si="119"/>
        <v/>
      </c>
      <c r="SY40" s="76" t="str">
        <f t="shared" ca="1" si="119"/>
        <v/>
      </c>
      <c r="SZ40" s="76" t="str">
        <f t="shared" ca="1" si="120"/>
        <v/>
      </c>
      <c r="TA40" s="76" t="str">
        <f t="shared" ca="1" si="120"/>
        <v/>
      </c>
      <c r="TB40" s="76" t="str">
        <f t="shared" ca="1" si="120"/>
        <v/>
      </c>
      <c r="TC40" s="76" t="str">
        <f t="shared" ca="1" si="120"/>
        <v/>
      </c>
      <c r="TD40" s="76" t="str">
        <f t="shared" ca="1" si="120"/>
        <v/>
      </c>
      <c r="TE40" s="76" t="str">
        <f t="shared" ca="1" si="120"/>
        <v/>
      </c>
      <c r="TF40" s="76" t="str">
        <f t="shared" ca="1" si="120"/>
        <v/>
      </c>
      <c r="TG40" s="76" t="str">
        <f t="shared" ca="1" si="120"/>
        <v/>
      </c>
      <c r="TH40" s="76" t="str">
        <f t="shared" ca="1" si="120"/>
        <v/>
      </c>
      <c r="TI40" s="76" t="str">
        <f t="shared" ca="1" si="120"/>
        <v/>
      </c>
      <c r="TJ40" s="76" t="str">
        <f t="shared" ca="1" si="121"/>
        <v/>
      </c>
      <c r="TK40" s="76" t="str">
        <f t="shared" ca="1" si="121"/>
        <v/>
      </c>
      <c r="TL40" s="76" t="str">
        <f t="shared" ca="1" si="121"/>
        <v/>
      </c>
      <c r="TM40" s="76" t="str">
        <f t="shared" ca="1" si="121"/>
        <v/>
      </c>
      <c r="TN40" s="76" t="str">
        <f t="shared" ca="1" si="121"/>
        <v/>
      </c>
      <c r="TO40" s="76" t="str">
        <f t="shared" ca="1" si="121"/>
        <v/>
      </c>
      <c r="TP40" s="76" t="str">
        <f t="shared" ca="1" si="121"/>
        <v/>
      </c>
      <c r="TQ40" s="76" t="str">
        <f t="shared" ca="1" si="121"/>
        <v/>
      </c>
      <c r="TR40" s="76" t="str">
        <f t="shared" ca="1" si="121"/>
        <v/>
      </c>
      <c r="TS40" s="76" t="str">
        <f t="shared" ca="1" si="121"/>
        <v/>
      </c>
      <c r="TT40" s="76" t="str">
        <f t="shared" ca="1" si="122"/>
        <v/>
      </c>
      <c r="TU40" s="76" t="str">
        <f t="shared" ca="1" si="122"/>
        <v/>
      </c>
      <c r="TV40" s="76" t="str">
        <f t="shared" ca="1" si="122"/>
        <v/>
      </c>
      <c r="TW40" s="76" t="str">
        <f t="shared" ca="1" si="122"/>
        <v/>
      </c>
      <c r="TX40" s="76" t="str">
        <f t="shared" ca="1" si="122"/>
        <v/>
      </c>
      <c r="TY40" s="76" t="str">
        <f t="shared" ca="1" si="122"/>
        <v/>
      </c>
      <c r="TZ40" s="76" t="str">
        <f t="shared" ca="1" si="122"/>
        <v/>
      </c>
      <c r="UA40" s="76" t="str">
        <f t="shared" ca="1" si="122"/>
        <v/>
      </c>
      <c r="UB40" s="76" t="str">
        <f t="shared" ca="1" si="122"/>
        <v/>
      </c>
      <c r="UC40" s="76" t="str">
        <f t="shared" ca="1" si="122"/>
        <v/>
      </c>
      <c r="UD40" s="76" t="str">
        <f t="shared" ca="1" si="123"/>
        <v/>
      </c>
      <c r="UE40" s="76" t="str">
        <f t="shared" ca="1" si="123"/>
        <v/>
      </c>
      <c r="UF40" s="76" t="str">
        <f t="shared" ca="1" si="123"/>
        <v/>
      </c>
      <c r="UG40" s="76" t="str">
        <f t="shared" ca="1" si="123"/>
        <v/>
      </c>
      <c r="UH40" s="76" t="str">
        <f t="shared" ca="1" si="123"/>
        <v/>
      </c>
      <c r="UI40" s="76" t="str">
        <f t="shared" ca="1" si="123"/>
        <v/>
      </c>
      <c r="UJ40" s="76" t="str">
        <f t="shared" ca="1" si="123"/>
        <v/>
      </c>
      <c r="UK40" s="76" t="str">
        <f t="shared" ca="1" si="123"/>
        <v/>
      </c>
      <c r="UL40" s="76" t="str">
        <f t="shared" ca="1" si="123"/>
        <v/>
      </c>
      <c r="UM40" s="76" t="str">
        <f t="shared" ca="1" si="123"/>
        <v/>
      </c>
      <c r="UN40" s="76" t="str">
        <f t="shared" ca="1" si="124"/>
        <v/>
      </c>
      <c r="UO40" s="76" t="str">
        <f t="shared" ca="1" si="124"/>
        <v/>
      </c>
      <c r="UP40" s="76" t="str">
        <f t="shared" ca="1" si="124"/>
        <v/>
      </c>
      <c r="UQ40" s="76" t="str">
        <f t="shared" ca="1" si="124"/>
        <v/>
      </c>
      <c r="UR40" s="76" t="str">
        <f t="shared" ca="1" si="124"/>
        <v/>
      </c>
      <c r="US40" s="76" t="str">
        <f t="shared" ca="1" si="124"/>
        <v/>
      </c>
      <c r="UT40" s="76" t="str">
        <f t="shared" ca="1" si="124"/>
        <v/>
      </c>
      <c r="UU40" s="76" t="str">
        <f t="shared" ca="1" si="124"/>
        <v/>
      </c>
      <c r="UV40" s="76" t="str">
        <f t="shared" ca="1" si="124"/>
        <v/>
      </c>
      <c r="UW40" s="76" t="str">
        <f t="shared" ca="1" si="124"/>
        <v/>
      </c>
      <c r="UX40" s="76" t="str">
        <f t="shared" ca="1" si="125"/>
        <v/>
      </c>
      <c r="UY40" s="76" t="str">
        <f t="shared" ca="1" si="125"/>
        <v/>
      </c>
      <c r="UZ40" s="76" t="str">
        <f t="shared" ca="1" si="125"/>
        <v/>
      </c>
      <c r="VA40" s="76" t="str">
        <f t="shared" ca="1" si="125"/>
        <v/>
      </c>
      <c r="VB40" s="76" t="str">
        <f t="shared" ca="1" si="125"/>
        <v/>
      </c>
      <c r="VC40" s="76" t="str">
        <f t="shared" ca="1" si="125"/>
        <v/>
      </c>
      <c r="VD40" s="76" t="str">
        <f t="shared" ca="1" si="125"/>
        <v/>
      </c>
      <c r="VE40" s="76" t="str">
        <f t="shared" ca="1" si="125"/>
        <v/>
      </c>
      <c r="VF40" s="76" t="str">
        <f t="shared" ca="1" si="125"/>
        <v/>
      </c>
      <c r="VG40" s="76" t="str">
        <f t="shared" ca="1" si="125"/>
        <v/>
      </c>
      <c r="VH40" s="76" t="str">
        <f t="shared" ca="1" si="126"/>
        <v/>
      </c>
      <c r="VI40" s="76" t="str">
        <f t="shared" ca="1" si="126"/>
        <v/>
      </c>
      <c r="VJ40" s="76" t="str">
        <f t="shared" ca="1" si="126"/>
        <v/>
      </c>
      <c r="VK40" s="76" t="str">
        <f t="shared" ca="1" si="126"/>
        <v/>
      </c>
      <c r="VL40" s="76" t="str">
        <f t="shared" ca="1" si="126"/>
        <v/>
      </c>
      <c r="VM40" s="76" t="str">
        <f t="shared" ca="1" si="126"/>
        <v/>
      </c>
      <c r="VN40" s="76" t="str">
        <f t="shared" ca="1" si="126"/>
        <v/>
      </c>
      <c r="VO40" s="76" t="str">
        <f t="shared" ca="1" si="126"/>
        <v/>
      </c>
      <c r="VP40" s="76" t="str">
        <f t="shared" ca="1" si="126"/>
        <v/>
      </c>
      <c r="VQ40" s="76" t="str">
        <f t="shared" ca="1" si="126"/>
        <v/>
      </c>
      <c r="VR40" s="76" t="str">
        <f t="shared" ca="1" si="126"/>
        <v/>
      </c>
      <c r="VS40" s="76" t="str">
        <f t="shared" ca="1" si="126"/>
        <v/>
      </c>
    </row>
    <row r="41" spans="1:591" s="17" customFormat="1" ht="21.6" customHeight="1" x14ac:dyDescent="0.3">
      <c r="A41" s="82"/>
      <c r="B41" s="56" t="str">
        <f>'CoS Tracker'!$H$7</f>
        <v>0. DATE EXCHANGED
(Contract Date)</v>
      </c>
      <c r="C41" s="19" t="s">
        <v>71</v>
      </c>
      <c r="D41" s="19" t="s">
        <v>77</v>
      </c>
      <c r="E41" s="27">
        <v>0.25</v>
      </c>
      <c r="F41" s="26">
        <f>'CoS Tracker'!H11</f>
        <v>45995</v>
      </c>
      <c r="G41" s="26">
        <f>'CoS Tracker'!H11</f>
        <v>45995</v>
      </c>
      <c r="H41" s="25">
        <v>1</v>
      </c>
      <c r="I41" s="19"/>
      <c r="J41" s="75" t="str">
        <f t="shared" ca="1" si="69"/>
        <v/>
      </c>
      <c r="K41" s="75" t="str">
        <f t="shared" ca="1" si="69"/>
        <v/>
      </c>
      <c r="L41" s="75" t="str">
        <f t="shared" ca="1" si="69"/>
        <v/>
      </c>
      <c r="M41" s="75" t="str">
        <f t="shared" ca="1" si="69"/>
        <v/>
      </c>
      <c r="N41" s="75" t="str">
        <f t="shared" ca="1" si="69"/>
        <v/>
      </c>
      <c r="O41" s="75" t="str">
        <f t="shared" ca="1" si="69"/>
        <v/>
      </c>
      <c r="P41" s="75" t="str">
        <f t="shared" ca="1" si="69"/>
        <v/>
      </c>
      <c r="Q41" s="75" t="str">
        <f t="shared" ca="1" si="69"/>
        <v/>
      </c>
      <c r="R41" s="75" t="str">
        <f t="shared" ca="1" si="69"/>
        <v/>
      </c>
      <c r="S41" s="75" t="str">
        <f t="shared" ca="1" si="69"/>
        <v/>
      </c>
      <c r="T41" s="75" t="str">
        <f t="shared" ca="1" si="70"/>
        <v/>
      </c>
      <c r="U41" s="75" t="str">
        <f t="shared" ca="1" si="70"/>
        <v/>
      </c>
      <c r="V41" s="75" t="str">
        <f t="shared" ca="1" si="70"/>
        <v/>
      </c>
      <c r="W41" s="75" t="str">
        <f t="shared" ca="1" si="70"/>
        <v/>
      </c>
      <c r="X41" s="75">
        <f t="shared" ca="1" si="70"/>
        <v>1</v>
      </c>
      <c r="Y41" s="75" t="str">
        <f t="shared" ca="1" si="70"/>
        <v/>
      </c>
      <c r="Z41" s="75" t="str">
        <f t="shared" ca="1" si="70"/>
        <v/>
      </c>
      <c r="AA41" s="75" t="str">
        <f t="shared" ca="1" si="70"/>
        <v/>
      </c>
      <c r="AB41" s="75" t="str">
        <f t="shared" ca="1" si="70"/>
        <v/>
      </c>
      <c r="AC41" s="75" t="str">
        <f t="shared" ca="1" si="70"/>
        <v/>
      </c>
      <c r="AD41" s="75" t="str">
        <f t="shared" ca="1" si="71"/>
        <v/>
      </c>
      <c r="AE41" s="75" t="str">
        <f t="shared" ca="1" si="71"/>
        <v/>
      </c>
      <c r="AF41" s="75" t="str">
        <f t="shared" ca="1" si="71"/>
        <v/>
      </c>
      <c r="AG41" s="75" t="str">
        <f t="shared" ca="1" si="71"/>
        <v/>
      </c>
      <c r="AH41" s="75" t="str">
        <f t="shared" ca="1" si="71"/>
        <v/>
      </c>
      <c r="AI41" s="75" t="str">
        <f t="shared" ca="1" si="71"/>
        <v/>
      </c>
      <c r="AJ41" s="75" t="str">
        <f t="shared" ca="1" si="71"/>
        <v/>
      </c>
      <c r="AK41" s="75" t="str">
        <f t="shared" ca="1" si="71"/>
        <v/>
      </c>
      <c r="AL41" s="75" t="str">
        <f t="shared" ca="1" si="71"/>
        <v/>
      </c>
      <c r="AM41" s="75" t="str">
        <f t="shared" ca="1" si="71"/>
        <v/>
      </c>
      <c r="AN41" s="75" t="str">
        <f t="shared" ca="1" si="72"/>
        <v/>
      </c>
      <c r="AO41" s="75" t="str">
        <f t="shared" ca="1" si="72"/>
        <v/>
      </c>
      <c r="AP41" s="75" t="str">
        <f t="shared" ca="1" si="72"/>
        <v/>
      </c>
      <c r="AQ41" s="75" t="str">
        <f t="shared" ca="1" si="72"/>
        <v/>
      </c>
      <c r="AR41" s="75" t="str">
        <f t="shared" ca="1" si="72"/>
        <v/>
      </c>
      <c r="AS41" s="75" t="str">
        <f t="shared" ca="1" si="72"/>
        <v/>
      </c>
      <c r="AT41" s="75" t="str">
        <f t="shared" ca="1" si="72"/>
        <v/>
      </c>
      <c r="AU41" s="75" t="str">
        <f t="shared" ca="1" si="72"/>
        <v/>
      </c>
      <c r="AV41" s="75" t="str">
        <f t="shared" ca="1" si="72"/>
        <v/>
      </c>
      <c r="AW41" s="75" t="str">
        <f t="shared" ca="1" si="72"/>
        <v/>
      </c>
      <c r="AX41" s="75" t="str">
        <f t="shared" ca="1" si="73"/>
        <v/>
      </c>
      <c r="AY41" s="75" t="str">
        <f t="shared" ca="1" si="73"/>
        <v/>
      </c>
      <c r="AZ41" s="75" t="str">
        <f t="shared" ca="1" si="73"/>
        <v/>
      </c>
      <c r="BA41" s="75" t="str">
        <f t="shared" ca="1" si="73"/>
        <v/>
      </c>
      <c r="BB41" s="75" t="str">
        <f t="shared" ca="1" si="73"/>
        <v/>
      </c>
      <c r="BC41" s="75" t="str">
        <f t="shared" ca="1" si="73"/>
        <v/>
      </c>
      <c r="BD41" s="75" t="str">
        <f t="shared" ca="1" si="73"/>
        <v/>
      </c>
      <c r="BE41" s="75" t="str">
        <f t="shared" ca="1" si="73"/>
        <v/>
      </c>
      <c r="BF41" s="75" t="str">
        <f t="shared" ca="1" si="73"/>
        <v/>
      </c>
      <c r="BG41" s="75" t="str">
        <f t="shared" ca="1" si="73"/>
        <v/>
      </c>
      <c r="BH41" s="75" t="str">
        <f t="shared" ca="1" si="74"/>
        <v/>
      </c>
      <c r="BI41" s="75" t="str">
        <f t="shared" ca="1" si="74"/>
        <v/>
      </c>
      <c r="BJ41" s="75" t="str">
        <f t="shared" ca="1" si="74"/>
        <v/>
      </c>
      <c r="BK41" s="75" t="str">
        <f t="shared" ca="1" si="74"/>
        <v/>
      </c>
      <c r="BL41" s="75" t="str">
        <f t="shared" ca="1" si="74"/>
        <v/>
      </c>
      <c r="BM41" s="75" t="str">
        <f t="shared" ca="1" si="74"/>
        <v/>
      </c>
      <c r="BN41" s="75" t="str">
        <f t="shared" ca="1" si="74"/>
        <v/>
      </c>
      <c r="BO41" s="75" t="str">
        <f t="shared" ca="1" si="74"/>
        <v/>
      </c>
      <c r="BP41" s="75" t="str">
        <f t="shared" ca="1" si="74"/>
        <v/>
      </c>
      <c r="BQ41" s="75" t="str">
        <f t="shared" ca="1" si="74"/>
        <v/>
      </c>
      <c r="BR41" s="75" t="str">
        <f t="shared" ca="1" si="75"/>
        <v/>
      </c>
      <c r="BS41" s="75" t="str">
        <f t="shared" ca="1" si="75"/>
        <v/>
      </c>
      <c r="BT41" s="75" t="str">
        <f t="shared" ca="1" si="75"/>
        <v/>
      </c>
      <c r="BU41" s="75" t="str">
        <f t="shared" ca="1" si="75"/>
        <v/>
      </c>
      <c r="BV41" s="75" t="str">
        <f t="shared" ca="1" si="75"/>
        <v/>
      </c>
      <c r="BW41" s="75" t="str">
        <f t="shared" ca="1" si="75"/>
        <v/>
      </c>
      <c r="BX41" s="75" t="str">
        <f t="shared" ca="1" si="75"/>
        <v/>
      </c>
      <c r="BY41" s="75" t="str">
        <f t="shared" ca="1" si="75"/>
        <v/>
      </c>
      <c r="BZ41" s="75" t="str">
        <f t="shared" ca="1" si="75"/>
        <v/>
      </c>
      <c r="CA41" s="75" t="str">
        <f t="shared" ca="1" si="75"/>
        <v/>
      </c>
      <c r="CB41" s="75" t="str">
        <f t="shared" ca="1" si="76"/>
        <v/>
      </c>
      <c r="CC41" s="75" t="str">
        <f t="shared" ca="1" si="76"/>
        <v/>
      </c>
      <c r="CD41" s="75" t="str">
        <f t="shared" ca="1" si="76"/>
        <v/>
      </c>
      <c r="CE41" s="75" t="str">
        <f t="shared" ca="1" si="76"/>
        <v/>
      </c>
      <c r="CF41" s="75" t="str">
        <f t="shared" ca="1" si="76"/>
        <v/>
      </c>
      <c r="CG41" s="75" t="str">
        <f t="shared" ca="1" si="76"/>
        <v/>
      </c>
      <c r="CH41" s="75" t="str">
        <f t="shared" ca="1" si="76"/>
        <v/>
      </c>
      <c r="CI41" s="75" t="str">
        <f t="shared" ca="1" si="76"/>
        <v/>
      </c>
      <c r="CJ41" s="75" t="str">
        <f t="shared" ca="1" si="76"/>
        <v/>
      </c>
      <c r="CK41" s="75" t="str">
        <f t="shared" ca="1" si="76"/>
        <v/>
      </c>
      <c r="CL41" s="75" t="str">
        <f t="shared" ca="1" si="77"/>
        <v/>
      </c>
      <c r="CM41" s="75" t="str">
        <f t="shared" ca="1" si="77"/>
        <v/>
      </c>
      <c r="CN41" s="75" t="str">
        <f t="shared" ca="1" si="77"/>
        <v/>
      </c>
      <c r="CO41" s="75" t="str">
        <f t="shared" ca="1" si="77"/>
        <v/>
      </c>
      <c r="CP41" s="75" t="str">
        <f t="shared" ca="1" si="77"/>
        <v/>
      </c>
      <c r="CQ41" s="75" t="str">
        <f t="shared" ca="1" si="77"/>
        <v/>
      </c>
      <c r="CR41" s="75" t="str">
        <f t="shared" ca="1" si="77"/>
        <v/>
      </c>
      <c r="CS41" s="75" t="str">
        <f t="shared" ca="1" si="77"/>
        <v/>
      </c>
      <c r="CT41" s="75" t="str">
        <f t="shared" ca="1" si="77"/>
        <v/>
      </c>
      <c r="CU41" s="75" t="str">
        <f t="shared" ca="1" si="77"/>
        <v/>
      </c>
      <c r="CV41" s="75" t="str">
        <f t="shared" ca="1" si="78"/>
        <v/>
      </c>
      <c r="CW41" s="75" t="str">
        <f t="shared" ca="1" si="78"/>
        <v/>
      </c>
      <c r="CX41" s="75" t="str">
        <f t="shared" ca="1" si="78"/>
        <v/>
      </c>
      <c r="CY41" s="75" t="str">
        <f t="shared" ca="1" si="78"/>
        <v/>
      </c>
      <c r="CZ41" s="75" t="str">
        <f t="shared" ca="1" si="78"/>
        <v/>
      </c>
      <c r="DA41" s="75" t="str">
        <f t="shared" ca="1" si="78"/>
        <v/>
      </c>
      <c r="DB41" s="75" t="str">
        <f t="shared" ca="1" si="78"/>
        <v/>
      </c>
      <c r="DC41" s="75" t="str">
        <f t="shared" ca="1" si="78"/>
        <v/>
      </c>
      <c r="DD41" s="75" t="str">
        <f t="shared" ca="1" si="78"/>
        <v/>
      </c>
      <c r="DE41" s="75" t="str">
        <f t="shared" ca="1" si="78"/>
        <v/>
      </c>
      <c r="DF41" s="75" t="str">
        <f t="shared" ca="1" si="79"/>
        <v/>
      </c>
      <c r="DG41" s="75" t="str">
        <f t="shared" ca="1" si="79"/>
        <v/>
      </c>
      <c r="DH41" s="75" t="str">
        <f t="shared" ca="1" si="79"/>
        <v/>
      </c>
      <c r="DI41" s="75" t="str">
        <f t="shared" ca="1" si="79"/>
        <v/>
      </c>
      <c r="DJ41" s="75" t="str">
        <f t="shared" ca="1" si="79"/>
        <v/>
      </c>
      <c r="DK41" s="75" t="str">
        <f t="shared" ca="1" si="79"/>
        <v/>
      </c>
      <c r="DL41" s="75" t="str">
        <f t="shared" ca="1" si="79"/>
        <v/>
      </c>
      <c r="DM41" s="75" t="str">
        <f t="shared" ca="1" si="79"/>
        <v/>
      </c>
      <c r="DN41" s="75" t="str">
        <f t="shared" ca="1" si="79"/>
        <v/>
      </c>
      <c r="DO41" s="75" t="str">
        <f t="shared" ca="1" si="79"/>
        <v/>
      </c>
      <c r="DP41" s="75" t="str">
        <f t="shared" ca="1" si="80"/>
        <v/>
      </c>
      <c r="DQ41" s="75" t="str">
        <f t="shared" ca="1" si="80"/>
        <v/>
      </c>
      <c r="DR41" s="75" t="str">
        <f t="shared" ca="1" si="80"/>
        <v/>
      </c>
      <c r="DS41" s="75" t="str">
        <f t="shared" ca="1" si="80"/>
        <v/>
      </c>
      <c r="DT41" s="75" t="str">
        <f t="shared" ca="1" si="80"/>
        <v/>
      </c>
      <c r="DU41" s="75" t="str">
        <f t="shared" ca="1" si="80"/>
        <v/>
      </c>
      <c r="DV41" s="75" t="str">
        <f t="shared" ca="1" si="80"/>
        <v/>
      </c>
      <c r="DW41" s="75" t="str">
        <f t="shared" ca="1" si="80"/>
        <v/>
      </c>
      <c r="DX41" s="75" t="str">
        <f t="shared" ca="1" si="80"/>
        <v/>
      </c>
      <c r="DY41" s="75" t="str">
        <f t="shared" ca="1" si="80"/>
        <v/>
      </c>
      <c r="DZ41" s="75" t="str">
        <f t="shared" ca="1" si="81"/>
        <v/>
      </c>
      <c r="EA41" s="75" t="str">
        <f t="shared" ca="1" si="81"/>
        <v/>
      </c>
      <c r="EB41" s="75" t="str">
        <f t="shared" ca="1" si="81"/>
        <v/>
      </c>
      <c r="EC41" s="75" t="str">
        <f t="shared" ca="1" si="81"/>
        <v/>
      </c>
      <c r="ED41" s="75" t="str">
        <f t="shared" ca="1" si="81"/>
        <v/>
      </c>
      <c r="EE41" s="75" t="str">
        <f t="shared" ca="1" si="81"/>
        <v/>
      </c>
      <c r="EF41" s="75" t="str">
        <f t="shared" ca="1" si="81"/>
        <v/>
      </c>
      <c r="EG41" s="75" t="str">
        <f t="shared" ca="1" si="81"/>
        <v/>
      </c>
      <c r="EH41" s="75" t="str">
        <f t="shared" ca="1" si="81"/>
        <v/>
      </c>
      <c r="EI41" s="75" t="str">
        <f t="shared" ca="1" si="81"/>
        <v/>
      </c>
      <c r="EJ41" s="75" t="str">
        <f t="shared" ca="1" si="82"/>
        <v/>
      </c>
      <c r="EK41" s="75" t="str">
        <f t="shared" ca="1" si="82"/>
        <v/>
      </c>
      <c r="EL41" s="75" t="str">
        <f t="shared" ca="1" si="82"/>
        <v/>
      </c>
      <c r="EM41" s="75" t="str">
        <f t="shared" ca="1" si="82"/>
        <v/>
      </c>
      <c r="EN41" s="75" t="str">
        <f t="shared" ca="1" si="82"/>
        <v/>
      </c>
      <c r="EO41" s="75" t="str">
        <f t="shared" ca="1" si="82"/>
        <v/>
      </c>
      <c r="EP41" s="75" t="str">
        <f t="shared" ca="1" si="82"/>
        <v/>
      </c>
      <c r="EQ41" s="75" t="str">
        <f t="shared" ca="1" si="82"/>
        <v/>
      </c>
      <c r="ER41" s="75" t="str">
        <f t="shared" ca="1" si="82"/>
        <v/>
      </c>
      <c r="ES41" s="75" t="str">
        <f t="shared" ca="1" si="82"/>
        <v/>
      </c>
      <c r="ET41" s="75" t="str">
        <f t="shared" ca="1" si="83"/>
        <v/>
      </c>
      <c r="EU41" s="75" t="str">
        <f t="shared" ca="1" si="83"/>
        <v/>
      </c>
      <c r="EV41" s="75" t="str">
        <f t="shared" ca="1" si="83"/>
        <v/>
      </c>
      <c r="EW41" s="75" t="str">
        <f t="shared" ca="1" si="83"/>
        <v/>
      </c>
      <c r="EX41" s="75" t="str">
        <f t="shared" ca="1" si="83"/>
        <v/>
      </c>
      <c r="EY41" s="75" t="str">
        <f t="shared" ca="1" si="83"/>
        <v/>
      </c>
      <c r="EZ41" s="75" t="str">
        <f t="shared" ca="1" si="83"/>
        <v/>
      </c>
      <c r="FA41" s="75" t="str">
        <f t="shared" ca="1" si="83"/>
        <v/>
      </c>
      <c r="FB41" s="75" t="str">
        <f t="shared" ca="1" si="83"/>
        <v/>
      </c>
      <c r="FC41" s="75" t="str">
        <f t="shared" ca="1" si="83"/>
        <v/>
      </c>
      <c r="FD41" s="75" t="str">
        <f t="shared" ca="1" si="84"/>
        <v/>
      </c>
      <c r="FE41" s="75" t="str">
        <f t="shared" ca="1" si="84"/>
        <v/>
      </c>
      <c r="FF41" s="75" t="str">
        <f t="shared" ca="1" si="84"/>
        <v/>
      </c>
      <c r="FG41" s="75" t="str">
        <f t="shared" ca="1" si="84"/>
        <v/>
      </c>
      <c r="FH41" s="75" t="str">
        <f t="shared" ca="1" si="84"/>
        <v/>
      </c>
      <c r="FI41" s="75" t="str">
        <f t="shared" ca="1" si="84"/>
        <v/>
      </c>
      <c r="FJ41" s="75" t="str">
        <f t="shared" ca="1" si="84"/>
        <v/>
      </c>
      <c r="FK41" s="75" t="str">
        <f t="shared" ca="1" si="84"/>
        <v/>
      </c>
      <c r="FL41" s="75" t="str">
        <f t="shared" ca="1" si="84"/>
        <v/>
      </c>
      <c r="FM41" s="75" t="str">
        <f t="shared" ca="1" si="84"/>
        <v/>
      </c>
      <c r="FN41" s="75" t="str">
        <f t="shared" ca="1" si="85"/>
        <v/>
      </c>
      <c r="FO41" s="75" t="str">
        <f t="shared" ca="1" si="85"/>
        <v/>
      </c>
      <c r="FP41" s="75" t="str">
        <f t="shared" ca="1" si="85"/>
        <v/>
      </c>
      <c r="FQ41" s="75" t="str">
        <f t="shared" ca="1" si="85"/>
        <v/>
      </c>
      <c r="FR41" s="75" t="str">
        <f t="shared" ca="1" si="85"/>
        <v/>
      </c>
      <c r="FS41" s="75" t="str">
        <f t="shared" ca="1" si="85"/>
        <v/>
      </c>
      <c r="FT41" s="75" t="str">
        <f t="shared" ca="1" si="85"/>
        <v/>
      </c>
      <c r="FU41" s="75" t="str">
        <f t="shared" ca="1" si="85"/>
        <v/>
      </c>
      <c r="FV41" s="75" t="str">
        <f t="shared" ca="1" si="85"/>
        <v/>
      </c>
      <c r="FW41" s="75" t="str">
        <f t="shared" ca="1" si="85"/>
        <v/>
      </c>
      <c r="FX41" s="75" t="str">
        <f t="shared" ca="1" si="86"/>
        <v/>
      </c>
      <c r="FY41" s="75" t="str">
        <f t="shared" ca="1" si="86"/>
        <v/>
      </c>
      <c r="FZ41" s="75" t="str">
        <f t="shared" ca="1" si="86"/>
        <v/>
      </c>
      <c r="GA41" s="75" t="str">
        <f t="shared" ca="1" si="86"/>
        <v/>
      </c>
      <c r="GB41" s="75" t="str">
        <f t="shared" ca="1" si="86"/>
        <v/>
      </c>
      <c r="GC41" s="75" t="str">
        <f t="shared" ca="1" si="86"/>
        <v/>
      </c>
      <c r="GD41" s="75" t="str">
        <f t="shared" ca="1" si="86"/>
        <v/>
      </c>
      <c r="GE41" s="75" t="str">
        <f t="shared" ca="1" si="86"/>
        <v/>
      </c>
      <c r="GF41" s="75" t="str">
        <f t="shared" ca="1" si="86"/>
        <v/>
      </c>
      <c r="GG41" s="75" t="str">
        <f t="shared" ca="1" si="86"/>
        <v/>
      </c>
      <c r="GH41" s="75" t="str">
        <f t="shared" ca="1" si="87"/>
        <v/>
      </c>
      <c r="GI41" s="75" t="str">
        <f t="shared" ca="1" si="87"/>
        <v/>
      </c>
      <c r="GJ41" s="75" t="str">
        <f t="shared" ca="1" si="87"/>
        <v/>
      </c>
      <c r="GK41" s="75" t="str">
        <f t="shared" ca="1" si="87"/>
        <v/>
      </c>
      <c r="GL41" s="75" t="str">
        <f t="shared" ca="1" si="87"/>
        <v/>
      </c>
      <c r="GM41" s="75" t="str">
        <f t="shared" ca="1" si="87"/>
        <v/>
      </c>
      <c r="GN41" s="75" t="str">
        <f t="shared" ca="1" si="87"/>
        <v/>
      </c>
      <c r="GO41" s="75" t="str">
        <f t="shared" ca="1" si="87"/>
        <v/>
      </c>
      <c r="GP41" s="75" t="str">
        <f t="shared" ca="1" si="87"/>
        <v/>
      </c>
      <c r="GQ41" s="75" t="str">
        <f t="shared" ca="1" si="87"/>
        <v/>
      </c>
      <c r="GR41" s="75" t="str">
        <f t="shared" ca="1" si="88"/>
        <v/>
      </c>
      <c r="GS41" s="75" t="str">
        <f t="shared" ca="1" si="88"/>
        <v/>
      </c>
      <c r="GT41" s="75" t="str">
        <f t="shared" ca="1" si="88"/>
        <v/>
      </c>
      <c r="GU41" s="75" t="str">
        <f t="shared" ca="1" si="88"/>
        <v/>
      </c>
      <c r="GV41" s="75" t="str">
        <f t="shared" ca="1" si="88"/>
        <v/>
      </c>
      <c r="GW41" s="75" t="str">
        <f t="shared" ca="1" si="88"/>
        <v/>
      </c>
      <c r="GX41" s="75" t="str">
        <f t="shared" ca="1" si="88"/>
        <v/>
      </c>
      <c r="GY41" s="75" t="str">
        <f t="shared" ca="1" si="88"/>
        <v/>
      </c>
      <c r="GZ41" s="75" t="str">
        <f t="shared" ca="1" si="88"/>
        <v/>
      </c>
      <c r="HA41" s="75" t="str">
        <f t="shared" ca="1" si="88"/>
        <v/>
      </c>
      <c r="HB41" s="75" t="str">
        <f t="shared" ca="1" si="89"/>
        <v/>
      </c>
      <c r="HC41" s="75" t="str">
        <f t="shared" ca="1" si="89"/>
        <v/>
      </c>
      <c r="HD41" s="75" t="str">
        <f t="shared" ca="1" si="89"/>
        <v/>
      </c>
      <c r="HE41" s="75" t="str">
        <f t="shared" ca="1" si="89"/>
        <v/>
      </c>
      <c r="HF41" s="75" t="str">
        <f t="shared" ca="1" si="89"/>
        <v/>
      </c>
      <c r="HG41" s="75" t="str">
        <f t="shared" ca="1" si="89"/>
        <v/>
      </c>
      <c r="HH41" s="75" t="str">
        <f t="shared" ca="1" si="89"/>
        <v/>
      </c>
      <c r="HI41" s="75" t="str">
        <f t="shared" ca="1" si="89"/>
        <v/>
      </c>
      <c r="HJ41" s="75" t="str">
        <f t="shared" ca="1" si="89"/>
        <v/>
      </c>
      <c r="HK41" s="75" t="str">
        <f t="shared" ca="1" si="89"/>
        <v/>
      </c>
      <c r="HL41" s="75" t="str">
        <f t="shared" ca="1" si="90"/>
        <v/>
      </c>
      <c r="HM41" s="75" t="str">
        <f t="shared" ca="1" si="90"/>
        <v/>
      </c>
      <c r="HN41" s="75" t="str">
        <f t="shared" ca="1" si="90"/>
        <v/>
      </c>
      <c r="HO41" s="75" t="str">
        <f t="shared" ca="1" si="90"/>
        <v/>
      </c>
      <c r="HP41" s="75" t="str">
        <f t="shared" ca="1" si="90"/>
        <v/>
      </c>
      <c r="HQ41" s="75" t="str">
        <f t="shared" ca="1" si="90"/>
        <v/>
      </c>
      <c r="HR41" s="75" t="str">
        <f t="shared" ca="1" si="90"/>
        <v/>
      </c>
      <c r="HS41" s="75" t="str">
        <f t="shared" ca="1" si="90"/>
        <v/>
      </c>
      <c r="HT41" s="75" t="str">
        <f t="shared" ca="1" si="90"/>
        <v/>
      </c>
      <c r="HU41" s="75" t="str">
        <f t="shared" ca="1" si="90"/>
        <v/>
      </c>
      <c r="HV41" s="75" t="str">
        <f t="shared" ca="1" si="91"/>
        <v/>
      </c>
      <c r="HW41" s="75" t="str">
        <f t="shared" ca="1" si="91"/>
        <v/>
      </c>
      <c r="HX41" s="75" t="str">
        <f t="shared" ca="1" si="91"/>
        <v/>
      </c>
      <c r="HY41" s="75" t="str">
        <f t="shared" ca="1" si="91"/>
        <v/>
      </c>
      <c r="HZ41" s="75" t="str">
        <f t="shared" ca="1" si="91"/>
        <v/>
      </c>
      <c r="IA41" s="75" t="str">
        <f t="shared" ca="1" si="91"/>
        <v/>
      </c>
      <c r="IB41" s="75" t="str">
        <f t="shared" ca="1" si="91"/>
        <v/>
      </c>
      <c r="IC41" s="75" t="str">
        <f t="shared" ca="1" si="91"/>
        <v/>
      </c>
      <c r="ID41" s="75" t="str">
        <f t="shared" ca="1" si="91"/>
        <v/>
      </c>
      <c r="IE41" s="75" t="str">
        <f t="shared" ca="1" si="91"/>
        <v/>
      </c>
      <c r="IF41" s="75" t="str">
        <f t="shared" ca="1" si="92"/>
        <v/>
      </c>
      <c r="IG41" s="75" t="str">
        <f t="shared" ca="1" si="92"/>
        <v/>
      </c>
      <c r="IH41" s="75" t="str">
        <f t="shared" ca="1" si="92"/>
        <v/>
      </c>
      <c r="II41" s="75" t="str">
        <f t="shared" ca="1" si="92"/>
        <v/>
      </c>
      <c r="IJ41" s="75" t="str">
        <f t="shared" ca="1" si="92"/>
        <v/>
      </c>
      <c r="IK41" s="75" t="str">
        <f t="shared" ca="1" si="92"/>
        <v/>
      </c>
      <c r="IL41" s="75" t="str">
        <f t="shared" ca="1" si="92"/>
        <v/>
      </c>
      <c r="IM41" s="75" t="str">
        <f t="shared" ca="1" si="92"/>
        <v/>
      </c>
      <c r="IN41" s="75" t="str">
        <f t="shared" ca="1" si="92"/>
        <v/>
      </c>
      <c r="IO41" s="75" t="str">
        <f t="shared" ca="1" si="92"/>
        <v/>
      </c>
      <c r="IP41" s="75" t="str">
        <f t="shared" ca="1" si="93"/>
        <v/>
      </c>
      <c r="IQ41" s="75" t="str">
        <f t="shared" ca="1" si="93"/>
        <v/>
      </c>
      <c r="IR41" s="75" t="str">
        <f t="shared" ca="1" si="93"/>
        <v/>
      </c>
      <c r="IS41" s="75" t="str">
        <f t="shared" ca="1" si="93"/>
        <v/>
      </c>
      <c r="IT41" s="75" t="str">
        <f t="shared" ca="1" si="93"/>
        <v/>
      </c>
      <c r="IU41" s="75" t="str">
        <f t="shared" ca="1" si="93"/>
        <v/>
      </c>
      <c r="IV41" s="75" t="str">
        <f t="shared" ca="1" si="93"/>
        <v/>
      </c>
      <c r="IW41" s="75" t="str">
        <f t="shared" ca="1" si="93"/>
        <v/>
      </c>
      <c r="IX41" s="75" t="str">
        <f t="shared" ca="1" si="93"/>
        <v/>
      </c>
      <c r="IY41" s="75" t="str">
        <f t="shared" ca="1" si="93"/>
        <v/>
      </c>
      <c r="IZ41" s="75" t="str">
        <f t="shared" ca="1" si="94"/>
        <v/>
      </c>
      <c r="JA41" s="75" t="str">
        <f t="shared" ca="1" si="94"/>
        <v/>
      </c>
      <c r="JB41" s="75" t="str">
        <f t="shared" ca="1" si="94"/>
        <v/>
      </c>
      <c r="JC41" s="75" t="str">
        <f t="shared" ca="1" si="94"/>
        <v/>
      </c>
      <c r="JD41" s="75" t="str">
        <f t="shared" ca="1" si="94"/>
        <v/>
      </c>
      <c r="JE41" s="75" t="str">
        <f t="shared" ca="1" si="94"/>
        <v/>
      </c>
      <c r="JF41" s="75" t="str">
        <f t="shared" ca="1" si="94"/>
        <v/>
      </c>
      <c r="JG41" s="75" t="str">
        <f t="shared" ca="1" si="94"/>
        <v/>
      </c>
      <c r="JH41" s="75" t="str">
        <f t="shared" ca="1" si="94"/>
        <v/>
      </c>
      <c r="JI41" s="75" t="str">
        <f t="shared" ca="1" si="94"/>
        <v/>
      </c>
      <c r="JJ41" s="75" t="str">
        <f t="shared" ca="1" si="95"/>
        <v/>
      </c>
      <c r="JK41" s="75" t="str">
        <f t="shared" ca="1" si="95"/>
        <v/>
      </c>
      <c r="JL41" s="75" t="str">
        <f t="shared" ca="1" si="95"/>
        <v/>
      </c>
      <c r="JM41" s="75" t="str">
        <f t="shared" ca="1" si="95"/>
        <v/>
      </c>
      <c r="JN41" s="75" t="str">
        <f t="shared" ca="1" si="95"/>
        <v/>
      </c>
      <c r="JO41" s="75" t="str">
        <f t="shared" ca="1" si="95"/>
        <v/>
      </c>
      <c r="JP41" s="75" t="str">
        <f t="shared" ca="1" si="95"/>
        <v/>
      </c>
      <c r="JQ41" s="75" t="str">
        <f t="shared" ca="1" si="95"/>
        <v/>
      </c>
      <c r="JR41" s="75" t="str">
        <f t="shared" ca="1" si="95"/>
        <v/>
      </c>
      <c r="JS41" s="75" t="str">
        <f t="shared" ca="1" si="95"/>
        <v/>
      </c>
      <c r="JT41" s="75" t="str">
        <f t="shared" ca="1" si="96"/>
        <v/>
      </c>
      <c r="JU41" s="75" t="str">
        <f t="shared" ca="1" si="96"/>
        <v/>
      </c>
      <c r="JV41" s="75" t="str">
        <f t="shared" ca="1" si="96"/>
        <v/>
      </c>
      <c r="JW41" s="75" t="str">
        <f t="shared" ca="1" si="96"/>
        <v/>
      </c>
      <c r="JX41" s="75" t="str">
        <f t="shared" ca="1" si="96"/>
        <v/>
      </c>
      <c r="JY41" s="75" t="str">
        <f t="shared" ca="1" si="96"/>
        <v/>
      </c>
      <c r="JZ41" s="75" t="str">
        <f t="shared" ca="1" si="96"/>
        <v/>
      </c>
      <c r="KA41" s="75" t="str">
        <f t="shared" ca="1" si="96"/>
        <v/>
      </c>
      <c r="KB41" s="75" t="str">
        <f t="shared" ca="1" si="96"/>
        <v/>
      </c>
      <c r="KC41" s="75" t="str">
        <f t="shared" ca="1" si="96"/>
        <v/>
      </c>
      <c r="KD41" s="75" t="str">
        <f t="shared" ca="1" si="97"/>
        <v/>
      </c>
      <c r="KE41" s="75" t="str">
        <f t="shared" ca="1" si="97"/>
        <v/>
      </c>
      <c r="KF41" s="75" t="str">
        <f t="shared" ca="1" si="97"/>
        <v/>
      </c>
      <c r="KG41" s="75" t="str">
        <f t="shared" ca="1" si="97"/>
        <v/>
      </c>
      <c r="KH41" s="75" t="str">
        <f t="shared" ca="1" si="97"/>
        <v/>
      </c>
      <c r="KI41" s="75" t="str">
        <f t="shared" ca="1" si="97"/>
        <v/>
      </c>
      <c r="KJ41" s="75" t="str">
        <f t="shared" ca="1" si="97"/>
        <v/>
      </c>
      <c r="KK41" s="75" t="str">
        <f t="shared" ca="1" si="97"/>
        <v/>
      </c>
      <c r="KL41" s="75" t="str">
        <f t="shared" ca="1" si="97"/>
        <v/>
      </c>
      <c r="KM41" s="75" t="str">
        <f t="shared" ca="1" si="97"/>
        <v/>
      </c>
      <c r="KN41" s="75" t="str">
        <f t="shared" ca="1" si="98"/>
        <v/>
      </c>
      <c r="KO41" s="75" t="str">
        <f t="shared" ca="1" si="98"/>
        <v/>
      </c>
      <c r="KP41" s="75" t="str">
        <f t="shared" ca="1" si="98"/>
        <v/>
      </c>
      <c r="KQ41" s="75" t="str">
        <f t="shared" ca="1" si="98"/>
        <v/>
      </c>
      <c r="KR41" s="75" t="str">
        <f t="shared" ca="1" si="98"/>
        <v/>
      </c>
      <c r="KS41" s="75" t="str">
        <f t="shared" ca="1" si="98"/>
        <v/>
      </c>
      <c r="KT41" s="75" t="str">
        <f t="shared" ca="1" si="98"/>
        <v/>
      </c>
      <c r="KU41" s="75" t="str">
        <f t="shared" ca="1" si="98"/>
        <v/>
      </c>
      <c r="KV41" s="75" t="str">
        <f t="shared" ca="1" si="98"/>
        <v/>
      </c>
      <c r="KW41" s="75" t="str">
        <f t="shared" ca="1" si="98"/>
        <v/>
      </c>
      <c r="KX41" s="75" t="str">
        <f t="shared" ca="1" si="99"/>
        <v/>
      </c>
      <c r="KY41" s="75" t="str">
        <f t="shared" ca="1" si="99"/>
        <v/>
      </c>
      <c r="KZ41" s="75" t="str">
        <f t="shared" ca="1" si="99"/>
        <v/>
      </c>
      <c r="LA41" s="75" t="str">
        <f t="shared" ca="1" si="99"/>
        <v/>
      </c>
      <c r="LB41" s="75" t="str">
        <f t="shared" ca="1" si="99"/>
        <v/>
      </c>
      <c r="LC41" s="75" t="str">
        <f t="shared" ca="1" si="99"/>
        <v/>
      </c>
      <c r="LD41" s="75" t="str">
        <f t="shared" ca="1" si="99"/>
        <v/>
      </c>
      <c r="LE41" s="75" t="str">
        <f t="shared" ca="1" si="99"/>
        <v/>
      </c>
      <c r="LF41" s="75" t="str">
        <f t="shared" ca="1" si="99"/>
        <v/>
      </c>
      <c r="LG41" s="75" t="str">
        <f t="shared" ca="1" si="99"/>
        <v/>
      </c>
      <c r="LH41" s="75" t="str">
        <f t="shared" ca="1" si="100"/>
        <v/>
      </c>
      <c r="LI41" s="75" t="str">
        <f t="shared" ca="1" si="100"/>
        <v/>
      </c>
      <c r="LJ41" s="75" t="str">
        <f t="shared" ca="1" si="100"/>
        <v/>
      </c>
      <c r="LK41" s="75" t="str">
        <f t="shared" ca="1" si="100"/>
        <v/>
      </c>
      <c r="LL41" s="75" t="str">
        <f t="shared" ca="1" si="100"/>
        <v/>
      </c>
      <c r="LM41" s="75" t="str">
        <f t="shared" ca="1" si="100"/>
        <v/>
      </c>
      <c r="LN41" s="75" t="str">
        <f t="shared" ca="1" si="100"/>
        <v/>
      </c>
      <c r="LO41" s="75" t="str">
        <f t="shared" ca="1" si="100"/>
        <v/>
      </c>
      <c r="LP41" s="75" t="str">
        <f t="shared" ca="1" si="100"/>
        <v/>
      </c>
      <c r="LQ41" s="75" t="str">
        <f t="shared" ca="1" si="100"/>
        <v/>
      </c>
      <c r="LR41" s="75" t="str">
        <f t="shared" ca="1" si="101"/>
        <v/>
      </c>
      <c r="LS41" s="75" t="str">
        <f t="shared" ca="1" si="101"/>
        <v/>
      </c>
      <c r="LT41" s="75" t="str">
        <f t="shared" ca="1" si="101"/>
        <v/>
      </c>
      <c r="LU41" s="75" t="str">
        <f t="shared" ca="1" si="101"/>
        <v/>
      </c>
      <c r="LV41" s="75" t="str">
        <f t="shared" ca="1" si="101"/>
        <v/>
      </c>
      <c r="LW41" s="75" t="str">
        <f t="shared" ca="1" si="101"/>
        <v/>
      </c>
      <c r="LX41" s="75" t="str">
        <f t="shared" ca="1" si="101"/>
        <v/>
      </c>
      <c r="LY41" s="75" t="str">
        <f t="shared" ca="1" si="101"/>
        <v/>
      </c>
      <c r="LZ41" s="75" t="str">
        <f t="shared" ca="1" si="101"/>
        <v/>
      </c>
      <c r="MA41" s="75" t="str">
        <f t="shared" ca="1" si="101"/>
        <v/>
      </c>
      <c r="MB41" s="75" t="str">
        <f t="shared" ca="1" si="102"/>
        <v/>
      </c>
      <c r="MC41" s="75" t="str">
        <f t="shared" ca="1" si="102"/>
        <v/>
      </c>
      <c r="MD41" s="75" t="str">
        <f t="shared" ca="1" si="102"/>
        <v/>
      </c>
      <c r="ME41" s="75" t="str">
        <f t="shared" ca="1" si="102"/>
        <v/>
      </c>
      <c r="MF41" s="75" t="str">
        <f t="shared" ca="1" si="102"/>
        <v/>
      </c>
      <c r="MG41" s="75" t="str">
        <f t="shared" ca="1" si="102"/>
        <v/>
      </c>
      <c r="MH41" s="75" t="str">
        <f t="shared" ca="1" si="102"/>
        <v/>
      </c>
      <c r="MI41" s="75" t="str">
        <f t="shared" ca="1" si="102"/>
        <v/>
      </c>
      <c r="MJ41" s="75" t="str">
        <f t="shared" ca="1" si="102"/>
        <v/>
      </c>
      <c r="MK41" s="75" t="str">
        <f t="shared" ca="1" si="102"/>
        <v/>
      </c>
      <c r="ML41" s="75" t="str">
        <f t="shared" ca="1" si="103"/>
        <v/>
      </c>
      <c r="MM41" s="75" t="str">
        <f t="shared" ca="1" si="103"/>
        <v/>
      </c>
      <c r="MN41" s="75" t="str">
        <f t="shared" ca="1" si="103"/>
        <v/>
      </c>
      <c r="MO41" s="75" t="str">
        <f t="shared" ca="1" si="103"/>
        <v/>
      </c>
      <c r="MP41" s="75" t="str">
        <f t="shared" ca="1" si="103"/>
        <v/>
      </c>
      <c r="MQ41" s="75" t="str">
        <f t="shared" ca="1" si="103"/>
        <v/>
      </c>
      <c r="MR41" s="75" t="str">
        <f t="shared" ca="1" si="103"/>
        <v/>
      </c>
      <c r="MS41" s="75" t="str">
        <f t="shared" ca="1" si="103"/>
        <v/>
      </c>
      <c r="MT41" s="75" t="str">
        <f t="shared" ca="1" si="103"/>
        <v/>
      </c>
      <c r="MU41" s="75" t="str">
        <f t="shared" ca="1" si="103"/>
        <v/>
      </c>
      <c r="MV41" s="75" t="str">
        <f t="shared" ca="1" si="104"/>
        <v/>
      </c>
      <c r="MW41" s="75" t="str">
        <f t="shared" ca="1" si="104"/>
        <v/>
      </c>
      <c r="MX41" s="75" t="str">
        <f t="shared" ca="1" si="104"/>
        <v/>
      </c>
      <c r="MY41" s="75" t="str">
        <f t="shared" ca="1" si="104"/>
        <v/>
      </c>
      <c r="MZ41" s="75" t="str">
        <f t="shared" ca="1" si="104"/>
        <v/>
      </c>
      <c r="NA41" s="75" t="str">
        <f t="shared" ca="1" si="104"/>
        <v/>
      </c>
      <c r="NB41" s="75" t="str">
        <f t="shared" ca="1" si="104"/>
        <v/>
      </c>
      <c r="NC41" s="75" t="str">
        <f t="shared" ca="1" si="104"/>
        <v/>
      </c>
      <c r="ND41" s="75" t="str">
        <f t="shared" ca="1" si="104"/>
        <v/>
      </c>
      <c r="NE41" s="75" t="str">
        <f t="shared" ca="1" si="104"/>
        <v/>
      </c>
      <c r="NF41" s="75" t="str">
        <f t="shared" ca="1" si="105"/>
        <v/>
      </c>
      <c r="NG41" s="75" t="str">
        <f t="shared" ca="1" si="105"/>
        <v/>
      </c>
      <c r="NH41" s="75" t="str">
        <f t="shared" ca="1" si="105"/>
        <v/>
      </c>
      <c r="NI41" s="75" t="str">
        <f t="shared" ca="1" si="105"/>
        <v/>
      </c>
      <c r="NJ41" s="75" t="str">
        <f t="shared" ca="1" si="105"/>
        <v/>
      </c>
      <c r="NK41" s="75" t="str">
        <f t="shared" ca="1" si="105"/>
        <v/>
      </c>
      <c r="NL41" s="75" t="str">
        <f t="shared" ca="1" si="105"/>
        <v/>
      </c>
      <c r="NM41" s="75" t="str">
        <f t="shared" ca="1" si="105"/>
        <v/>
      </c>
      <c r="NN41" s="75" t="str">
        <f t="shared" ca="1" si="105"/>
        <v/>
      </c>
      <c r="NO41" s="75" t="str">
        <f t="shared" ca="1" si="105"/>
        <v/>
      </c>
      <c r="NP41" s="75" t="str">
        <f t="shared" ca="1" si="106"/>
        <v/>
      </c>
      <c r="NQ41" s="75" t="str">
        <f t="shared" ca="1" si="106"/>
        <v/>
      </c>
      <c r="NR41" s="75" t="str">
        <f t="shared" ca="1" si="106"/>
        <v/>
      </c>
      <c r="NS41" s="75" t="str">
        <f t="shared" ca="1" si="106"/>
        <v/>
      </c>
      <c r="NT41" s="75" t="str">
        <f t="shared" ca="1" si="106"/>
        <v/>
      </c>
      <c r="NU41" s="75" t="str">
        <f t="shared" ca="1" si="106"/>
        <v/>
      </c>
      <c r="NV41" s="75" t="str">
        <f t="shared" ca="1" si="106"/>
        <v/>
      </c>
      <c r="NW41" s="75" t="str">
        <f t="shared" ca="1" si="106"/>
        <v/>
      </c>
      <c r="NX41" s="75" t="str">
        <f t="shared" ca="1" si="106"/>
        <v/>
      </c>
      <c r="NY41" s="75" t="str">
        <f t="shared" ca="1" si="106"/>
        <v/>
      </c>
      <c r="NZ41" s="75" t="str">
        <f t="shared" ca="1" si="107"/>
        <v/>
      </c>
      <c r="OA41" s="75" t="str">
        <f t="shared" ca="1" si="107"/>
        <v/>
      </c>
      <c r="OB41" s="75" t="str">
        <f t="shared" ca="1" si="107"/>
        <v/>
      </c>
      <c r="OC41" s="75" t="str">
        <f t="shared" ca="1" si="107"/>
        <v/>
      </c>
      <c r="OD41" s="75" t="str">
        <f t="shared" ca="1" si="107"/>
        <v/>
      </c>
      <c r="OE41" s="75" t="str">
        <f t="shared" ca="1" si="107"/>
        <v/>
      </c>
      <c r="OF41" s="75" t="str">
        <f t="shared" ca="1" si="107"/>
        <v/>
      </c>
      <c r="OG41" s="75" t="str">
        <f t="shared" ca="1" si="107"/>
        <v/>
      </c>
      <c r="OH41" s="75" t="str">
        <f t="shared" ca="1" si="107"/>
        <v/>
      </c>
      <c r="OI41" s="75" t="str">
        <f t="shared" ca="1" si="107"/>
        <v/>
      </c>
      <c r="OJ41" s="75" t="str">
        <f t="shared" ca="1" si="108"/>
        <v/>
      </c>
      <c r="OK41" s="75" t="str">
        <f t="shared" ca="1" si="108"/>
        <v/>
      </c>
      <c r="OL41" s="75" t="str">
        <f t="shared" ca="1" si="108"/>
        <v/>
      </c>
      <c r="OM41" s="75" t="str">
        <f t="shared" ca="1" si="108"/>
        <v/>
      </c>
      <c r="ON41" s="75" t="str">
        <f t="shared" ca="1" si="108"/>
        <v/>
      </c>
      <c r="OO41" s="75" t="str">
        <f t="shared" ca="1" si="108"/>
        <v/>
      </c>
      <c r="OP41" s="75" t="str">
        <f t="shared" ca="1" si="108"/>
        <v/>
      </c>
      <c r="OQ41" s="75" t="str">
        <f t="shared" ca="1" si="108"/>
        <v/>
      </c>
      <c r="OR41" s="75" t="str">
        <f t="shared" ca="1" si="108"/>
        <v/>
      </c>
      <c r="OS41" s="75" t="str">
        <f t="shared" ca="1" si="108"/>
        <v/>
      </c>
      <c r="OT41" s="75" t="str">
        <f t="shared" ca="1" si="109"/>
        <v/>
      </c>
      <c r="OU41" s="75" t="str">
        <f t="shared" ca="1" si="109"/>
        <v/>
      </c>
      <c r="OV41" s="75" t="str">
        <f t="shared" ca="1" si="109"/>
        <v/>
      </c>
      <c r="OW41" s="75" t="str">
        <f t="shared" ca="1" si="109"/>
        <v/>
      </c>
      <c r="OX41" s="75" t="str">
        <f t="shared" ca="1" si="109"/>
        <v/>
      </c>
      <c r="OY41" s="75" t="str">
        <f t="shared" ca="1" si="109"/>
        <v/>
      </c>
      <c r="OZ41" s="75" t="str">
        <f t="shared" ca="1" si="109"/>
        <v/>
      </c>
      <c r="PA41" s="75" t="str">
        <f t="shared" ca="1" si="109"/>
        <v/>
      </c>
      <c r="PB41" s="75" t="str">
        <f t="shared" ca="1" si="109"/>
        <v/>
      </c>
      <c r="PC41" s="75" t="str">
        <f t="shared" ca="1" si="109"/>
        <v/>
      </c>
      <c r="PD41" s="75" t="str">
        <f t="shared" ca="1" si="110"/>
        <v/>
      </c>
      <c r="PE41" s="75" t="str">
        <f t="shared" ca="1" si="110"/>
        <v/>
      </c>
      <c r="PF41" s="75" t="str">
        <f t="shared" ca="1" si="110"/>
        <v/>
      </c>
      <c r="PG41" s="75" t="str">
        <f t="shared" ca="1" si="110"/>
        <v/>
      </c>
      <c r="PH41" s="75" t="str">
        <f t="shared" ca="1" si="110"/>
        <v/>
      </c>
      <c r="PI41" s="75" t="str">
        <f t="shared" ca="1" si="110"/>
        <v/>
      </c>
      <c r="PJ41" s="75" t="str">
        <f t="shared" ca="1" si="110"/>
        <v/>
      </c>
      <c r="PK41" s="75" t="str">
        <f t="shared" ca="1" si="110"/>
        <v/>
      </c>
      <c r="PL41" s="75" t="str">
        <f t="shared" ca="1" si="110"/>
        <v/>
      </c>
      <c r="PM41" s="75" t="str">
        <f t="shared" ca="1" si="110"/>
        <v/>
      </c>
      <c r="PN41" s="75" t="str">
        <f t="shared" ca="1" si="111"/>
        <v/>
      </c>
      <c r="PO41" s="75" t="str">
        <f t="shared" ca="1" si="111"/>
        <v/>
      </c>
      <c r="PP41" s="75" t="str">
        <f t="shared" ca="1" si="111"/>
        <v/>
      </c>
      <c r="PQ41" s="75" t="str">
        <f t="shared" ca="1" si="111"/>
        <v/>
      </c>
      <c r="PR41" s="75" t="str">
        <f t="shared" ca="1" si="111"/>
        <v/>
      </c>
      <c r="PS41" s="75" t="str">
        <f t="shared" ca="1" si="111"/>
        <v/>
      </c>
      <c r="PT41" s="75" t="str">
        <f t="shared" ca="1" si="111"/>
        <v/>
      </c>
      <c r="PU41" s="75" t="str">
        <f t="shared" ca="1" si="111"/>
        <v/>
      </c>
      <c r="PV41" s="75" t="str">
        <f t="shared" ca="1" si="111"/>
        <v/>
      </c>
      <c r="PW41" s="75" t="str">
        <f t="shared" ca="1" si="111"/>
        <v/>
      </c>
      <c r="PX41" s="75" t="str">
        <f t="shared" ca="1" si="112"/>
        <v/>
      </c>
      <c r="PY41" s="75" t="str">
        <f t="shared" ca="1" si="112"/>
        <v/>
      </c>
      <c r="PZ41" s="75" t="str">
        <f t="shared" ca="1" si="112"/>
        <v/>
      </c>
      <c r="QA41" s="75" t="str">
        <f t="shared" ca="1" si="112"/>
        <v/>
      </c>
      <c r="QB41" s="75" t="str">
        <f t="shared" ca="1" si="112"/>
        <v/>
      </c>
      <c r="QC41" s="75" t="str">
        <f t="shared" ca="1" si="112"/>
        <v/>
      </c>
      <c r="QD41" s="75" t="str">
        <f t="shared" ca="1" si="112"/>
        <v/>
      </c>
      <c r="QE41" s="75" t="str">
        <f t="shared" ca="1" si="112"/>
        <v/>
      </c>
      <c r="QF41" s="75" t="str">
        <f t="shared" ca="1" si="112"/>
        <v/>
      </c>
      <c r="QG41" s="75" t="str">
        <f t="shared" ca="1" si="112"/>
        <v/>
      </c>
      <c r="QH41" s="75" t="str">
        <f t="shared" ca="1" si="113"/>
        <v/>
      </c>
      <c r="QI41" s="75" t="str">
        <f t="shared" ca="1" si="113"/>
        <v/>
      </c>
      <c r="QJ41" s="75" t="str">
        <f t="shared" ca="1" si="113"/>
        <v/>
      </c>
      <c r="QK41" s="75" t="str">
        <f t="shared" ca="1" si="113"/>
        <v/>
      </c>
      <c r="QL41" s="75" t="str">
        <f t="shared" ca="1" si="113"/>
        <v/>
      </c>
      <c r="QM41" s="75" t="str">
        <f t="shared" ca="1" si="113"/>
        <v/>
      </c>
      <c r="QN41" s="75" t="str">
        <f t="shared" ca="1" si="113"/>
        <v/>
      </c>
      <c r="QO41" s="75" t="str">
        <f t="shared" ca="1" si="113"/>
        <v/>
      </c>
      <c r="QP41" s="75" t="str">
        <f t="shared" ca="1" si="113"/>
        <v/>
      </c>
      <c r="QQ41" s="75" t="str">
        <f t="shared" ca="1" si="113"/>
        <v/>
      </c>
      <c r="QR41" s="75" t="str">
        <f t="shared" ca="1" si="114"/>
        <v/>
      </c>
      <c r="QS41" s="75" t="str">
        <f t="shared" ca="1" si="114"/>
        <v/>
      </c>
      <c r="QT41" s="75" t="str">
        <f t="shared" ca="1" si="114"/>
        <v/>
      </c>
      <c r="QU41" s="75" t="str">
        <f t="shared" ca="1" si="114"/>
        <v/>
      </c>
      <c r="QV41" s="75" t="str">
        <f t="shared" ca="1" si="114"/>
        <v/>
      </c>
      <c r="QW41" s="75" t="str">
        <f t="shared" ca="1" si="114"/>
        <v/>
      </c>
      <c r="QX41" s="75" t="str">
        <f t="shared" ca="1" si="114"/>
        <v/>
      </c>
      <c r="QY41" s="75" t="str">
        <f t="shared" ca="1" si="114"/>
        <v/>
      </c>
      <c r="QZ41" s="75" t="str">
        <f t="shared" ca="1" si="114"/>
        <v/>
      </c>
      <c r="RA41" s="75" t="str">
        <f t="shared" ca="1" si="114"/>
        <v/>
      </c>
      <c r="RB41" s="75" t="str">
        <f t="shared" ca="1" si="115"/>
        <v/>
      </c>
      <c r="RC41" s="75" t="str">
        <f t="shared" ca="1" si="115"/>
        <v/>
      </c>
      <c r="RD41" s="75" t="str">
        <f t="shared" ca="1" si="115"/>
        <v/>
      </c>
      <c r="RE41" s="75" t="str">
        <f t="shared" ca="1" si="115"/>
        <v/>
      </c>
      <c r="RF41" s="75" t="str">
        <f t="shared" ca="1" si="115"/>
        <v/>
      </c>
      <c r="RG41" s="75" t="str">
        <f t="shared" ca="1" si="115"/>
        <v/>
      </c>
      <c r="RH41" s="75" t="str">
        <f t="shared" ca="1" si="115"/>
        <v/>
      </c>
      <c r="RI41" s="75" t="str">
        <f t="shared" ca="1" si="115"/>
        <v/>
      </c>
      <c r="RJ41" s="75" t="str">
        <f t="shared" ca="1" si="115"/>
        <v/>
      </c>
      <c r="RK41" s="75" t="str">
        <f t="shared" ca="1" si="115"/>
        <v/>
      </c>
      <c r="RL41" s="75" t="str">
        <f t="shared" ca="1" si="116"/>
        <v/>
      </c>
      <c r="RM41" s="75" t="str">
        <f t="shared" ca="1" si="116"/>
        <v/>
      </c>
      <c r="RN41" s="75" t="str">
        <f t="shared" ca="1" si="116"/>
        <v/>
      </c>
      <c r="RO41" s="75" t="str">
        <f t="shared" ca="1" si="116"/>
        <v/>
      </c>
      <c r="RP41" s="75" t="str">
        <f t="shared" ca="1" si="116"/>
        <v/>
      </c>
      <c r="RQ41" s="75" t="str">
        <f t="shared" ca="1" si="116"/>
        <v/>
      </c>
      <c r="RR41" s="75" t="str">
        <f t="shared" ca="1" si="116"/>
        <v/>
      </c>
      <c r="RS41" s="75" t="str">
        <f t="shared" ca="1" si="116"/>
        <v/>
      </c>
      <c r="RT41" s="75" t="str">
        <f t="shared" ca="1" si="116"/>
        <v/>
      </c>
      <c r="RU41" s="75" t="str">
        <f t="shared" ca="1" si="116"/>
        <v/>
      </c>
      <c r="RV41" s="75" t="str">
        <f t="shared" ca="1" si="117"/>
        <v/>
      </c>
      <c r="RW41" s="75" t="str">
        <f t="shared" ca="1" si="117"/>
        <v/>
      </c>
      <c r="RX41" s="75" t="str">
        <f t="shared" ca="1" si="117"/>
        <v/>
      </c>
      <c r="RY41" s="75" t="str">
        <f t="shared" ca="1" si="117"/>
        <v/>
      </c>
      <c r="RZ41" s="75" t="str">
        <f t="shared" ca="1" si="117"/>
        <v/>
      </c>
      <c r="SA41" s="75" t="str">
        <f t="shared" ca="1" si="117"/>
        <v/>
      </c>
      <c r="SB41" s="75" t="str">
        <f t="shared" ca="1" si="117"/>
        <v/>
      </c>
      <c r="SC41" s="75" t="str">
        <f t="shared" ca="1" si="117"/>
        <v/>
      </c>
      <c r="SD41" s="75" t="str">
        <f t="shared" ca="1" si="117"/>
        <v/>
      </c>
      <c r="SE41" s="75" t="str">
        <f t="shared" ca="1" si="117"/>
        <v/>
      </c>
      <c r="SF41" s="75" t="str">
        <f t="shared" ca="1" si="118"/>
        <v/>
      </c>
      <c r="SG41" s="75" t="str">
        <f t="shared" ca="1" si="118"/>
        <v/>
      </c>
      <c r="SH41" s="75" t="str">
        <f t="shared" ca="1" si="118"/>
        <v/>
      </c>
      <c r="SI41" s="75" t="str">
        <f t="shared" ca="1" si="118"/>
        <v/>
      </c>
      <c r="SJ41" s="75" t="str">
        <f t="shared" ca="1" si="118"/>
        <v/>
      </c>
      <c r="SK41" s="75" t="str">
        <f t="shared" ca="1" si="118"/>
        <v/>
      </c>
      <c r="SL41" s="75" t="str">
        <f t="shared" ca="1" si="118"/>
        <v/>
      </c>
      <c r="SM41" s="75" t="str">
        <f t="shared" ca="1" si="118"/>
        <v/>
      </c>
      <c r="SN41" s="75" t="str">
        <f t="shared" ca="1" si="118"/>
        <v/>
      </c>
      <c r="SO41" s="75" t="str">
        <f t="shared" ca="1" si="118"/>
        <v/>
      </c>
      <c r="SP41" s="75" t="str">
        <f t="shared" ca="1" si="119"/>
        <v/>
      </c>
      <c r="SQ41" s="75" t="str">
        <f t="shared" ca="1" si="119"/>
        <v/>
      </c>
      <c r="SR41" s="75" t="str">
        <f t="shared" ca="1" si="119"/>
        <v/>
      </c>
      <c r="SS41" s="75" t="str">
        <f t="shared" ca="1" si="119"/>
        <v/>
      </c>
      <c r="ST41" s="75" t="str">
        <f t="shared" ca="1" si="119"/>
        <v/>
      </c>
      <c r="SU41" s="75" t="str">
        <f t="shared" ca="1" si="119"/>
        <v/>
      </c>
      <c r="SV41" s="75" t="str">
        <f t="shared" ca="1" si="119"/>
        <v/>
      </c>
      <c r="SW41" s="75" t="str">
        <f t="shared" ca="1" si="119"/>
        <v/>
      </c>
      <c r="SX41" s="75" t="str">
        <f t="shared" ca="1" si="119"/>
        <v/>
      </c>
      <c r="SY41" s="75" t="str">
        <f t="shared" ca="1" si="119"/>
        <v/>
      </c>
      <c r="SZ41" s="75" t="str">
        <f t="shared" ca="1" si="120"/>
        <v/>
      </c>
      <c r="TA41" s="75" t="str">
        <f t="shared" ca="1" si="120"/>
        <v/>
      </c>
      <c r="TB41" s="75" t="str">
        <f t="shared" ca="1" si="120"/>
        <v/>
      </c>
      <c r="TC41" s="75" t="str">
        <f t="shared" ca="1" si="120"/>
        <v/>
      </c>
      <c r="TD41" s="75" t="str">
        <f t="shared" ca="1" si="120"/>
        <v/>
      </c>
      <c r="TE41" s="75" t="str">
        <f t="shared" ca="1" si="120"/>
        <v/>
      </c>
      <c r="TF41" s="75" t="str">
        <f t="shared" ca="1" si="120"/>
        <v/>
      </c>
      <c r="TG41" s="75" t="str">
        <f t="shared" ca="1" si="120"/>
        <v/>
      </c>
      <c r="TH41" s="75" t="str">
        <f t="shared" ca="1" si="120"/>
        <v/>
      </c>
      <c r="TI41" s="75" t="str">
        <f t="shared" ca="1" si="120"/>
        <v/>
      </c>
      <c r="TJ41" s="75" t="str">
        <f t="shared" ca="1" si="121"/>
        <v/>
      </c>
      <c r="TK41" s="75" t="str">
        <f t="shared" ca="1" si="121"/>
        <v/>
      </c>
      <c r="TL41" s="75" t="str">
        <f t="shared" ca="1" si="121"/>
        <v/>
      </c>
      <c r="TM41" s="75" t="str">
        <f t="shared" ca="1" si="121"/>
        <v/>
      </c>
      <c r="TN41" s="75" t="str">
        <f t="shared" ca="1" si="121"/>
        <v/>
      </c>
      <c r="TO41" s="75" t="str">
        <f t="shared" ca="1" si="121"/>
        <v/>
      </c>
      <c r="TP41" s="75" t="str">
        <f t="shared" ca="1" si="121"/>
        <v/>
      </c>
      <c r="TQ41" s="75" t="str">
        <f t="shared" ca="1" si="121"/>
        <v/>
      </c>
      <c r="TR41" s="75" t="str">
        <f t="shared" ca="1" si="121"/>
        <v/>
      </c>
      <c r="TS41" s="75" t="str">
        <f t="shared" ca="1" si="121"/>
        <v/>
      </c>
      <c r="TT41" s="75" t="str">
        <f t="shared" ca="1" si="122"/>
        <v/>
      </c>
      <c r="TU41" s="75" t="str">
        <f t="shared" ca="1" si="122"/>
        <v/>
      </c>
      <c r="TV41" s="75" t="str">
        <f t="shared" ca="1" si="122"/>
        <v/>
      </c>
      <c r="TW41" s="75" t="str">
        <f t="shared" ca="1" si="122"/>
        <v/>
      </c>
      <c r="TX41" s="75" t="str">
        <f t="shared" ca="1" si="122"/>
        <v/>
      </c>
      <c r="TY41" s="75" t="str">
        <f t="shared" ca="1" si="122"/>
        <v/>
      </c>
      <c r="TZ41" s="75" t="str">
        <f t="shared" ca="1" si="122"/>
        <v/>
      </c>
      <c r="UA41" s="75" t="str">
        <f t="shared" ca="1" si="122"/>
        <v/>
      </c>
      <c r="UB41" s="75" t="str">
        <f t="shared" ca="1" si="122"/>
        <v/>
      </c>
      <c r="UC41" s="75" t="str">
        <f t="shared" ca="1" si="122"/>
        <v/>
      </c>
      <c r="UD41" s="75" t="str">
        <f t="shared" ca="1" si="123"/>
        <v/>
      </c>
      <c r="UE41" s="75" t="str">
        <f t="shared" ca="1" si="123"/>
        <v/>
      </c>
      <c r="UF41" s="75" t="str">
        <f t="shared" ca="1" si="123"/>
        <v/>
      </c>
      <c r="UG41" s="75" t="str">
        <f t="shared" ca="1" si="123"/>
        <v/>
      </c>
      <c r="UH41" s="75" t="str">
        <f t="shared" ca="1" si="123"/>
        <v/>
      </c>
      <c r="UI41" s="75" t="str">
        <f t="shared" ca="1" si="123"/>
        <v/>
      </c>
      <c r="UJ41" s="75" t="str">
        <f t="shared" ca="1" si="123"/>
        <v/>
      </c>
      <c r="UK41" s="75" t="str">
        <f t="shared" ca="1" si="123"/>
        <v/>
      </c>
      <c r="UL41" s="75" t="str">
        <f t="shared" ca="1" si="123"/>
        <v/>
      </c>
      <c r="UM41" s="75" t="str">
        <f t="shared" ca="1" si="123"/>
        <v/>
      </c>
      <c r="UN41" s="75" t="str">
        <f t="shared" ca="1" si="124"/>
        <v/>
      </c>
      <c r="UO41" s="75" t="str">
        <f t="shared" ca="1" si="124"/>
        <v/>
      </c>
      <c r="UP41" s="75" t="str">
        <f t="shared" ca="1" si="124"/>
        <v/>
      </c>
      <c r="UQ41" s="75" t="str">
        <f t="shared" ca="1" si="124"/>
        <v/>
      </c>
      <c r="UR41" s="75" t="str">
        <f t="shared" ca="1" si="124"/>
        <v/>
      </c>
      <c r="US41" s="75" t="str">
        <f t="shared" ca="1" si="124"/>
        <v/>
      </c>
      <c r="UT41" s="75" t="str">
        <f t="shared" ca="1" si="124"/>
        <v/>
      </c>
      <c r="UU41" s="75" t="str">
        <f t="shared" ca="1" si="124"/>
        <v/>
      </c>
      <c r="UV41" s="75" t="str">
        <f t="shared" ca="1" si="124"/>
        <v/>
      </c>
      <c r="UW41" s="75" t="str">
        <f t="shared" ca="1" si="124"/>
        <v/>
      </c>
      <c r="UX41" s="75" t="str">
        <f t="shared" ca="1" si="125"/>
        <v/>
      </c>
      <c r="UY41" s="75" t="str">
        <f t="shared" ca="1" si="125"/>
        <v/>
      </c>
      <c r="UZ41" s="75" t="str">
        <f t="shared" ca="1" si="125"/>
        <v/>
      </c>
      <c r="VA41" s="75" t="str">
        <f t="shared" ca="1" si="125"/>
        <v/>
      </c>
      <c r="VB41" s="75" t="str">
        <f t="shared" ca="1" si="125"/>
        <v/>
      </c>
      <c r="VC41" s="75" t="str">
        <f t="shared" ca="1" si="125"/>
        <v/>
      </c>
      <c r="VD41" s="75" t="str">
        <f t="shared" ca="1" si="125"/>
        <v/>
      </c>
      <c r="VE41" s="75" t="str">
        <f t="shared" ca="1" si="125"/>
        <v/>
      </c>
      <c r="VF41" s="75" t="str">
        <f t="shared" ca="1" si="125"/>
        <v/>
      </c>
      <c r="VG41" s="75" t="str">
        <f t="shared" ca="1" si="125"/>
        <v/>
      </c>
      <c r="VH41" s="75" t="str">
        <f t="shared" ca="1" si="126"/>
        <v/>
      </c>
      <c r="VI41" s="75" t="str">
        <f t="shared" ca="1" si="126"/>
        <v/>
      </c>
      <c r="VJ41" s="75" t="str">
        <f t="shared" ca="1" si="126"/>
        <v/>
      </c>
      <c r="VK41" s="75" t="str">
        <f t="shared" ca="1" si="126"/>
        <v/>
      </c>
      <c r="VL41" s="75" t="str">
        <f t="shared" ca="1" si="126"/>
        <v/>
      </c>
      <c r="VM41" s="75" t="str">
        <f t="shared" ca="1" si="126"/>
        <v/>
      </c>
      <c r="VN41" s="75" t="str">
        <f t="shared" ca="1" si="126"/>
        <v/>
      </c>
      <c r="VO41" s="75" t="str">
        <f t="shared" ca="1" si="126"/>
        <v/>
      </c>
      <c r="VP41" s="75" t="str">
        <f t="shared" ca="1" si="126"/>
        <v/>
      </c>
      <c r="VQ41" s="75" t="str">
        <f t="shared" ca="1" si="126"/>
        <v/>
      </c>
      <c r="VR41" s="75" t="str">
        <f t="shared" ca="1" si="126"/>
        <v/>
      </c>
      <c r="VS41" s="75" t="str">
        <f t="shared" ca="1" si="126"/>
        <v/>
      </c>
    </row>
    <row r="42" spans="1:591" s="17" customFormat="1" ht="21.6" customHeight="1" x14ac:dyDescent="0.3">
      <c r="A42" s="81"/>
      <c r="B42" s="56" t="str">
        <f>'CoS Tracker'!$Y$7</f>
        <v>1. Written Brief Due / Design Briefing Session</v>
      </c>
      <c r="C42" s="19" t="s">
        <v>76</v>
      </c>
      <c r="D42" s="19"/>
      <c r="E42" s="27">
        <v>0</v>
      </c>
      <c r="F42" s="26">
        <f>F41</f>
        <v>45995</v>
      </c>
      <c r="G42" s="26">
        <f>'CoS Tracker'!Y11</f>
        <v>46023</v>
      </c>
      <c r="H42" s="25">
        <f>Milestones43524[[#This Row],[End]]-Milestones43524[[#This Row],[Start]]</f>
        <v>28</v>
      </c>
      <c r="I42" s="19"/>
      <c r="J42" s="24" t="str">
        <f t="shared" ca="1" si="69"/>
        <v/>
      </c>
      <c r="K42" s="24" t="str">
        <f t="shared" ca="1" si="69"/>
        <v/>
      </c>
      <c r="L42" s="24" t="str">
        <f t="shared" ca="1" si="69"/>
        <v/>
      </c>
      <c r="M42" s="24" t="str">
        <f t="shared" ca="1" si="69"/>
        <v/>
      </c>
      <c r="N42" s="24" t="str">
        <f t="shared" ca="1" si="69"/>
        <v/>
      </c>
      <c r="O42" s="24" t="str">
        <f t="shared" ca="1" si="69"/>
        <v/>
      </c>
      <c r="P42" s="24" t="str">
        <f t="shared" ca="1" si="69"/>
        <v/>
      </c>
      <c r="Q42" s="24" t="str">
        <f t="shared" ca="1" si="69"/>
        <v/>
      </c>
      <c r="R42" s="24" t="str">
        <f t="shared" ca="1" si="69"/>
        <v/>
      </c>
      <c r="S42" s="24" t="str">
        <f t="shared" ca="1" si="69"/>
        <v/>
      </c>
      <c r="T42" s="24" t="str">
        <f t="shared" ca="1" si="70"/>
        <v/>
      </c>
      <c r="U42" s="24" t="str">
        <f t="shared" ca="1" si="70"/>
        <v/>
      </c>
      <c r="V42" s="24" t="str">
        <f t="shared" ca="1" si="70"/>
        <v/>
      </c>
      <c r="W42" s="24" t="str">
        <f t="shared" ca="1" si="70"/>
        <v/>
      </c>
      <c r="X42" s="24" t="str">
        <f t="shared" ca="1" si="70"/>
        <v/>
      </c>
      <c r="Y42" s="24" t="str">
        <f t="shared" ca="1" si="70"/>
        <v/>
      </c>
      <c r="Z42" s="24" t="str">
        <f t="shared" ca="1" si="70"/>
        <v/>
      </c>
      <c r="AA42" s="24" t="str">
        <f t="shared" ca="1" si="70"/>
        <v/>
      </c>
      <c r="AB42" s="24" t="str">
        <f t="shared" ca="1" si="70"/>
        <v/>
      </c>
      <c r="AC42" s="24" t="str">
        <f t="shared" ca="1" si="70"/>
        <v/>
      </c>
      <c r="AD42" s="24" t="str">
        <f t="shared" ca="1" si="71"/>
        <v/>
      </c>
      <c r="AE42" s="24" t="str">
        <f t="shared" ca="1" si="71"/>
        <v/>
      </c>
      <c r="AF42" s="24" t="str">
        <f t="shared" ca="1" si="71"/>
        <v/>
      </c>
      <c r="AG42" s="24" t="str">
        <f t="shared" ca="1" si="71"/>
        <v/>
      </c>
      <c r="AH42" s="24" t="str">
        <f t="shared" ca="1" si="71"/>
        <v/>
      </c>
      <c r="AI42" s="24" t="str">
        <f t="shared" ca="1" si="71"/>
        <v/>
      </c>
      <c r="AJ42" s="24" t="str">
        <f t="shared" ca="1" si="71"/>
        <v/>
      </c>
      <c r="AK42" s="24" t="str">
        <f t="shared" ca="1" si="71"/>
        <v/>
      </c>
      <c r="AL42" s="24" t="str">
        <f t="shared" ca="1" si="71"/>
        <v/>
      </c>
      <c r="AM42" s="24" t="str">
        <f t="shared" ca="1" si="71"/>
        <v/>
      </c>
      <c r="AN42" s="24" t="str">
        <f t="shared" ca="1" si="72"/>
        <v/>
      </c>
      <c r="AO42" s="24" t="str">
        <f t="shared" ca="1" si="72"/>
        <v/>
      </c>
      <c r="AP42" s="24" t="str">
        <f t="shared" ca="1" si="72"/>
        <v/>
      </c>
      <c r="AQ42" s="24" t="str">
        <f t="shared" ca="1" si="72"/>
        <v/>
      </c>
      <c r="AR42" s="24" t="str">
        <f t="shared" ca="1" si="72"/>
        <v/>
      </c>
      <c r="AS42" s="24" t="str">
        <f t="shared" ca="1" si="72"/>
        <v/>
      </c>
      <c r="AT42" s="24" t="str">
        <f t="shared" ca="1" si="72"/>
        <v/>
      </c>
      <c r="AU42" s="24" t="str">
        <f t="shared" ca="1" si="72"/>
        <v/>
      </c>
      <c r="AV42" s="24" t="str">
        <f t="shared" ca="1" si="72"/>
        <v/>
      </c>
      <c r="AW42" s="24" t="str">
        <f t="shared" ca="1" si="72"/>
        <v/>
      </c>
      <c r="AX42" s="24" t="str">
        <f t="shared" ca="1" si="73"/>
        <v/>
      </c>
      <c r="AY42" s="24" t="str">
        <f t="shared" ca="1" si="73"/>
        <v/>
      </c>
      <c r="AZ42" s="24" t="str">
        <f t="shared" ca="1" si="73"/>
        <v/>
      </c>
      <c r="BA42" s="24" t="str">
        <f t="shared" ca="1" si="73"/>
        <v/>
      </c>
      <c r="BB42" s="24" t="str">
        <f t="shared" ca="1" si="73"/>
        <v/>
      </c>
      <c r="BC42" s="24" t="str">
        <f t="shared" ca="1" si="73"/>
        <v/>
      </c>
      <c r="BD42" s="24" t="str">
        <f t="shared" ca="1" si="73"/>
        <v/>
      </c>
      <c r="BE42" s="24" t="str">
        <f t="shared" ca="1" si="73"/>
        <v/>
      </c>
      <c r="BF42" s="24" t="str">
        <f t="shared" ca="1" si="73"/>
        <v/>
      </c>
      <c r="BG42" s="24" t="str">
        <f t="shared" ca="1" si="73"/>
        <v/>
      </c>
      <c r="BH42" s="24" t="str">
        <f t="shared" ca="1" si="74"/>
        <v/>
      </c>
      <c r="BI42" s="24" t="str">
        <f t="shared" ca="1" si="74"/>
        <v/>
      </c>
      <c r="BJ42" s="24" t="str">
        <f t="shared" ca="1" si="74"/>
        <v/>
      </c>
      <c r="BK42" s="24" t="str">
        <f t="shared" ca="1" si="74"/>
        <v/>
      </c>
      <c r="BL42" s="24" t="str">
        <f t="shared" ca="1" si="74"/>
        <v/>
      </c>
      <c r="BM42" s="24" t="str">
        <f t="shared" ca="1" si="74"/>
        <v/>
      </c>
      <c r="BN42" s="24" t="str">
        <f t="shared" ca="1" si="74"/>
        <v/>
      </c>
      <c r="BO42" s="24" t="str">
        <f t="shared" ca="1" si="74"/>
        <v/>
      </c>
      <c r="BP42" s="24" t="str">
        <f t="shared" ca="1" si="74"/>
        <v/>
      </c>
      <c r="BQ42" s="24" t="str">
        <f t="shared" ca="1" si="74"/>
        <v/>
      </c>
      <c r="BR42" s="24" t="str">
        <f t="shared" ca="1" si="75"/>
        <v/>
      </c>
      <c r="BS42" s="24" t="str">
        <f t="shared" ca="1" si="75"/>
        <v/>
      </c>
      <c r="BT42" s="24" t="str">
        <f t="shared" ca="1" si="75"/>
        <v/>
      </c>
      <c r="BU42" s="24" t="str">
        <f t="shared" ca="1" si="75"/>
        <v/>
      </c>
      <c r="BV42" s="24" t="str">
        <f t="shared" ca="1" si="75"/>
        <v/>
      </c>
      <c r="BW42" s="24" t="str">
        <f t="shared" ca="1" si="75"/>
        <v/>
      </c>
      <c r="BX42" s="24" t="str">
        <f t="shared" ca="1" si="75"/>
        <v/>
      </c>
      <c r="BY42" s="24" t="str">
        <f t="shared" ca="1" si="75"/>
        <v/>
      </c>
      <c r="BZ42" s="24" t="str">
        <f t="shared" ca="1" si="75"/>
        <v/>
      </c>
      <c r="CA42" s="24" t="str">
        <f t="shared" ca="1" si="75"/>
        <v/>
      </c>
      <c r="CB42" s="24" t="str">
        <f t="shared" ca="1" si="76"/>
        <v/>
      </c>
      <c r="CC42" s="24" t="str">
        <f t="shared" ca="1" si="76"/>
        <v/>
      </c>
      <c r="CD42" s="24" t="str">
        <f t="shared" ca="1" si="76"/>
        <v/>
      </c>
      <c r="CE42" s="24" t="str">
        <f t="shared" ca="1" si="76"/>
        <v/>
      </c>
      <c r="CF42" s="24" t="str">
        <f t="shared" ca="1" si="76"/>
        <v/>
      </c>
      <c r="CG42" s="24" t="str">
        <f t="shared" ca="1" si="76"/>
        <v/>
      </c>
      <c r="CH42" s="24" t="str">
        <f t="shared" ca="1" si="76"/>
        <v/>
      </c>
      <c r="CI42" s="24" t="str">
        <f t="shared" ca="1" si="76"/>
        <v/>
      </c>
      <c r="CJ42" s="24" t="str">
        <f t="shared" ca="1" si="76"/>
        <v/>
      </c>
      <c r="CK42" s="24" t="str">
        <f t="shared" ca="1" si="76"/>
        <v/>
      </c>
      <c r="CL42" s="24" t="str">
        <f t="shared" ca="1" si="77"/>
        <v/>
      </c>
      <c r="CM42" s="24" t="str">
        <f t="shared" ca="1" si="77"/>
        <v/>
      </c>
      <c r="CN42" s="24" t="str">
        <f t="shared" ca="1" si="77"/>
        <v/>
      </c>
      <c r="CO42" s="24" t="str">
        <f t="shared" ca="1" si="77"/>
        <v/>
      </c>
      <c r="CP42" s="24" t="str">
        <f t="shared" ca="1" si="77"/>
        <v/>
      </c>
      <c r="CQ42" s="24" t="str">
        <f t="shared" ca="1" si="77"/>
        <v/>
      </c>
      <c r="CR42" s="24" t="str">
        <f t="shared" ca="1" si="77"/>
        <v/>
      </c>
      <c r="CS42" s="24" t="str">
        <f t="shared" ca="1" si="77"/>
        <v/>
      </c>
      <c r="CT42" s="24" t="str">
        <f t="shared" ca="1" si="77"/>
        <v/>
      </c>
      <c r="CU42" s="24" t="str">
        <f t="shared" ca="1" si="77"/>
        <v/>
      </c>
      <c r="CV42" s="24" t="str">
        <f t="shared" ca="1" si="78"/>
        <v/>
      </c>
      <c r="CW42" s="24" t="str">
        <f t="shared" ca="1" si="78"/>
        <v/>
      </c>
      <c r="CX42" s="24" t="str">
        <f t="shared" ca="1" si="78"/>
        <v/>
      </c>
      <c r="CY42" s="24" t="str">
        <f t="shared" ca="1" si="78"/>
        <v/>
      </c>
      <c r="CZ42" s="24" t="str">
        <f t="shared" ca="1" si="78"/>
        <v/>
      </c>
      <c r="DA42" s="24" t="str">
        <f t="shared" ca="1" si="78"/>
        <v/>
      </c>
      <c r="DB42" s="24" t="str">
        <f t="shared" ca="1" si="78"/>
        <v/>
      </c>
      <c r="DC42" s="24" t="str">
        <f t="shared" ca="1" si="78"/>
        <v/>
      </c>
      <c r="DD42" s="24" t="str">
        <f t="shared" ca="1" si="78"/>
        <v/>
      </c>
      <c r="DE42" s="24" t="str">
        <f t="shared" ca="1" si="78"/>
        <v/>
      </c>
      <c r="DF42" s="24" t="str">
        <f t="shared" ca="1" si="79"/>
        <v/>
      </c>
      <c r="DG42" s="24" t="str">
        <f t="shared" ca="1" si="79"/>
        <v/>
      </c>
      <c r="DH42" s="24" t="str">
        <f t="shared" ca="1" si="79"/>
        <v/>
      </c>
      <c r="DI42" s="24" t="str">
        <f t="shared" ca="1" si="79"/>
        <v/>
      </c>
      <c r="DJ42" s="24" t="str">
        <f t="shared" ca="1" si="79"/>
        <v/>
      </c>
      <c r="DK42" s="24" t="str">
        <f t="shared" ca="1" si="79"/>
        <v/>
      </c>
      <c r="DL42" s="24" t="str">
        <f t="shared" ca="1" si="79"/>
        <v/>
      </c>
      <c r="DM42" s="24" t="str">
        <f t="shared" ca="1" si="79"/>
        <v/>
      </c>
      <c r="DN42" s="24" t="str">
        <f t="shared" ca="1" si="79"/>
        <v/>
      </c>
      <c r="DO42" s="24" t="str">
        <f t="shared" ca="1" si="79"/>
        <v/>
      </c>
      <c r="DP42" s="24" t="str">
        <f t="shared" ca="1" si="80"/>
        <v/>
      </c>
      <c r="DQ42" s="24" t="str">
        <f t="shared" ca="1" si="80"/>
        <v/>
      </c>
      <c r="DR42" s="24" t="str">
        <f t="shared" ca="1" si="80"/>
        <v/>
      </c>
      <c r="DS42" s="24" t="str">
        <f t="shared" ca="1" si="80"/>
        <v/>
      </c>
      <c r="DT42" s="24" t="str">
        <f t="shared" ca="1" si="80"/>
        <v/>
      </c>
      <c r="DU42" s="24" t="str">
        <f t="shared" ca="1" si="80"/>
        <v/>
      </c>
      <c r="DV42" s="24" t="str">
        <f t="shared" ca="1" si="80"/>
        <v/>
      </c>
      <c r="DW42" s="24" t="str">
        <f t="shared" ca="1" si="80"/>
        <v/>
      </c>
      <c r="DX42" s="24" t="str">
        <f t="shared" ca="1" si="80"/>
        <v/>
      </c>
      <c r="DY42" s="24" t="str">
        <f t="shared" ca="1" si="80"/>
        <v/>
      </c>
      <c r="DZ42" s="24" t="str">
        <f t="shared" ca="1" si="81"/>
        <v/>
      </c>
      <c r="EA42" s="24" t="str">
        <f t="shared" ca="1" si="81"/>
        <v/>
      </c>
      <c r="EB42" s="24" t="str">
        <f t="shared" ca="1" si="81"/>
        <v/>
      </c>
      <c r="EC42" s="24" t="str">
        <f t="shared" ca="1" si="81"/>
        <v/>
      </c>
      <c r="ED42" s="24" t="str">
        <f t="shared" ca="1" si="81"/>
        <v/>
      </c>
      <c r="EE42" s="24" t="str">
        <f t="shared" ca="1" si="81"/>
        <v/>
      </c>
      <c r="EF42" s="24" t="str">
        <f t="shared" ca="1" si="81"/>
        <v/>
      </c>
      <c r="EG42" s="24" t="str">
        <f t="shared" ca="1" si="81"/>
        <v/>
      </c>
      <c r="EH42" s="24" t="str">
        <f t="shared" ca="1" si="81"/>
        <v/>
      </c>
      <c r="EI42" s="24" t="str">
        <f t="shared" ca="1" si="81"/>
        <v/>
      </c>
      <c r="EJ42" s="24" t="str">
        <f t="shared" ca="1" si="82"/>
        <v/>
      </c>
      <c r="EK42" s="24" t="str">
        <f t="shared" ca="1" si="82"/>
        <v/>
      </c>
      <c r="EL42" s="24" t="str">
        <f t="shared" ca="1" si="82"/>
        <v/>
      </c>
      <c r="EM42" s="24" t="str">
        <f t="shared" ca="1" si="82"/>
        <v/>
      </c>
      <c r="EN42" s="24" t="str">
        <f t="shared" ca="1" si="82"/>
        <v/>
      </c>
      <c r="EO42" s="24" t="str">
        <f t="shared" ca="1" si="82"/>
        <v/>
      </c>
      <c r="EP42" s="24" t="str">
        <f t="shared" ca="1" si="82"/>
        <v/>
      </c>
      <c r="EQ42" s="24" t="str">
        <f t="shared" ca="1" si="82"/>
        <v/>
      </c>
      <c r="ER42" s="24" t="str">
        <f t="shared" ca="1" si="82"/>
        <v/>
      </c>
      <c r="ES42" s="24" t="str">
        <f t="shared" ca="1" si="82"/>
        <v/>
      </c>
      <c r="ET42" s="24" t="str">
        <f t="shared" ca="1" si="83"/>
        <v/>
      </c>
      <c r="EU42" s="24" t="str">
        <f t="shared" ca="1" si="83"/>
        <v/>
      </c>
      <c r="EV42" s="24" t="str">
        <f t="shared" ca="1" si="83"/>
        <v/>
      </c>
      <c r="EW42" s="24" t="str">
        <f t="shared" ca="1" si="83"/>
        <v/>
      </c>
      <c r="EX42" s="24" t="str">
        <f t="shared" ca="1" si="83"/>
        <v/>
      </c>
      <c r="EY42" s="24" t="str">
        <f t="shared" ca="1" si="83"/>
        <v/>
      </c>
      <c r="EZ42" s="24" t="str">
        <f t="shared" ca="1" si="83"/>
        <v/>
      </c>
      <c r="FA42" s="24" t="str">
        <f t="shared" ca="1" si="83"/>
        <v/>
      </c>
      <c r="FB42" s="24" t="str">
        <f t="shared" ca="1" si="83"/>
        <v/>
      </c>
      <c r="FC42" s="24" t="str">
        <f t="shared" ca="1" si="83"/>
        <v/>
      </c>
      <c r="FD42" s="24" t="str">
        <f t="shared" ca="1" si="84"/>
        <v/>
      </c>
      <c r="FE42" s="24" t="str">
        <f t="shared" ca="1" si="84"/>
        <v/>
      </c>
      <c r="FF42" s="24" t="str">
        <f t="shared" ca="1" si="84"/>
        <v/>
      </c>
      <c r="FG42" s="24" t="str">
        <f t="shared" ca="1" si="84"/>
        <v/>
      </c>
      <c r="FH42" s="24" t="str">
        <f t="shared" ca="1" si="84"/>
        <v/>
      </c>
      <c r="FI42" s="24" t="str">
        <f t="shared" ca="1" si="84"/>
        <v/>
      </c>
      <c r="FJ42" s="24" t="str">
        <f t="shared" ca="1" si="84"/>
        <v/>
      </c>
      <c r="FK42" s="24" t="str">
        <f t="shared" ca="1" si="84"/>
        <v/>
      </c>
      <c r="FL42" s="24" t="str">
        <f t="shared" ca="1" si="84"/>
        <v/>
      </c>
      <c r="FM42" s="24" t="str">
        <f t="shared" ca="1" si="84"/>
        <v/>
      </c>
      <c r="FN42" s="24" t="str">
        <f t="shared" ca="1" si="85"/>
        <v/>
      </c>
      <c r="FO42" s="24" t="str">
        <f t="shared" ca="1" si="85"/>
        <v/>
      </c>
      <c r="FP42" s="24" t="str">
        <f t="shared" ca="1" si="85"/>
        <v/>
      </c>
      <c r="FQ42" s="24" t="str">
        <f t="shared" ca="1" si="85"/>
        <v/>
      </c>
      <c r="FR42" s="24" t="str">
        <f t="shared" ca="1" si="85"/>
        <v/>
      </c>
      <c r="FS42" s="24" t="str">
        <f t="shared" ca="1" si="85"/>
        <v/>
      </c>
      <c r="FT42" s="24" t="str">
        <f t="shared" ca="1" si="85"/>
        <v/>
      </c>
      <c r="FU42" s="24" t="str">
        <f t="shared" ca="1" si="85"/>
        <v/>
      </c>
      <c r="FV42" s="24" t="str">
        <f t="shared" ca="1" si="85"/>
        <v/>
      </c>
      <c r="FW42" s="24" t="str">
        <f t="shared" ca="1" si="85"/>
        <v/>
      </c>
      <c r="FX42" s="24" t="str">
        <f t="shared" ca="1" si="86"/>
        <v/>
      </c>
      <c r="FY42" s="24" t="str">
        <f t="shared" ca="1" si="86"/>
        <v/>
      </c>
      <c r="FZ42" s="24" t="str">
        <f t="shared" ca="1" si="86"/>
        <v/>
      </c>
      <c r="GA42" s="24" t="str">
        <f t="shared" ca="1" si="86"/>
        <v/>
      </c>
      <c r="GB42" s="24" t="str">
        <f t="shared" ca="1" si="86"/>
        <v/>
      </c>
      <c r="GC42" s="24" t="str">
        <f t="shared" ca="1" si="86"/>
        <v/>
      </c>
      <c r="GD42" s="24" t="str">
        <f t="shared" ca="1" si="86"/>
        <v/>
      </c>
      <c r="GE42" s="24" t="str">
        <f t="shared" ca="1" si="86"/>
        <v/>
      </c>
      <c r="GF42" s="24" t="str">
        <f t="shared" ca="1" si="86"/>
        <v/>
      </c>
      <c r="GG42" s="24" t="str">
        <f t="shared" ca="1" si="86"/>
        <v/>
      </c>
      <c r="GH42" s="24" t="str">
        <f t="shared" ca="1" si="87"/>
        <v/>
      </c>
      <c r="GI42" s="24" t="str">
        <f t="shared" ca="1" si="87"/>
        <v/>
      </c>
      <c r="GJ42" s="24" t="str">
        <f t="shared" ca="1" si="87"/>
        <v/>
      </c>
      <c r="GK42" s="24" t="str">
        <f t="shared" ca="1" si="87"/>
        <v/>
      </c>
      <c r="GL42" s="24" t="str">
        <f t="shared" ca="1" si="87"/>
        <v/>
      </c>
      <c r="GM42" s="24" t="str">
        <f t="shared" ca="1" si="87"/>
        <v/>
      </c>
      <c r="GN42" s="24" t="str">
        <f t="shared" ca="1" si="87"/>
        <v/>
      </c>
      <c r="GO42" s="24" t="str">
        <f t="shared" ca="1" si="87"/>
        <v/>
      </c>
      <c r="GP42" s="24" t="str">
        <f t="shared" ca="1" si="87"/>
        <v/>
      </c>
      <c r="GQ42" s="24" t="str">
        <f t="shared" ca="1" si="87"/>
        <v/>
      </c>
      <c r="GR42" s="24" t="str">
        <f t="shared" ca="1" si="88"/>
        <v/>
      </c>
      <c r="GS42" s="24" t="str">
        <f t="shared" ca="1" si="88"/>
        <v/>
      </c>
      <c r="GT42" s="24" t="str">
        <f t="shared" ca="1" si="88"/>
        <v/>
      </c>
      <c r="GU42" s="24" t="str">
        <f t="shared" ca="1" si="88"/>
        <v/>
      </c>
      <c r="GV42" s="24" t="str">
        <f t="shared" ca="1" si="88"/>
        <v/>
      </c>
      <c r="GW42" s="24" t="str">
        <f t="shared" ca="1" si="88"/>
        <v/>
      </c>
      <c r="GX42" s="24" t="str">
        <f t="shared" ca="1" si="88"/>
        <v/>
      </c>
      <c r="GY42" s="24" t="str">
        <f t="shared" ca="1" si="88"/>
        <v/>
      </c>
      <c r="GZ42" s="24" t="str">
        <f t="shared" ca="1" si="88"/>
        <v/>
      </c>
      <c r="HA42" s="24" t="str">
        <f t="shared" ca="1" si="88"/>
        <v/>
      </c>
      <c r="HB42" s="24" t="str">
        <f t="shared" ca="1" si="89"/>
        <v/>
      </c>
      <c r="HC42" s="24" t="str">
        <f t="shared" ca="1" si="89"/>
        <v/>
      </c>
      <c r="HD42" s="24" t="str">
        <f t="shared" ca="1" si="89"/>
        <v/>
      </c>
      <c r="HE42" s="24" t="str">
        <f t="shared" ca="1" si="89"/>
        <v/>
      </c>
      <c r="HF42" s="24" t="str">
        <f t="shared" ca="1" si="89"/>
        <v/>
      </c>
      <c r="HG42" s="24" t="str">
        <f t="shared" ca="1" si="89"/>
        <v/>
      </c>
      <c r="HH42" s="24" t="str">
        <f t="shared" ca="1" si="89"/>
        <v/>
      </c>
      <c r="HI42" s="24" t="str">
        <f t="shared" ca="1" si="89"/>
        <v/>
      </c>
      <c r="HJ42" s="24" t="str">
        <f t="shared" ca="1" si="89"/>
        <v/>
      </c>
      <c r="HK42" s="24" t="str">
        <f t="shared" ca="1" si="89"/>
        <v/>
      </c>
      <c r="HL42" s="24" t="str">
        <f t="shared" ca="1" si="90"/>
        <v/>
      </c>
      <c r="HM42" s="24" t="str">
        <f t="shared" ca="1" si="90"/>
        <v/>
      </c>
      <c r="HN42" s="24" t="str">
        <f t="shared" ca="1" si="90"/>
        <v/>
      </c>
      <c r="HO42" s="24" t="str">
        <f t="shared" ca="1" si="90"/>
        <v/>
      </c>
      <c r="HP42" s="24" t="str">
        <f t="shared" ca="1" si="90"/>
        <v/>
      </c>
      <c r="HQ42" s="24" t="str">
        <f t="shared" ca="1" si="90"/>
        <v/>
      </c>
      <c r="HR42" s="24" t="str">
        <f t="shared" ca="1" si="90"/>
        <v/>
      </c>
      <c r="HS42" s="24" t="str">
        <f t="shared" ca="1" si="90"/>
        <v/>
      </c>
      <c r="HT42" s="24" t="str">
        <f t="shared" ca="1" si="90"/>
        <v/>
      </c>
      <c r="HU42" s="24" t="str">
        <f t="shared" ca="1" si="90"/>
        <v/>
      </c>
      <c r="HV42" s="24" t="str">
        <f t="shared" ca="1" si="91"/>
        <v/>
      </c>
      <c r="HW42" s="24" t="str">
        <f t="shared" ca="1" si="91"/>
        <v/>
      </c>
      <c r="HX42" s="24" t="str">
        <f t="shared" ca="1" si="91"/>
        <v/>
      </c>
      <c r="HY42" s="24" t="str">
        <f t="shared" ca="1" si="91"/>
        <v/>
      </c>
      <c r="HZ42" s="24" t="str">
        <f t="shared" ca="1" si="91"/>
        <v/>
      </c>
      <c r="IA42" s="24" t="str">
        <f t="shared" ca="1" si="91"/>
        <v/>
      </c>
      <c r="IB42" s="24" t="str">
        <f t="shared" ca="1" si="91"/>
        <v/>
      </c>
      <c r="IC42" s="24" t="str">
        <f t="shared" ca="1" si="91"/>
        <v/>
      </c>
      <c r="ID42" s="24" t="str">
        <f t="shared" ca="1" si="91"/>
        <v/>
      </c>
      <c r="IE42" s="24" t="str">
        <f t="shared" ca="1" si="91"/>
        <v/>
      </c>
      <c r="IF42" s="24" t="str">
        <f t="shared" ca="1" si="92"/>
        <v/>
      </c>
      <c r="IG42" s="24" t="str">
        <f t="shared" ca="1" si="92"/>
        <v/>
      </c>
      <c r="IH42" s="24" t="str">
        <f t="shared" ca="1" si="92"/>
        <v/>
      </c>
      <c r="II42" s="24" t="str">
        <f t="shared" ca="1" si="92"/>
        <v/>
      </c>
      <c r="IJ42" s="24" t="str">
        <f t="shared" ca="1" si="92"/>
        <v/>
      </c>
      <c r="IK42" s="24" t="str">
        <f t="shared" ca="1" si="92"/>
        <v/>
      </c>
      <c r="IL42" s="24" t="str">
        <f t="shared" ca="1" si="92"/>
        <v/>
      </c>
      <c r="IM42" s="24" t="str">
        <f t="shared" ca="1" si="92"/>
        <v/>
      </c>
      <c r="IN42" s="24" t="str">
        <f t="shared" ca="1" si="92"/>
        <v/>
      </c>
      <c r="IO42" s="24" t="str">
        <f t="shared" ca="1" si="92"/>
        <v/>
      </c>
      <c r="IP42" s="24" t="str">
        <f t="shared" ca="1" si="93"/>
        <v/>
      </c>
      <c r="IQ42" s="24" t="str">
        <f t="shared" ca="1" si="93"/>
        <v/>
      </c>
      <c r="IR42" s="24" t="str">
        <f t="shared" ca="1" si="93"/>
        <v/>
      </c>
      <c r="IS42" s="24" t="str">
        <f t="shared" ca="1" si="93"/>
        <v/>
      </c>
      <c r="IT42" s="24" t="str">
        <f t="shared" ca="1" si="93"/>
        <v/>
      </c>
      <c r="IU42" s="24" t="str">
        <f t="shared" ca="1" si="93"/>
        <v/>
      </c>
      <c r="IV42" s="24" t="str">
        <f t="shared" ca="1" si="93"/>
        <v/>
      </c>
      <c r="IW42" s="24" t="str">
        <f t="shared" ca="1" si="93"/>
        <v/>
      </c>
      <c r="IX42" s="24" t="str">
        <f t="shared" ca="1" si="93"/>
        <v/>
      </c>
      <c r="IY42" s="24" t="str">
        <f t="shared" ca="1" si="93"/>
        <v/>
      </c>
      <c r="IZ42" s="24" t="str">
        <f t="shared" ca="1" si="94"/>
        <v/>
      </c>
      <c r="JA42" s="24" t="str">
        <f t="shared" ca="1" si="94"/>
        <v/>
      </c>
      <c r="JB42" s="24" t="str">
        <f t="shared" ca="1" si="94"/>
        <v/>
      </c>
      <c r="JC42" s="24" t="str">
        <f t="shared" ca="1" si="94"/>
        <v/>
      </c>
      <c r="JD42" s="24" t="str">
        <f t="shared" ca="1" si="94"/>
        <v/>
      </c>
      <c r="JE42" s="24" t="str">
        <f t="shared" ca="1" si="94"/>
        <v/>
      </c>
      <c r="JF42" s="24" t="str">
        <f t="shared" ca="1" si="94"/>
        <v/>
      </c>
      <c r="JG42" s="24" t="str">
        <f t="shared" ca="1" si="94"/>
        <v/>
      </c>
      <c r="JH42" s="24" t="str">
        <f t="shared" ca="1" si="94"/>
        <v/>
      </c>
      <c r="JI42" s="24" t="str">
        <f t="shared" ca="1" si="94"/>
        <v/>
      </c>
      <c r="JJ42" s="24" t="str">
        <f t="shared" ca="1" si="95"/>
        <v/>
      </c>
      <c r="JK42" s="24" t="str">
        <f t="shared" ca="1" si="95"/>
        <v/>
      </c>
      <c r="JL42" s="24" t="str">
        <f t="shared" ca="1" si="95"/>
        <v/>
      </c>
      <c r="JM42" s="24" t="str">
        <f t="shared" ca="1" si="95"/>
        <v/>
      </c>
      <c r="JN42" s="24" t="str">
        <f t="shared" ca="1" si="95"/>
        <v/>
      </c>
      <c r="JO42" s="24" t="str">
        <f t="shared" ca="1" si="95"/>
        <v/>
      </c>
      <c r="JP42" s="24" t="str">
        <f t="shared" ca="1" si="95"/>
        <v/>
      </c>
      <c r="JQ42" s="24" t="str">
        <f t="shared" ca="1" si="95"/>
        <v/>
      </c>
      <c r="JR42" s="24" t="str">
        <f t="shared" ca="1" si="95"/>
        <v/>
      </c>
      <c r="JS42" s="24" t="str">
        <f t="shared" ca="1" si="95"/>
        <v/>
      </c>
      <c r="JT42" s="24" t="str">
        <f t="shared" ca="1" si="96"/>
        <v/>
      </c>
      <c r="JU42" s="24" t="str">
        <f t="shared" ca="1" si="96"/>
        <v/>
      </c>
      <c r="JV42" s="24" t="str">
        <f t="shared" ca="1" si="96"/>
        <v/>
      </c>
      <c r="JW42" s="24" t="str">
        <f t="shared" ca="1" si="96"/>
        <v/>
      </c>
      <c r="JX42" s="24" t="str">
        <f t="shared" ca="1" si="96"/>
        <v/>
      </c>
      <c r="JY42" s="24" t="str">
        <f t="shared" ca="1" si="96"/>
        <v/>
      </c>
      <c r="JZ42" s="24" t="str">
        <f t="shared" ca="1" si="96"/>
        <v/>
      </c>
      <c r="KA42" s="24" t="str">
        <f t="shared" ca="1" si="96"/>
        <v/>
      </c>
      <c r="KB42" s="24" t="str">
        <f t="shared" ca="1" si="96"/>
        <v/>
      </c>
      <c r="KC42" s="24" t="str">
        <f t="shared" ca="1" si="96"/>
        <v/>
      </c>
      <c r="KD42" s="24" t="str">
        <f t="shared" ca="1" si="97"/>
        <v/>
      </c>
      <c r="KE42" s="24" t="str">
        <f t="shared" ca="1" si="97"/>
        <v/>
      </c>
      <c r="KF42" s="24" t="str">
        <f t="shared" ca="1" si="97"/>
        <v/>
      </c>
      <c r="KG42" s="24" t="str">
        <f t="shared" ca="1" si="97"/>
        <v/>
      </c>
      <c r="KH42" s="24" t="str">
        <f t="shared" ca="1" si="97"/>
        <v/>
      </c>
      <c r="KI42" s="24" t="str">
        <f t="shared" ca="1" si="97"/>
        <v/>
      </c>
      <c r="KJ42" s="24" t="str">
        <f t="shared" ca="1" si="97"/>
        <v/>
      </c>
      <c r="KK42" s="24" t="str">
        <f t="shared" ca="1" si="97"/>
        <v/>
      </c>
      <c r="KL42" s="24" t="str">
        <f t="shared" ca="1" si="97"/>
        <v/>
      </c>
      <c r="KM42" s="24" t="str">
        <f t="shared" ca="1" si="97"/>
        <v/>
      </c>
      <c r="KN42" s="24" t="str">
        <f t="shared" ca="1" si="98"/>
        <v/>
      </c>
      <c r="KO42" s="24" t="str">
        <f t="shared" ca="1" si="98"/>
        <v/>
      </c>
      <c r="KP42" s="24" t="str">
        <f t="shared" ca="1" si="98"/>
        <v/>
      </c>
      <c r="KQ42" s="24" t="str">
        <f t="shared" ca="1" si="98"/>
        <v/>
      </c>
      <c r="KR42" s="24" t="str">
        <f t="shared" ca="1" si="98"/>
        <v/>
      </c>
      <c r="KS42" s="24" t="str">
        <f t="shared" ca="1" si="98"/>
        <v/>
      </c>
      <c r="KT42" s="24" t="str">
        <f t="shared" ca="1" si="98"/>
        <v/>
      </c>
      <c r="KU42" s="24" t="str">
        <f t="shared" ca="1" si="98"/>
        <v/>
      </c>
      <c r="KV42" s="24" t="str">
        <f t="shared" ca="1" si="98"/>
        <v/>
      </c>
      <c r="KW42" s="24" t="str">
        <f t="shared" ca="1" si="98"/>
        <v/>
      </c>
      <c r="KX42" s="24" t="str">
        <f t="shared" ca="1" si="99"/>
        <v/>
      </c>
      <c r="KY42" s="24" t="str">
        <f t="shared" ca="1" si="99"/>
        <v/>
      </c>
      <c r="KZ42" s="24" t="str">
        <f t="shared" ca="1" si="99"/>
        <v/>
      </c>
      <c r="LA42" s="24" t="str">
        <f t="shared" ca="1" si="99"/>
        <v/>
      </c>
      <c r="LB42" s="24" t="str">
        <f t="shared" ca="1" si="99"/>
        <v/>
      </c>
      <c r="LC42" s="24" t="str">
        <f t="shared" ca="1" si="99"/>
        <v/>
      </c>
      <c r="LD42" s="24" t="str">
        <f t="shared" ca="1" si="99"/>
        <v/>
      </c>
      <c r="LE42" s="24" t="str">
        <f t="shared" ca="1" si="99"/>
        <v/>
      </c>
      <c r="LF42" s="24" t="str">
        <f t="shared" ca="1" si="99"/>
        <v/>
      </c>
      <c r="LG42" s="24" t="str">
        <f t="shared" ca="1" si="99"/>
        <v/>
      </c>
      <c r="LH42" s="24" t="str">
        <f t="shared" ca="1" si="100"/>
        <v/>
      </c>
      <c r="LI42" s="24" t="str">
        <f t="shared" ca="1" si="100"/>
        <v/>
      </c>
      <c r="LJ42" s="24" t="str">
        <f t="shared" ca="1" si="100"/>
        <v/>
      </c>
      <c r="LK42" s="24" t="str">
        <f t="shared" ca="1" si="100"/>
        <v/>
      </c>
      <c r="LL42" s="24" t="str">
        <f t="shared" ca="1" si="100"/>
        <v/>
      </c>
      <c r="LM42" s="24" t="str">
        <f t="shared" ca="1" si="100"/>
        <v/>
      </c>
      <c r="LN42" s="24" t="str">
        <f t="shared" ca="1" si="100"/>
        <v/>
      </c>
      <c r="LO42" s="24" t="str">
        <f t="shared" ca="1" si="100"/>
        <v/>
      </c>
      <c r="LP42" s="24" t="str">
        <f t="shared" ca="1" si="100"/>
        <v/>
      </c>
      <c r="LQ42" s="24" t="str">
        <f t="shared" ca="1" si="100"/>
        <v/>
      </c>
      <c r="LR42" s="24" t="str">
        <f t="shared" ca="1" si="101"/>
        <v/>
      </c>
      <c r="LS42" s="24" t="str">
        <f t="shared" ca="1" si="101"/>
        <v/>
      </c>
      <c r="LT42" s="24" t="str">
        <f t="shared" ca="1" si="101"/>
        <v/>
      </c>
      <c r="LU42" s="24" t="str">
        <f t="shared" ca="1" si="101"/>
        <v/>
      </c>
      <c r="LV42" s="24" t="str">
        <f t="shared" ca="1" si="101"/>
        <v/>
      </c>
      <c r="LW42" s="24" t="str">
        <f t="shared" ca="1" si="101"/>
        <v/>
      </c>
      <c r="LX42" s="24" t="str">
        <f t="shared" ca="1" si="101"/>
        <v/>
      </c>
      <c r="LY42" s="24" t="str">
        <f t="shared" ca="1" si="101"/>
        <v/>
      </c>
      <c r="LZ42" s="24" t="str">
        <f t="shared" ca="1" si="101"/>
        <v/>
      </c>
      <c r="MA42" s="24" t="str">
        <f t="shared" ca="1" si="101"/>
        <v/>
      </c>
      <c r="MB42" s="24" t="str">
        <f t="shared" ca="1" si="102"/>
        <v/>
      </c>
      <c r="MC42" s="24" t="str">
        <f t="shared" ca="1" si="102"/>
        <v/>
      </c>
      <c r="MD42" s="24" t="str">
        <f t="shared" ca="1" si="102"/>
        <v/>
      </c>
      <c r="ME42" s="24" t="str">
        <f t="shared" ca="1" si="102"/>
        <v/>
      </c>
      <c r="MF42" s="24" t="str">
        <f t="shared" ca="1" si="102"/>
        <v/>
      </c>
      <c r="MG42" s="24" t="str">
        <f t="shared" ca="1" si="102"/>
        <v/>
      </c>
      <c r="MH42" s="24" t="str">
        <f t="shared" ca="1" si="102"/>
        <v/>
      </c>
      <c r="MI42" s="24" t="str">
        <f t="shared" ca="1" si="102"/>
        <v/>
      </c>
      <c r="MJ42" s="24" t="str">
        <f t="shared" ca="1" si="102"/>
        <v/>
      </c>
      <c r="MK42" s="24" t="str">
        <f t="shared" ca="1" si="102"/>
        <v/>
      </c>
      <c r="ML42" s="24" t="str">
        <f t="shared" ca="1" si="103"/>
        <v/>
      </c>
      <c r="MM42" s="24" t="str">
        <f t="shared" ca="1" si="103"/>
        <v/>
      </c>
      <c r="MN42" s="24" t="str">
        <f t="shared" ca="1" si="103"/>
        <v/>
      </c>
      <c r="MO42" s="24" t="str">
        <f t="shared" ca="1" si="103"/>
        <v/>
      </c>
      <c r="MP42" s="24" t="str">
        <f t="shared" ca="1" si="103"/>
        <v/>
      </c>
      <c r="MQ42" s="24" t="str">
        <f t="shared" ca="1" si="103"/>
        <v/>
      </c>
      <c r="MR42" s="24" t="str">
        <f t="shared" ca="1" si="103"/>
        <v/>
      </c>
      <c r="MS42" s="24" t="str">
        <f t="shared" ca="1" si="103"/>
        <v/>
      </c>
      <c r="MT42" s="24" t="str">
        <f t="shared" ca="1" si="103"/>
        <v/>
      </c>
      <c r="MU42" s="24" t="str">
        <f t="shared" ca="1" si="103"/>
        <v/>
      </c>
      <c r="MV42" s="24" t="str">
        <f t="shared" ca="1" si="104"/>
        <v/>
      </c>
      <c r="MW42" s="24" t="str">
        <f t="shared" ca="1" si="104"/>
        <v/>
      </c>
      <c r="MX42" s="24" t="str">
        <f t="shared" ca="1" si="104"/>
        <v/>
      </c>
      <c r="MY42" s="24" t="str">
        <f t="shared" ca="1" si="104"/>
        <v/>
      </c>
      <c r="MZ42" s="24" t="str">
        <f t="shared" ca="1" si="104"/>
        <v/>
      </c>
      <c r="NA42" s="24" t="str">
        <f t="shared" ca="1" si="104"/>
        <v/>
      </c>
      <c r="NB42" s="24" t="str">
        <f t="shared" ca="1" si="104"/>
        <v/>
      </c>
      <c r="NC42" s="24" t="str">
        <f t="shared" ca="1" si="104"/>
        <v/>
      </c>
      <c r="ND42" s="24" t="str">
        <f t="shared" ca="1" si="104"/>
        <v/>
      </c>
      <c r="NE42" s="24" t="str">
        <f t="shared" ca="1" si="104"/>
        <v/>
      </c>
      <c r="NF42" s="24" t="str">
        <f t="shared" ca="1" si="105"/>
        <v/>
      </c>
      <c r="NG42" s="24" t="str">
        <f t="shared" ca="1" si="105"/>
        <v/>
      </c>
      <c r="NH42" s="24" t="str">
        <f t="shared" ca="1" si="105"/>
        <v/>
      </c>
      <c r="NI42" s="24" t="str">
        <f t="shared" ca="1" si="105"/>
        <v/>
      </c>
      <c r="NJ42" s="24" t="str">
        <f t="shared" ca="1" si="105"/>
        <v/>
      </c>
      <c r="NK42" s="24" t="str">
        <f t="shared" ca="1" si="105"/>
        <v/>
      </c>
      <c r="NL42" s="24" t="str">
        <f t="shared" ca="1" si="105"/>
        <v/>
      </c>
      <c r="NM42" s="24" t="str">
        <f t="shared" ca="1" si="105"/>
        <v/>
      </c>
      <c r="NN42" s="24" t="str">
        <f t="shared" ca="1" si="105"/>
        <v/>
      </c>
      <c r="NO42" s="24" t="str">
        <f t="shared" ca="1" si="105"/>
        <v/>
      </c>
      <c r="NP42" s="24" t="str">
        <f t="shared" ca="1" si="106"/>
        <v/>
      </c>
      <c r="NQ42" s="24" t="str">
        <f t="shared" ca="1" si="106"/>
        <v/>
      </c>
      <c r="NR42" s="24" t="str">
        <f t="shared" ca="1" si="106"/>
        <v/>
      </c>
      <c r="NS42" s="24" t="str">
        <f t="shared" ca="1" si="106"/>
        <v/>
      </c>
      <c r="NT42" s="24" t="str">
        <f t="shared" ca="1" si="106"/>
        <v/>
      </c>
      <c r="NU42" s="24" t="str">
        <f t="shared" ca="1" si="106"/>
        <v/>
      </c>
      <c r="NV42" s="24" t="str">
        <f t="shared" ca="1" si="106"/>
        <v/>
      </c>
      <c r="NW42" s="24" t="str">
        <f t="shared" ca="1" si="106"/>
        <v/>
      </c>
      <c r="NX42" s="24" t="str">
        <f t="shared" ca="1" si="106"/>
        <v/>
      </c>
      <c r="NY42" s="24" t="str">
        <f t="shared" ca="1" si="106"/>
        <v/>
      </c>
      <c r="NZ42" s="24" t="str">
        <f t="shared" ca="1" si="107"/>
        <v/>
      </c>
      <c r="OA42" s="24" t="str">
        <f t="shared" ca="1" si="107"/>
        <v/>
      </c>
      <c r="OB42" s="24" t="str">
        <f t="shared" ca="1" si="107"/>
        <v/>
      </c>
      <c r="OC42" s="24" t="str">
        <f t="shared" ca="1" si="107"/>
        <v/>
      </c>
      <c r="OD42" s="24" t="str">
        <f t="shared" ca="1" si="107"/>
        <v/>
      </c>
      <c r="OE42" s="24" t="str">
        <f t="shared" ca="1" si="107"/>
        <v/>
      </c>
      <c r="OF42" s="24" t="str">
        <f t="shared" ca="1" si="107"/>
        <v/>
      </c>
      <c r="OG42" s="24" t="str">
        <f t="shared" ca="1" si="107"/>
        <v/>
      </c>
      <c r="OH42" s="24" t="str">
        <f t="shared" ca="1" si="107"/>
        <v/>
      </c>
      <c r="OI42" s="24" t="str">
        <f t="shared" ca="1" si="107"/>
        <v/>
      </c>
      <c r="OJ42" s="24" t="str">
        <f t="shared" ca="1" si="108"/>
        <v/>
      </c>
      <c r="OK42" s="24" t="str">
        <f t="shared" ca="1" si="108"/>
        <v/>
      </c>
      <c r="OL42" s="24" t="str">
        <f t="shared" ca="1" si="108"/>
        <v/>
      </c>
      <c r="OM42" s="24" t="str">
        <f t="shared" ca="1" si="108"/>
        <v/>
      </c>
      <c r="ON42" s="24" t="str">
        <f t="shared" ca="1" si="108"/>
        <v/>
      </c>
      <c r="OO42" s="24" t="str">
        <f t="shared" ca="1" si="108"/>
        <v/>
      </c>
      <c r="OP42" s="24" t="str">
        <f t="shared" ca="1" si="108"/>
        <v/>
      </c>
      <c r="OQ42" s="24" t="str">
        <f t="shared" ca="1" si="108"/>
        <v/>
      </c>
      <c r="OR42" s="24" t="str">
        <f t="shared" ca="1" si="108"/>
        <v/>
      </c>
      <c r="OS42" s="24" t="str">
        <f t="shared" ca="1" si="108"/>
        <v/>
      </c>
      <c r="OT42" s="24" t="str">
        <f t="shared" ca="1" si="109"/>
        <v/>
      </c>
      <c r="OU42" s="24" t="str">
        <f t="shared" ca="1" si="109"/>
        <v/>
      </c>
      <c r="OV42" s="24" t="str">
        <f t="shared" ca="1" si="109"/>
        <v/>
      </c>
      <c r="OW42" s="24" t="str">
        <f t="shared" ca="1" si="109"/>
        <v/>
      </c>
      <c r="OX42" s="24" t="str">
        <f t="shared" ca="1" si="109"/>
        <v/>
      </c>
      <c r="OY42" s="24" t="str">
        <f t="shared" ca="1" si="109"/>
        <v/>
      </c>
      <c r="OZ42" s="24" t="str">
        <f t="shared" ca="1" si="109"/>
        <v/>
      </c>
      <c r="PA42" s="24" t="str">
        <f t="shared" ca="1" si="109"/>
        <v/>
      </c>
      <c r="PB42" s="24" t="str">
        <f t="shared" ca="1" si="109"/>
        <v/>
      </c>
      <c r="PC42" s="24" t="str">
        <f t="shared" ca="1" si="109"/>
        <v/>
      </c>
      <c r="PD42" s="24" t="str">
        <f t="shared" ca="1" si="110"/>
        <v/>
      </c>
      <c r="PE42" s="24" t="str">
        <f t="shared" ca="1" si="110"/>
        <v/>
      </c>
      <c r="PF42" s="24" t="str">
        <f t="shared" ca="1" si="110"/>
        <v/>
      </c>
      <c r="PG42" s="24" t="str">
        <f t="shared" ca="1" si="110"/>
        <v/>
      </c>
      <c r="PH42" s="24" t="str">
        <f t="shared" ca="1" si="110"/>
        <v/>
      </c>
      <c r="PI42" s="24" t="str">
        <f t="shared" ca="1" si="110"/>
        <v/>
      </c>
      <c r="PJ42" s="24" t="str">
        <f t="shared" ca="1" si="110"/>
        <v/>
      </c>
      <c r="PK42" s="24" t="str">
        <f t="shared" ca="1" si="110"/>
        <v/>
      </c>
      <c r="PL42" s="24" t="str">
        <f t="shared" ca="1" si="110"/>
        <v/>
      </c>
      <c r="PM42" s="24" t="str">
        <f t="shared" ca="1" si="110"/>
        <v/>
      </c>
      <c r="PN42" s="24" t="str">
        <f t="shared" ca="1" si="111"/>
        <v/>
      </c>
      <c r="PO42" s="24" t="str">
        <f t="shared" ca="1" si="111"/>
        <v/>
      </c>
      <c r="PP42" s="24" t="str">
        <f t="shared" ca="1" si="111"/>
        <v/>
      </c>
      <c r="PQ42" s="24" t="str">
        <f t="shared" ca="1" si="111"/>
        <v/>
      </c>
      <c r="PR42" s="24" t="str">
        <f t="shared" ca="1" si="111"/>
        <v/>
      </c>
      <c r="PS42" s="24" t="str">
        <f t="shared" ca="1" si="111"/>
        <v/>
      </c>
      <c r="PT42" s="24" t="str">
        <f t="shared" ca="1" si="111"/>
        <v/>
      </c>
      <c r="PU42" s="24" t="str">
        <f t="shared" ca="1" si="111"/>
        <v/>
      </c>
      <c r="PV42" s="24" t="str">
        <f t="shared" ca="1" si="111"/>
        <v/>
      </c>
      <c r="PW42" s="24" t="str">
        <f t="shared" ca="1" si="111"/>
        <v/>
      </c>
      <c r="PX42" s="24" t="str">
        <f t="shared" ca="1" si="112"/>
        <v/>
      </c>
      <c r="PY42" s="24" t="str">
        <f t="shared" ca="1" si="112"/>
        <v/>
      </c>
      <c r="PZ42" s="24" t="str">
        <f t="shared" ca="1" si="112"/>
        <v/>
      </c>
      <c r="QA42" s="24" t="str">
        <f t="shared" ca="1" si="112"/>
        <v/>
      </c>
      <c r="QB42" s="24" t="str">
        <f t="shared" ca="1" si="112"/>
        <v/>
      </c>
      <c r="QC42" s="24" t="str">
        <f t="shared" ca="1" si="112"/>
        <v/>
      </c>
      <c r="QD42" s="24" t="str">
        <f t="shared" ca="1" si="112"/>
        <v/>
      </c>
      <c r="QE42" s="24" t="str">
        <f t="shared" ca="1" si="112"/>
        <v/>
      </c>
      <c r="QF42" s="24" t="str">
        <f t="shared" ca="1" si="112"/>
        <v/>
      </c>
      <c r="QG42" s="24" t="str">
        <f t="shared" ca="1" si="112"/>
        <v/>
      </c>
      <c r="QH42" s="24" t="str">
        <f t="shared" ca="1" si="113"/>
        <v/>
      </c>
      <c r="QI42" s="24" t="str">
        <f t="shared" ca="1" si="113"/>
        <v/>
      </c>
      <c r="QJ42" s="24" t="str">
        <f t="shared" ca="1" si="113"/>
        <v/>
      </c>
      <c r="QK42" s="24" t="str">
        <f t="shared" ca="1" si="113"/>
        <v/>
      </c>
      <c r="QL42" s="24" t="str">
        <f t="shared" ca="1" si="113"/>
        <v/>
      </c>
      <c r="QM42" s="24" t="str">
        <f t="shared" ca="1" si="113"/>
        <v/>
      </c>
      <c r="QN42" s="24" t="str">
        <f t="shared" ca="1" si="113"/>
        <v/>
      </c>
      <c r="QO42" s="24" t="str">
        <f t="shared" ca="1" si="113"/>
        <v/>
      </c>
      <c r="QP42" s="24" t="str">
        <f t="shared" ca="1" si="113"/>
        <v/>
      </c>
      <c r="QQ42" s="24" t="str">
        <f t="shared" ca="1" si="113"/>
        <v/>
      </c>
      <c r="QR42" s="24" t="str">
        <f t="shared" ca="1" si="114"/>
        <v/>
      </c>
      <c r="QS42" s="24" t="str">
        <f t="shared" ca="1" si="114"/>
        <v/>
      </c>
      <c r="QT42" s="24" t="str">
        <f t="shared" ca="1" si="114"/>
        <v/>
      </c>
      <c r="QU42" s="24" t="str">
        <f t="shared" ca="1" si="114"/>
        <v/>
      </c>
      <c r="QV42" s="24" t="str">
        <f t="shared" ca="1" si="114"/>
        <v/>
      </c>
      <c r="QW42" s="24" t="str">
        <f t="shared" ca="1" si="114"/>
        <v/>
      </c>
      <c r="QX42" s="24" t="str">
        <f t="shared" ca="1" si="114"/>
        <v/>
      </c>
      <c r="QY42" s="24" t="str">
        <f t="shared" ca="1" si="114"/>
        <v/>
      </c>
      <c r="QZ42" s="24" t="str">
        <f t="shared" ca="1" si="114"/>
        <v/>
      </c>
      <c r="RA42" s="24" t="str">
        <f t="shared" ca="1" si="114"/>
        <v/>
      </c>
      <c r="RB42" s="24" t="str">
        <f t="shared" ca="1" si="115"/>
        <v/>
      </c>
      <c r="RC42" s="24" t="str">
        <f t="shared" ca="1" si="115"/>
        <v/>
      </c>
      <c r="RD42" s="24" t="str">
        <f t="shared" ca="1" si="115"/>
        <v/>
      </c>
      <c r="RE42" s="24" t="str">
        <f t="shared" ca="1" si="115"/>
        <v/>
      </c>
      <c r="RF42" s="24" t="str">
        <f t="shared" ca="1" si="115"/>
        <v/>
      </c>
      <c r="RG42" s="24" t="str">
        <f t="shared" ca="1" si="115"/>
        <v/>
      </c>
      <c r="RH42" s="24" t="str">
        <f t="shared" ca="1" si="115"/>
        <v/>
      </c>
      <c r="RI42" s="24" t="str">
        <f t="shared" ca="1" si="115"/>
        <v/>
      </c>
      <c r="RJ42" s="24" t="str">
        <f t="shared" ca="1" si="115"/>
        <v/>
      </c>
      <c r="RK42" s="24" t="str">
        <f t="shared" ca="1" si="115"/>
        <v/>
      </c>
      <c r="RL42" s="24" t="str">
        <f t="shared" ca="1" si="116"/>
        <v/>
      </c>
      <c r="RM42" s="24" t="str">
        <f t="shared" ca="1" si="116"/>
        <v/>
      </c>
      <c r="RN42" s="24" t="str">
        <f t="shared" ca="1" si="116"/>
        <v/>
      </c>
      <c r="RO42" s="24" t="str">
        <f t="shared" ca="1" si="116"/>
        <v/>
      </c>
      <c r="RP42" s="24" t="str">
        <f t="shared" ca="1" si="116"/>
        <v/>
      </c>
      <c r="RQ42" s="24" t="str">
        <f t="shared" ca="1" si="116"/>
        <v/>
      </c>
      <c r="RR42" s="24" t="str">
        <f t="shared" ca="1" si="116"/>
        <v/>
      </c>
      <c r="RS42" s="24" t="str">
        <f t="shared" ca="1" si="116"/>
        <v/>
      </c>
      <c r="RT42" s="24" t="str">
        <f t="shared" ca="1" si="116"/>
        <v/>
      </c>
      <c r="RU42" s="24" t="str">
        <f t="shared" ca="1" si="116"/>
        <v/>
      </c>
      <c r="RV42" s="24" t="str">
        <f t="shared" ca="1" si="117"/>
        <v/>
      </c>
      <c r="RW42" s="24" t="str">
        <f t="shared" ca="1" si="117"/>
        <v/>
      </c>
      <c r="RX42" s="24" t="str">
        <f t="shared" ca="1" si="117"/>
        <v/>
      </c>
      <c r="RY42" s="24" t="str">
        <f t="shared" ca="1" si="117"/>
        <v/>
      </c>
      <c r="RZ42" s="24" t="str">
        <f t="shared" ca="1" si="117"/>
        <v/>
      </c>
      <c r="SA42" s="24" t="str">
        <f t="shared" ca="1" si="117"/>
        <v/>
      </c>
      <c r="SB42" s="24" t="str">
        <f t="shared" ca="1" si="117"/>
        <v/>
      </c>
      <c r="SC42" s="24" t="str">
        <f t="shared" ca="1" si="117"/>
        <v/>
      </c>
      <c r="SD42" s="24" t="str">
        <f t="shared" ca="1" si="117"/>
        <v/>
      </c>
      <c r="SE42" s="24" t="str">
        <f t="shared" ca="1" si="117"/>
        <v/>
      </c>
      <c r="SF42" s="24" t="str">
        <f t="shared" ca="1" si="118"/>
        <v/>
      </c>
      <c r="SG42" s="24" t="str">
        <f t="shared" ca="1" si="118"/>
        <v/>
      </c>
      <c r="SH42" s="24" t="str">
        <f t="shared" ca="1" si="118"/>
        <v/>
      </c>
      <c r="SI42" s="24" t="str">
        <f t="shared" ca="1" si="118"/>
        <v/>
      </c>
      <c r="SJ42" s="24" t="str">
        <f t="shared" ca="1" si="118"/>
        <v/>
      </c>
      <c r="SK42" s="24" t="str">
        <f t="shared" ca="1" si="118"/>
        <v/>
      </c>
      <c r="SL42" s="24" t="str">
        <f t="shared" ca="1" si="118"/>
        <v/>
      </c>
      <c r="SM42" s="24" t="str">
        <f t="shared" ca="1" si="118"/>
        <v/>
      </c>
      <c r="SN42" s="24" t="str">
        <f t="shared" ca="1" si="118"/>
        <v/>
      </c>
      <c r="SO42" s="24" t="str">
        <f t="shared" ca="1" si="118"/>
        <v/>
      </c>
      <c r="SP42" s="24" t="str">
        <f t="shared" ca="1" si="119"/>
        <v/>
      </c>
      <c r="SQ42" s="24" t="str">
        <f t="shared" ca="1" si="119"/>
        <v/>
      </c>
      <c r="SR42" s="24" t="str">
        <f t="shared" ca="1" si="119"/>
        <v/>
      </c>
      <c r="SS42" s="24" t="str">
        <f t="shared" ca="1" si="119"/>
        <v/>
      </c>
      <c r="ST42" s="24" t="str">
        <f t="shared" ca="1" si="119"/>
        <v/>
      </c>
      <c r="SU42" s="24" t="str">
        <f t="shared" ca="1" si="119"/>
        <v/>
      </c>
      <c r="SV42" s="24" t="str">
        <f t="shared" ca="1" si="119"/>
        <v/>
      </c>
      <c r="SW42" s="24" t="str">
        <f t="shared" ca="1" si="119"/>
        <v/>
      </c>
      <c r="SX42" s="24" t="str">
        <f t="shared" ca="1" si="119"/>
        <v/>
      </c>
      <c r="SY42" s="24" t="str">
        <f t="shared" ca="1" si="119"/>
        <v/>
      </c>
      <c r="SZ42" s="24" t="str">
        <f t="shared" ca="1" si="120"/>
        <v/>
      </c>
      <c r="TA42" s="24" t="str">
        <f t="shared" ca="1" si="120"/>
        <v/>
      </c>
      <c r="TB42" s="24" t="str">
        <f t="shared" ca="1" si="120"/>
        <v/>
      </c>
      <c r="TC42" s="24" t="str">
        <f t="shared" ca="1" si="120"/>
        <v/>
      </c>
      <c r="TD42" s="24" t="str">
        <f t="shared" ca="1" si="120"/>
        <v/>
      </c>
      <c r="TE42" s="24" t="str">
        <f t="shared" ca="1" si="120"/>
        <v/>
      </c>
      <c r="TF42" s="24" t="str">
        <f t="shared" ca="1" si="120"/>
        <v/>
      </c>
      <c r="TG42" s="24" t="str">
        <f t="shared" ca="1" si="120"/>
        <v/>
      </c>
      <c r="TH42" s="24" t="str">
        <f t="shared" ca="1" si="120"/>
        <v/>
      </c>
      <c r="TI42" s="24" t="str">
        <f t="shared" ca="1" si="120"/>
        <v/>
      </c>
      <c r="TJ42" s="24" t="str">
        <f t="shared" ca="1" si="121"/>
        <v/>
      </c>
      <c r="TK42" s="24" t="str">
        <f t="shared" ca="1" si="121"/>
        <v/>
      </c>
      <c r="TL42" s="24" t="str">
        <f t="shared" ca="1" si="121"/>
        <v/>
      </c>
      <c r="TM42" s="24" t="str">
        <f t="shared" ca="1" si="121"/>
        <v/>
      </c>
      <c r="TN42" s="24" t="str">
        <f t="shared" ca="1" si="121"/>
        <v/>
      </c>
      <c r="TO42" s="24" t="str">
        <f t="shared" ca="1" si="121"/>
        <v/>
      </c>
      <c r="TP42" s="24" t="str">
        <f t="shared" ca="1" si="121"/>
        <v/>
      </c>
      <c r="TQ42" s="24" t="str">
        <f t="shared" ca="1" si="121"/>
        <v/>
      </c>
      <c r="TR42" s="24" t="str">
        <f t="shared" ca="1" si="121"/>
        <v/>
      </c>
      <c r="TS42" s="24" t="str">
        <f t="shared" ca="1" si="121"/>
        <v/>
      </c>
      <c r="TT42" s="24" t="str">
        <f t="shared" ca="1" si="122"/>
        <v/>
      </c>
      <c r="TU42" s="24" t="str">
        <f t="shared" ca="1" si="122"/>
        <v/>
      </c>
      <c r="TV42" s="24" t="str">
        <f t="shared" ca="1" si="122"/>
        <v/>
      </c>
      <c r="TW42" s="24" t="str">
        <f t="shared" ca="1" si="122"/>
        <v/>
      </c>
      <c r="TX42" s="24" t="str">
        <f t="shared" ca="1" si="122"/>
        <v/>
      </c>
      <c r="TY42" s="24" t="str">
        <f t="shared" ca="1" si="122"/>
        <v/>
      </c>
      <c r="TZ42" s="24" t="str">
        <f t="shared" ca="1" si="122"/>
        <v/>
      </c>
      <c r="UA42" s="24" t="str">
        <f t="shared" ca="1" si="122"/>
        <v/>
      </c>
      <c r="UB42" s="24" t="str">
        <f t="shared" ca="1" si="122"/>
        <v/>
      </c>
      <c r="UC42" s="24" t="str">
        <f t="shared" ca="1" si="122"/>
        <v/>
      </c>
      <c r="UD42" s="24" t="str">
        <f t="shared" ca="1" si="123"/>
        <v/>
      </c>
      <c r="UE42" s="24" t="str">
        <f t="shared" ca="1" si="123"/>
        <v/>
      </c>
      <c r="UF42" s="24" t="str">
        <f t="shared" ca="1" si="123"/>
        <v/>
      </c>
      <c r="UG42" s="24" t="str">
        <f t="shared" ca="1" si="123"/>
        <v/>
      </c>
      <c r="UH42" s="24" t="str">
        <f t="shared" ca="1" si="123"/>
        <v/>
      </c>
      <c r="UI42" s="24" t="str">
        <f t="shared" ca="1" si="123"/>
        <v/>
      </c>
      <c r="UJ42" s="24" t="str">
        <f t="shared" ca="1" si="123"/>
        <v/>
      </c>
      <c r="UK42" s="24" t="str">
        <f t="shared" ca="1" si="123"/>
        <v/>
      </c>
      <c r="UL42" s="24" t="str">
        <f t="shared" ca="1" si="123"/>
        <v/>
      </c>
      <c r="UM42" s="24" t="str">
        <f t="shared" ca="1" si="123"/>
        <v/>
      </c>
      <c r="UN42" s="24" t="str">
        <f t="shared" ca="1" si="124"/>
        <v/>
      </c>
      <c r="UO42" s="24" t="str">
        <f t="shared" ca="1" si="124"/>
        <v/>
      </c>
      <c r="UP42" s="24" t="str">
        <f t="shared" ca="1" si="124"/>
        <v/>
      </c>
      <c r="UQ42" s="24" t="str">
        <f t="shared" ca="1" si="124"/>
        <v/>
      </c>
      <c r="UR42" s="24" t="str">
        <f t="shared" ca="1" si="124"/>
        <v/>
      </c>
      <c r="US42" s="24" t="str">
        <f t="shared" ca="1" si="124"/>
        <v/>
      </c>
      <c r="UT42" s="24" t="str">
        <f t="shared" ca="1" si="124"/>
        <v/>
      </c>
      <c r="UU42" s="24" t="str">
        <f t="shared" ca="1" si="124"/>
        <v/>
      </c>
      <c r="UV42" s="24" t="str">
        <f t="shared" ca="1" si="124"/>
        <v/>
      </c>
      <c r="UW42" s="24" t="str">
        <f t="shared" ca="1" si="124"/>
        <v/>
      </c>
      <c r="UX42" s="24" t="str">
        <f t="shared" ca="1" si="125"/>
        <v/>
      </c>
      <c r="UY42" s="24" t="str">
        <f t="shared" ca="1" si="125"/>
        <v/>
      </c>
      <c r="UZ42" s="24" t="str">
        <f t="shared" ca="1" si="125"/>
        <v/>
      </c>
      <c r="VA42" s="24" t="str">
        <f t="shared" ca="1" si="125"/>
        <v/>
      </c>
      <c r="VB42" s="24" t="str">
        <f t="shared" ca="1" si="125"/>
        <v/>
      </c>
      <c r="VC42" s="24" t="str">
        <f t="shared" ca="1" si="125"/>
        <v/>
      </c>
      <c r="VD42" s="24" t="str">
        <f t="shared" ca="1" si="125"/>
        <v/>
      </c>
      <c r="VE42" s="24" t="str">
        <f t="shared" ca="1" si="125"/>
        <v/>
      </c>
      <c r="VF42" s="24" t="str">
        <f t="shared" ca="1" si="125"/>
        <v/>
      </c>
      <c r="VG42" s="24" t="str">
        <f t="shared" ca="1" si="125"/>
        <v/>
      </c>
      <c r="VH42" s="24" t="str">
        <f t="shared" ca="1" si="126"/>
        <v/>
      </c>
      <c r="VI42" s="24" t="str">
        <f t="shared" ca="1" si="126"/>
        <v/>
      </c>
      <c r="VJ42" s="24" t="str">
        <f t="shared" ca="1" si="126"/>
        <v/>
      </c>
      <c r="VK42" s="24" t="str">
        <f t="shared" ca="1" si="126"/>
        <v/>
      </c>
      <c r="VL42" s="24" t="str">
        <f t="shared" ca="1" si="126"/>
        <v/>
      </c>
      <c r="VM42" s="24" t="str">
        <f t="shared" ca="1" si="126"/>
        <v/>
      </c>
      <c r="VN42" s="24" t="str">
        <f t="shared" ca="1" si="126"/>
        <v/>
      </c>
      <c r="VO42" s="24" t="str">
        <f t="shared" ca="1" si="126"/>
        <v/>
      </c>
      <c r="VP42" s="24" t="str">
        <f t="shared" ca="1" si="126"/>
        <v/>
      </c>
      <c r="VQ42" s="24" t="str">
        <f t="shared" ca="1" si="126"/>
        <v/>
      </c>
      <c r="VR42" s="24" t="str">
        <f t="shared" ca="1" si="126"/>
        <v/>
      </c>
      <c r="VS42" s="24" t="str">
        <f t="shared" ca="1" si="126"/>
        <v/>
      </c>
    </row>
    <row r="43" spans="1:591" s="17" customFormat="1" ht="21.6" customHeight="1" x14ac:dyDescent="0.3">
      <c r="A43" s="81"/>
      <c r="B43" s="56" t="str">
        <f>'CoS Tracker'!$AF$7</f>
        <v>2. Design Period End</v>
      </c>
      <c r="C43" s="19" t="s">
        <v>72</v>
      </c>
      <c r="D43" s="19"/>
      <c r="E43" s="27">
        <v>0.1</v>
      </c>
      <c r="F43" s="26">
        <f>F41</f>
        <v>45995</v>
      </c>
      <c r="G43" s="26">
        <f>'CoS Tracker'!AF20</f>
        <v>46033</v>
      </c>
      <c r="H43" s="25">
        <f>Milestones43524[[#This Row],[End]]-Milestones43524[[#This Row],[Start]]</f>
        <v>38</v>
      </c>
      <c r="I43" s="19"/>
      <c r="J43" s="24" t="str">
        <f t="shared" ca="1" si="69"/>
        <v/>
      </c>
      <c r="K43" s="24" t="str">
        <f t="shared" ca="1" si="69"/>
        <v/>
      </c>
      <c r="L43" s="24" t="str">
        <f t="shared" ca="1" si="69"/>
        <v/>
      </c>
      <c r="M43" s="24" t="str">
        <f t="shared" ca="1" si="69"/>
        <v/>
      </c>
      <c r="N43" s="24" t="str">
        <f t="shared" ca="1" si="69"/>
        <v/>
      </c>
      <c r="O43" s="24" t="str">
        <f t="shared" ca="1" si="69"/>
        <v/>
      </c>
      <c r="P43" s="24" t="str">
        <f t="shared" ca="1" si="69"/>
        <v/>
      </c>
      <c r="Q43" s="24" t="str">
        <f t="shared" ca="1" si="69"/>
        <v/>
      </c>
      <c r="R43" s="24" t="str">
        <f t="shared" ca="1" si="69"/>
        <v/>
      </c>
      <c r="S43" s="24" t="str">
        <f t="shared" ca="1" si="69"/>
        <v/>
      </c>
      <c r="T43" s="24" t="str">
        <f t="shared" ca="1" si="70"/>
        <v/>
      </c>
      <c r="U43" s="24" t="str">
        <f t="shared" ca="1" si="70"/>
        <v/>
      </c>
      <c r="V43" s="24" t="str">
        <f t="shared" ca="1" si="70"/>
        <v/>
      </c>
      <c r="W43" s="24" t="str">
        <f t="shared" ca="1" si="70"/>
        <v/>
      </c>
      <c r="X43" s="24" t="str">
        <f t="shared" ca="1" si="70"/>
        <v/>
      </c>
      <c r="Y43" s="24" t="str">
        <f t="shared" ca="1" si="70"/>
        <v/>
      </c>
      <c r="Z43" s="24" t="str">
        <f t="shared" ca="1" si="70"/>
        <v/>
      </c>
      <c r="AA43" s="24" t="str">
        <f t="shared" ca="1" si="70"/>
        <v/>
      </c>
      <c r="AB43" s="24" t="str">
        <f t="shared" ca="1" si="70"/>
        <v/>
      </c>
      <c r="AC43" s="24" t="str">
        <f t="shared" ca="1" si="70"/>
        <v/>
      </c>
      <c r="AD43" s="24" t="str">
        <f t="shared" ca="1" si="71"/>
        <v/>
      </c>
      <c r="AE43" s="24" t="str">
        <f t="shared" ca="1" si="71"/>
        <v/>
      </c>
      <c r="AF43" s="24" t="str">
        <f t="shared" ca="1" si="71"/>
        <v/>
      </c>
      <c r="AG43" s="24" t="str">
        <f t="shared" ca="1" si="71"/>
        <v/>
      </c>
      <c r="AH43" s="24" t="str">
        <f t="shared" ca="1" si="71"/>
        <v/>
      </c>
      <c r="AI43" s="24" t="str">
        <f t="shared" ca="1" si="71"/>
        <v/>
      </c>
      <c r="AJ43" s="24" t="str">
        <f t="shared" ca="1" si="71"/>
        <v/>
      </c>
      <c r="AK43" s="24" t="str">
        <f t="shared" ca="1" si="71"/>
        <v/>
      </c>
      <c r="AL43" s="24" t="str">
        <f t="shared" ca="1" si="71"/>
        <v/>
      </c>
      <c r="AM43" s="24" t="str">
        <f t="shared" ca="1" si="71"/>
        <v/>
      </c>
      <c r="AN43" s="24" t="str">
        <f t="shared" ca="1" si="72"/>
        <v/>
      </c>
      <c r="AO43" s="24" t="str">
        <f t="shared" ca="1" si="72"/>
        <v/>
      </c>
      <c r="AP43" s="24" t="str">
        <f t="shared" ca="1" si="72"/>
        <v/>
      </c>
      <c r="AQ43" s="24" t="str">
        <f t="shared" ca="1" si="72"/>
        <v/>
      </c>
      <c r="AR43" s="24" t="str">
        <f t="shared" ca="1" si="72"/>
        <v/>
      </c>
      <c r="AS43" s="24" t="str">
        <f t="shared" ca="1" si="72"/>
        <v/>
      </c>
      <c r="AT43" s="24" t="str">
        <f t="shared" ca="1" si="72"/>
        <v/>
      </c>
      <c r="AU43" s="24" t="str">
        <f t="shared" ca="1" si="72"/>
        <v/>
      </c>
      <c r="AV43" s="24" t="str">
        <f t="shared" ca="1" si="72"/>
        <v/>
      </c>
      <c r="AW43" s="24" t="str">
        <f t="shared" ca="1" si="72"/>
        <v/>
      </c>
      <c r="AX43" s="24" t="str">
        <f t="shared" ca="1" si="73"/>
        <v/>
      </c>
      <c r="AY43" s="24" t="str">
        <f t="shared" ca="1" si="73"/>
        <v/>
      </c>
      <c r="AZ43" s="24" t="str">
        <f t="shared" ca="1" si="73"/>
        <v/>
      </c>
      <c r="BA43" s="24" t="str">
        <f t="shared" ca="1" si="73"/>
        <v/>
      </c>
      <c r="BB43" s="24" t="str">
        <f t="shared" ca="1" si="73"/>
        <v/>
      </c>
      <c r="BC43" s="24" t="str">
        <f t="shared" ca="1" si="73"/>
        <v/>
      </c>
      <c r="BD43" s="24" t="str">
        <f t="shared" ca="1" si="73"/>
        <v/>
      </c>
      <c r="BE43" s="24" t="str">
        <f t="shared" ca="1" si="73"/>
        <v/>
      </c>
      <c r="BF43" s="24" t="str">
        <f t="shared" ca="1" si="73"/>
        <v/>
      </c>
      <c r="BG43" s="24" t="str">
        <f t="shared" ca="1" si="73"/>
        <v/>
      </c>
      <c r="BH43" s="24" t="str">
        <f t="shared" ca="1" si="74"/>
        <v/>
      </c>
      <c r="BI43" s="24" t="str">
        <f t="shared" ca="1" si="74"/>
        <v/>
      </c>
      <c r="BJ43" s="24" t="str">
        <f t="shared" ca="1" si="74"/>
        <v/>
      </c>
      <c r="BK43" s="24" t="str">
        <f t="shared" ca="1" si="74"/>
        <v/>
      </c>
      <c r="BL43" s="24" t="str">
        <f t="shared" ca="1" si="74"/>
        <v/>
      </c>
      <c r="BM43" s="24" t="str">
        <f t="shared" ca="1" si="74"/>
        <v/>
      </c>
      <c r="BN43" s="24" t="str">
        <f t="shared" ca="1" si="74"/>
        <v/>
      </c>
      <c r="BO43" s="24" t="str">
        <f t="shared" ca="1" si="74"/>
        <v/>
      </c>
      <c r="BP43" s="24" t="str">
        <f t="shared" ca="1" si="74"/>
        <v/>
      </c>
      <c r="BQ43" s="24" t="str">
        <f t="shared" ca="1" si="74"/>
        <v/>
      </c>
      <c r="BR43" s="24" t="str">
        <f t="shared" ca="1" si="75"/>
        <v/>
      </c>
      <c r="BS43" s="24" t="str">
        <f t="shared" ca="1" si="75"/>
        <v/>
      </c>
      <c r="BT43" s="24" t="str">
        <f t="shared" ca="1" si="75"/>
        <v/>
      </c>
      <c r="BU43" s="24" t="str">
        <f t="shared" ca="1" si="75"/>
        <v/>
      </c>
      <c r="BV43" s="24" t="str">
        <f t="shared" ca="1" si="75"/>
        <v/>
      </c>
      <c r="BW43" s="24" t="str">
        <f t="shared" ca="1" si="75"/>
        <v/>
      </c>
      <c r="BX43" s="24" t="str">
        <f t="shared" ca="1" si="75"/>
        <v/>
      </c>
      <c r="BY43" s="24" t="str">
        <f t="shared" ca="1" si="75"/>
        <v/>
      </c>
      <c r="BZ43" s="24" t="str">
        <f t="shared" ca="1" si="75"/>
        <v/>
      </c>
      <c r="CA43" s="24" t="str">
        <f t="shared" ca="1" si="75"/>
        <v/>
      </c>
      <c r="CB43" s="24" t="str">
        <f t="shared" ca="1" si="76"/>
        <v/>
      </c>
      <c r="CC43" s="24" t="str">
        <f t="shared" ca="1" si="76"/>
        <v/>
      </c>
      <c r="CD43" s="24" t="str">
        <f t="shared" ca="1" si="76"/>
        <v/>
      </c>
      <c r="CE43" s="24" t="str">
        <f t="shared" ca="1" si="76"/>
        <v/>
      </c>
      <c r="CF43" s="24" t="str">
        <f t="shared" ca="1" si="76"/>
        <v/>
      </c>
      <c r="CG43" s="24" t="str">
        <f t="shared" ca="1" si="76"/>
        <v/>
      </c>
      <c r="CH43" s="24" t="str">
        <f t="shared" ca="1" si="76"/>
        <v/>
      </c>
      <c r="CI43" s="24" t="str">
        <f t="shared" ca="1" si="76"/>
        <v/>
      </c>
      <c r="CJ43" s="24" t="str">
        <f t="shared" ca="1" si="76"/>
        <v/>
      </c>
      <c r="CK43" s="24" t="str">
        <f t="shared" ca="1" si="76"/>
        <v/>
      </c>
      <c r="CL43" s="24" t="str">
        <f t="shared" ca="1" si="77"/>
        <v/>
      </c>
      <c r="CM43" s="24" t="str">
        <f t="shared" ca="1" si="77"/>
        <v/>
      </c>
      <c r="CN43" s="24" t="str">
        <f t="shared" ca="1" si="77"/>
        <v/>
      </c>
      <c r="CO43" s="24" t="str">
        <f t="shared" ca="1" si="77"/>
        <v/>
      </c>
      <c r="CP43" s="24" t="str">
        <f t="shared" ca="1" si="77"/>
        <v/>
      </c>
      <c r="CQ43" s="24" t="str">
        <f t="shared" ca="1" si="77"/>
        <v/>
      </c>
      <c r="CR43" s="24" t="str">
        <f t="shared" ca="1" si="77"/>
        <v/>
      </c>
      <c r="CS43" s="24" t="str">
        <f t="shared" ca="1" si="77"/>
        <v/>
      </c>
      <c r="CT43" s="24" t="str">
        <f t="shared" ca="1" si="77"/>
        <v/>
      </c>
      <c r="CU43" s="24" t="str">
        <f t="shared" ca="1" si="77"/>
        <v/>
      </c>
      <c r="CV43" s="24" t="str">
        <f t="shared" ca="1" si="78"/>
        <v/>
      </c>
      <c r="CW43" s="24" t="str">
        <f t="shared" ca="1" si="78"/>
        <v/>
      </c>
      <c r="CX43" s="24" t="str">
        <f t="shared" ca="1" si="78"/>
        <v/>
      </c>
      <c r="CY43" s="24" t="str">
        <f t="shared" ca="1" si="78"/>
        <v/>
      </c>
      <c r="CZ43" s="24" t="str">
        <f t="shared" ca="1" si="78"/>
        <v/>
      </c>
      <c r="DA43" s="24" t="str">
        <f t="shared" ca="1" si="78"/>
        <v/>
      </c>
      <c r="DB43" s="24" t="str">
        <f t="shared" ca="1" si="78"/>
        <v/>
      </c>
      <c r="DC43" s="24" t="str">
        <f t="shared" ca="1" si="78"/>
        <v/>
      </c>
      <c r="DD43" s="24" t="str">
        <f t="shared" ca="1" si="78"/>
        <v/>
      </c>
      <c r="DE43" s="24" t="str">
        <f t="shared" ca="1" si="78"/>
        <v/>
      </c>
      <c r="DF43" s="24" t="str">
        <f t="shared" ca="1" si="79"/>
        <v/>
      </c>
      <c r="DG43" s="24" t="str">
        <f t="shared" ca="1" si="79"/>
        <v/>
      </c>
      <c r="DH43" s="24" t="str">
        <f t="shared" ca="1" si="79"/>
        <v/>
      </c>
      <c r="DI43" s="24" t="str">
        <f t="shared" ca="1" si="79"/>
        <v/>
      </c>
      <c r="DJ43" s="24" t="str">
        <f t="shared" ca="1" si="79"/>
        <v/>
      </c>
      <c r="DK43" s="24" t="str">
        <f t="shared" ca="1" si="79"/>
        <v/>
      </c>
      <c r="DL43" s="24" t="str">
        <f t="shared" ca="1" si="79"/>
        <v/>
      </c>
      <c r="DM43" s="24" t="str">
        <f t="shared" ca="1" si="79"/>
        <v/>
      </c>
      <c r="DN43" s="24" t="str">
        <f t="shared" ca="1" si="79"/>
        <v/>
      </c>
      <c r="DO43" s="24" t="str">
        <f t="shared" ca="1" si="79"/>
        <v/>
      </c>
      <c r="DP43" s="24" t="str">
        <f t="shared" ca="1" si="80"/>
        <v/>
      </c>
      <c r="DQ43" s="24" t="str">
        <f t="shared" ca="1" si="80"/>
        <v/>
      </c>
      <c r="DR43" s="24" t="str">
        <f t="shared" ca="1" si="80"/>
        <v/>
      </c>
      <c r="DS43" s="24" t="str">
        <f t="shared" ca="1" si="80"/>
        <v/>
      </c>
      <c r="DT43" s="24" t="str">
        <f t="shared" ca="1" si="80"/>
        <v/>
      </c>
      <c r="DU43" s="24" t="str">
        <f t="shared" ca="1" si="80"/>
        <v/>
      </c>
      <c r="DV43" s="24" t="str">
        <f t="shared" ca="1" si="80"/>
        <v/>
      </c>
      <c r="DW43" s="24" t="str">
        <f t="shared" ca="1" si="80"/>
        <v/>
      </c>
      <c r="DX43" s="24" t="str">
        <f t="shared" ca="1" si="80"/>
        <v/>
      </c>
      <c r="DY43" s="24" t="str">
        <f t="shared" ca="1" si="80"/>
        <v/>
      </c>
      <c r="DZ43" s="24" t="str">
        <f t="shared" ca="1" si="81"/>
        <v/>
      </c>
      <c r="EA43" s="24" t="str">
        <f t="shared" ca="1" si="81"/>
        <v/>
      </c>
      <c r="EB43" s="24" t="str">
        <f t="shared" ca="1" si="81"/>
        <v/>
      </c>
      <c r="EC43" s="24" t="str">
        <f t="shared" ca="1" si="81"/>
        <v/>
      </c>
      <c r="ED43" s="24" t="str">
        <f t="shared" ca="1" si="81"/>
        <v/>
      </c>
      <c r="EE43" s="24" t="str">
        <f t="shared" ca="1" si="81"/>
        <v/>
      </c>
      <c r="EF43" s="24" t="str">
        <f t="shared" ca="1" si="81"/>
        <v/>
      </c>
      <c r="EG43" s="24" t="str">
        <f t="shared" ca="1" si="81"/>
        <v/>
      </c>
      <c r="EH43" s="24" t="str">
        <f t="shared" ca="1" si="81"/>
        <v/>
      </c>
      <c r="EI43" s="24" t="str">
        <f t="shared" ca="1" si="81"/>
        <v/>
      </c>
      <c r="EJ43" s="24" t="str">
        <f t="shared" ca="1" si="82"/>
        <v/>
      </c>
      <c r="EK43" s="24" t="str">
        <f t="shared" ca="1" si="82"/>
        <v/>
      </c>
      <c r="EL43" s="24" t="str">
        <f t="shared" ca="1" si="82"/>
        <v/>
      </c>
      <c r="EM43" s="24" t="str">
        <f t="shared" ca="1" si="82"/>
        <v/>
      </c>
      <c r="EN43" s="24" t="str">
        <f t="shared" ca="1" si="82"/>
        <v/>
      </c>
      <c r="EO43" s="24" t="str">
        <f t="shared" ca="1" si="82"/>
        <v/>
      </c>
      <c r="EP43" s="24" t="str">
        <f t="shared" ca="1" si="82"/>
        <v/>
      </c>
      <c r="EQ43" s="24" t="str">
        <f t="shared" ca="1" si="82"/>
        <v/>
      </c>
      <c r="ER43" s="24" t="str">
        <f t="shared" ca="1" si="82"/>
        <v/>
      </c>
      <c r="ES43" s="24" t="str">
        <f t="shared" ca="1" si="82"/>
        <v/>
      </c>
      <c r="ET43" s="24" t="str">
        <f t="shared" ca="1" si="83"/>
        <v/>
      </c>
      <c r="EU43" s="24" t="str">
        <f t="shared" ca="1" si="83"/>
        <v/>
      </c>
      <c r="EV43" s="24" t="str">
        <f t="shared" ca="1" si="83"/>
        <v/>
      </c>
      <c r="EW43" s="24" t="str">
        <f t="shared" ca="1" si="83"/>
        <v/>
      </c>
      <c r="EX43" s="24" t="str">
        <f t="shared" ca="1" si="83"/>
        <v/>
      </c>
      <c r="EY43" s="24" t="str">
        <f t="shared" ca="1" si="83"/>
        <v/>
      </c>
      <c r="EZ43" s="24" t="str">
        <f t="shared" ca="1" si="83"/>
        <v/>
      </c>
      <c r="FA43" s="24" t="str">
        <f t="shared" ca="1" si="83"/>
        <v/>
      </c>
      <c r="FB43" s="24" t="str">
        <f t="shared" ca="1" si="83"/>
        <v/>
      </c>
      <c r="FC43" s="24" t="str">
        <f t="shared" ca="1" si="83"/>
        <v/>
      </c>
      <c r="FD43" s="24" t="str">
        <f t="shared" ca="1" si="84"/>
        <v/>
      </c>
      <c r="FE43" s="24" t="str">
        <f t="shared" ca="1" si="84"/>
        <v/>
      </c>
      <c r="FF43" s="24" t="str">
        <f t="shared" ca="1" si="84"/>
        <v/>
      </c>
      <c r="FG43" s="24" t="str">
        <f t="shared" ca="1" si="84"/>
        <v/>
      </c>
      <c r="FH43" s="24" t="str">
        <f t="shared" ca="1" si="84"/>
        <v/>
      </c>
      <c r="FI43" s="24" t="str">
        <f t="shared" ca="1" si="84"/>
        <v/>
      </c>
      <c r="FJ43" s="24" t="str">
        <f t="shared" ca="1" si="84"/>
        <v/>
      </c>
      <c r="FK43" s="24" t="str">
        <f t="shared" ca="1" si="84"/>
        <v/>
      </c>
      <c r="FL43" s="24" t="str">
        <f t="shared" ca="1" si="84"/>
        <v/>
      </c>
      <c r="FM43" s="24" t="str">
        <f t="shared" ca="1" si="84"/>
        <v/>
      </c>
      <c r="FN43" s="24" t="str">
        <f t="shared" ca="1" si="85"/>
        <v/>
      </c>
      <c r="FO43" s="24" t="str">
        <f t="shared" ca="1" si="85"/>
        <v/>
      </c>
      <c r="FP43" s="24" t="str">
        <f t="shared" ca="1" si="85"/>
        <v/>
      </c>
      <c r="FQ43" s="24" t="str">
        <f t="shared" ca="1" si="85"/>
        <v/>
      </c>
      <c r="FR43" s="24" t="str">
        <f t="shared" ca="1" si="85"/>
        <v/>
      </c>
      <c r="FS43" s="24" t="str">
        <f t="shared" ca="1" si="85"/>
        <v/>
      </c>
      <c r="FT43" s="24" t="str">
        <f t="shared" ca="1" si="85"/>
        <v/>
      </c>
      <c r="FU43" s="24" t="str">
        <f t="shared" ca="1" si="85"/>
        <v/>
      </c>
      <c r="FV43" s="24" t="str">
        <f t="shared" ca="1" si="85"/>
        <v/>
      </c>
      <c r="FW43" s="24" t="str">
        <f t="shared" ca="1" si="85"/>
        <v/>
      </c>
      <c r="FX43" s="24" t="str">
        <f t="shared" ca="1" si="86"/>
        <v/>
      </c>
      <c r="FY43" s="24" t="str">
        <f t="shared" ca="1" si="86"/>
        <v/>
      </c>
      <c r="FZ43" s="24" t="str">
        <f t="shared" ca="1" si="86"/>
        <v/>
      </c>
      <c r="GA43" s="24" t="str">
        <f t="shared" ca="1" si="86"/>
        <v/>
      </c>
      <c r="GB43" s="24" t="str">
        <f t="shared" ca="1" si="86"/>
        <v/>
      </c>
      <c r="GC43" s="24" t="str">
        <f t="shared" ca="1" si="86"/>
        <v/>
      </c>
      <c r="GD43" s="24" t="str">
        <f t="shared" ca="1" si="86"/>
        <v/>
      </c>
      <c r="GE43" s="24" t="str">
        <f t="shared" ca="1" si="86"/>
        <v/>
      </c>
      <c r="GF43" s="24" t="str">
        <f t="shared" ca="1" si="86"/>
        <v/>
      </c>
      <c r="GG43" s="24" t="str">
        <f t="shared" ca="1" si="86"/>
        <v/>
      </c>
      <c r="GH43" s="24" t="str">
        <f t="shared" ca="1" si="87"/>
        <v/>
      </c>
      <c r="GI43" s="24" t="str">
        <f t="shared" ca="1" si="87"/>
        <v/>
      </c>
      <c r="GJ43" s="24" t="str">
        <f t="shared" ca="1" si="87"/>
        <v/>
      </c>
      <c r="GK43" s="24" t="str">
        <f t="shared" ca="1" si="87"/>
        <v/>
      </c>
      <c r="GL43" s="24" t="str">
        <f t="shared" ca="1" si="87"/>
        <v/>
      </c>
      <c r="GM43" s="24" t="str">
        <f t="shared" ca="1" si="87"/>
        <v/>
      </c>
      <c r="GN43" s="24" t="str">
        <f t="shared" ca="1" si="87"/>
        <v/>
      </c>
      <c r="GO43" s="24" t="str">
        <f t="shared" ca="1" si="87"/>
        <v/>
      </c>
      <c r="GP43" s="24" t="str">
        <f t="shared" ca="1" si="87"/>
        <v/>
      </c>
      <c r="GQ43" s="24" t="str">
        <f t="shared" ca="1" si="87"/>
        <v/>
      </c>
      <c r="GR43" s="24" t="str">
        <f t="shared" ca="1" si="88"/>
        <v/>
      </c>
      <c r="GS43" s="24" t="str">
        <f t="shared" ca="1" si="88"/>
        <v/>
      </c>
      <c r="GT43" s="24" t="str">
        <f t="shared" ca="1" si="88"/>
        <v/>
      </c>
      <c r="GU43" s="24" t="str">
        <f t="shared" ca="1" si="88"/>
        <v/>
      </c>
      <c r="GV43" s="24" t="str">
        <f t="shared" ca="1" si="88"/>
        <v/>
      </c>
      <c r="GW43" s="24" t="str">
        <f t="shared" ca="1" si="88"/>
        <v/>
      </c>
      <c r="GX43" s="24" t="str">
        <f t="shared" ca="1" si="88"/>
        <v/>
      </c>
      <c r="GY43" s="24" t="str">
        <f t="shared" ca="1" si="88"/>
        <v/>
      </c>
      <c r="GZ43" s="24" t="str">
        <f t="shared" ca="1" si="88"/>
        <v/>
      </c>
      <c r="HA43" s="24" t="str">
        <f t="shared" ca="1" si="88"/>
        <v/>
      </c>
      <c r="HB43" s="24" t="str">
        <f t="shared" ca="1" si="89"/>
        <v/>
      </c>
      <c r="HC43" s="24" t="str">
        <f t="shared" ca="1" si="89"/>
        <v/>
      </c>
      <c r="HD43" s="24" t="str">
        <f t="shared" ca="1" si="89"/>
        <v/>
      </c>
      <c r="HE43" s="24" t="str">
        <f t="shared" ca="1" si="89"/>
        <v/>
      </c>
      <c r="HF43" s="24" t="str">
        <f t="shared" ca="1" si="89"/>
        <v/>
      </c>
      <c r="HG43" s="24" t="str">
        <f t="shared" ca="1" si="89"/>
        <v/>
      </c>
      <c r="HH43" s="24" t="str">
        <f t="shared" ca="1" si="89"/>
        <v/>
      </c>
      <c r="HI43" s="24" t="str">
        <f t="shared" ca="1" si="89"/>
        <v/>
      </c>
      <c r="HJ43" s="24" t="str">
        <f t="shared" ca="1" si="89"/>
        <v/>
      </c>
      <c r="HK43" s="24" t="str">
        <f t="shared" ca="1" si="89"/>
        <v/>
      </c>
      <c r="HL43" s="24" t="str">
        <f t="shared" ca="1" si="90"/>
        <v/>
      </c>
      <c r="HM43" s="24" t="str">
        <f t="shared" ca="1" si="90"/>
        <v/>
      </c>
      <c r="HN43" s="24" t="str">
        <f t="shared" ca="1" si="90"/>
        <v/>
      </c>
      <c r="HO43" s="24" t="str">
        <f t="shared" ca="1" si="90"/>
        <v/>
      </c>
      <c r="HP43" s="24" t="str">
        <f t="shared" ca="1" si="90"/>
        <v/>
      </c>
      <c r="HQ43" s="24" t="str">
        <f t="shared" ca="1" si="90"/>
        <v/>
      </c>
      <c r="HR43" s="24" t="str">
        <f t="shared" ca="1" si="90"/>
        <v/>
      </c>
      <c r="HS43" s="24" t="str">
        <f t="shared" ca="1" si="90"/>
        <v/>
      </c>
      <c r="HT43" s="24" t="str">
        <f t="shared" ca="1" si="90"/>
        <v/>
      </c>
      <c r="HU43" s="24" t="str">
        <f t="shared" ca="1" si="90"/>
        <v/>
      </c>
      <c r="HV43" s="24" t="str">
        <f t="shared" ca="1" si="91"/>
        <v/>
      </c>
      <c r="HW43" s="24" t="str">
        <f t="shared" ca="1" si="91"/>
        <v/>
      </c>
      <c r="HX43" s="24" t="str">
        <f t="shared" ca="1" si="91"/>
        <v/>
      </c>
      <c r="HY43" s="24" t="str">
        <f t="shared" ca="1" si="91"/>
        <v/>
      </c>
      <c r="HZ43" s="24" t="str">
        <f t="shared" ca="1" si="91"/>
        <v/>
      </c>
      <c r="IA43" s="24" t="str">
        <f t="shared" ca="1" si="91"/>
        <v/>
      </c>
      <c r="IB43" s="24" t="str">
        <f t="shared" ca="1" si="91"/>
        <v/>
      </c>
      <c r="IC43" s="24" t="str">
        <f t="shared" ca="1" si="91"/>
        <v/>
      </c>
      <c r="ID43" s="24" t="str">
        <f t="shared" ca="1" si="91"/>
        <v/>
      </c>
      <c r="IE43" s="24" t="str">
        <f t="shared" ca="1" si="91"/>
        <v/>
      </c>
      <c r="IF43" s="24" t="str">
        <f t="shared" ca="1" si="92"/>
        <v/>
      </c>
      <c r="IG43" s="24" t="str">
        <f t="shared" ca="1" si="92"/>
        <v/>
      </c>
      <c r="IH43" s="24" t="str">
        <f t="shared" ca="1" si="92"/>
        <v/>
      </c>
      <c r="II43" s="24" t="str">
        <f t="shared" ca="1" si="92"/>
        <v/>
      </c>
      <c r="IJ43" s="24" t="str">
        <f t="shared" ca="1" si="92"/>
        <v/>
      </c>
      <c r="IK43" s="24" t="str">
        <f t="shared" ca="1" si="92"/>
        <v/>
      </c>
      <c r="IL43" s="24" t="str">
        <f t="shared" ca="1" si="92"/>
        <v/>
      </c>
      <c r="IM43" s="24" t="str">
        <f t="shared" ca="1" si="92"/>
        <v/>
      </c>
      <c r="IN43" s="24" t="str">
        <f t="shared" ca="1" si="92"/>
        <v/>
      </c>
      <c r="IO43" s="24" t="str">
        <f t="shared" ca="1" si="92"/>
        <v/>
      </c>
      <c r="IP43" s="24" t="str">
        <f t="shared" ca="1" si="93"/>
        <v/>
      </c>
      <c r="IQ43" s="24" t="str">
        <f t="shared" ca="1" si="93"/>
        <v/>
      </c>
      <c r="IR43" s="24" t="str">
        <f t="shared" ca="1" si="93"/>
        <v/>
      </c>
      <c r="IS43" s="24" t="str">
        <f t="shared" ca="1" si="93"/>
        <v/>
      </c>
      <c r="IT43" s="24" t="str">
        <f t="shared" ca="1" si="93"/>
        <v/>
      </c>
      <c r="IU43" s="24" t="str">
        <f t="shared" ca="1" si="93"/>
        <v/>
      </c>
      <c r="IV43" s="24" t="str">
        <f t="shared" ca="1" si="93"/>
        <v/>
      </c>
      <c r="IW43" s="24" t="str">
        <f t="shared" ca="1" si="93"/>
        <v/>
      </c>
      <c r="IX43" s="24" t="str">
        <f t="shared" ca="1" si="93"/>
        <v/>
      </c>
      <c r="IY43" s="24" t="str">
        <f t="shared" ca="1" si="93"/>
        <v/>
      </c>
      <c r="IZ43" s="24" t="str">
        <f t="shared" ca="1" si="94"/>
        <v/>
      </c>
      <c r="JA43" s="24" t="str">
        <f t="shared" ca="1" si="94"/>
        <v/>
      </c>
      <c r="JB43" s="24" t="str">
        <f t="shared" ca="1" si="94"/>
        <v/>
      </c>
      <c r="JC43" s="24" t="str">
        <f t="shared" ca="1" si="94"/>
        <v/>
      </c>
      <c r="JD43" s="24" t="str">
        <f t="shared" ca="1" si="94"/>
        <v/>
      </c>
      <c r="JE43" s="24" t="str">
        <f t="shared" ca="1" si="94"/>
        <v/>
      </c>
      <c r="JF43" s="24" t="str">
        <f t="shared" ca="1" si="94"/>
        <v/>
      </c>
      <c r="JG43" s="24" t="str">
        <f t="shared" ca="1" si="94"/>
        <v/>
      </c>
      <c r="JH43" s="24" t="str">
        <f t="shared" ca="1" si="94"/>
        <v/>
      </c>
      <c r="JI43" s="24" t="str">
        <f t="shared" ca="1" si="94"/>
        <v/>
      </c>
      <c r="JJ43" s="24" t="str">
        <f t="shared" ca="1" si="95"/>
        <v/>
      </c>
      <c r="JK43" s="24" t="str">
        <f t="shared" ca="1" si="95"/>
        <v/>
      </c>
      <c r="JL43" s="24" t="str">
        <f t="shared" ca="1" si="95"/>
        <v/>
      </c>
      <c r="JM43" s="24" t="str">
        <f t="shared" ca="1" si="95"/>
        <v/>
      </c>
      <c r="JN43" s="24" t="str">
        <f t="shared" ca="1" si="95"/>
        <v/>
      </c>
      <c r="JO43" s="24" t="str">
        <f t="shared" ca="1" si="95"/>
        <v/>
      </c>
      <c r="JP43" s="24" t="str">
        <f t="shared" ca="1" si="95"/>
        <v/>
      </c>
      <c r="JQ43" s="24" t="str">
        <f t="shared" ca="1" si="95"/>
        <v/>
      </c>
      <c r="JR43" s="24" t="str">
        <f t="shared" ca="1" si="95"/>
        <v/>
      </c>
      <c r="JS43" s="24" t="str">
        <f t="shared" ca="1" si="95"/>
        <v/>
      </c>
      <c r="JT43" s="24" t="str">
        <f t="shared" ca="1" si="96"/>
        <v/>
      </c>
      <c r="JU43" s="24" t="str">
        <f t="shared" ca="1" si="96"/>
        <v/>
      </c>
      <c r="JV43" s="24" t="str">
        <f t="shared" ca="1" si="96"/>
        <v/>
      </c>
      <c r="JW43" s="24" t="str">
        <f t="shared" ca="1" si="96"/>
        <v/>
      </c>
      <c r="JX43" s="24" t="str">
        <f t="shared" ca="1" si="96"/>
        <v/>
      </c>
      <c r="JY43" s="24" t="str">
        <f t="shared" ca="1" si="96"/>
        <v/>
      </c>
      <c r="JZ43" s="24" t="str">
        <f t="shared" ca="1" si="96"/>
        <v/>
      </c>
      <c r="KA43" s="24" t="str">
        <f t="shared" ca="1" si="96"/>
        <v/>
      </c>
      <c r="KB43" s="24" t="str">
        <f t="shared" ca="1" si="96"/>
        <v/>
      </c>
      <c r="KC43" s="24" t="str">
        <f t="shared" ca="1" si="96"/>
        <v/>
      </c>
      <c r="KD43" s="24" t="str">
        <f t="shared" ca="1" si="97"/>
        <v/>
      </c>
      <c r="KE43" s="24" t="str">
        <f t="shared" ca="1" si="97"/>
        <v/>
      </c>
      <c r="KF43" s="24" t="str">
        <f t="shared" ca="1" si="97"/>
        <v/>
      </c>
      <c r="KG43" s="24" t="str">
        <f t="shared" ca="1" si="97"/>
        <v/>
      </c>
      <c r="KH43" s="24" t="str">
        <f t="shared" ca="1" si="97"/>
        <v/>
      </c>
      <c r="KI43" s="24" t="str">
        <f t="shared" ca="1" si="97"/>
        <v/>
      </c>
      <c r="KJ43" s="24" t="str">
        <f t="shared" ca="1" si="97"/>
        <v/>
      </c>
      <c r="KK43" s="24" t="str">
        <f t="shared" ca="1" si="97"/>
        <v/>
      </c>
      <c r="KL43" s="24" t="str">
        <f t="shared" ca="1" si="97"/>
        <v/>
      </c>
      <c r="KM43" s="24" t="str">
        <f t="shared" ca="1" si="97"/>
        <v/>
      </c>
      <c r="KN43" s="24" t="str">
        <f t="shared" ca="1" si="98"/>
        <v/>
      </c>
      <c r="KO43" s="24" t="str">
        <f t="shared" ca="1" si="98"/>
        <v/>
      </c>
      <c r="KP43" s="24" t="str">
        <f t="shared" ca="1" si="98"/>
        <v/>
      </c>
      <c r="KQ43" s="24" t="str">
        <f t="shared" ca="1" si="98"/>
        <v/>
      </c>
      <c r="KR43" s="24" t="str">
        <f t="shared" ca="1" si="98"/>
        <v/>
      </c>
      <c r="KS43" s="24" t="str">
        <f t="shared" ca="1" si="98"/>
        <v/>
      </c>
      <c r="KT43" s="24" t="str">
        <f t="shared" ca="1" si="98"/>
        <v/>
      </c>
      <c r="KU43" s="24" t="str">
        <f t="shared" ca="1" si="98"/>
        <v/>
      </c>
      <c r="KV43" s="24" t="str">
        <f t="shared" ca="1" si="98"/>
        <v/>
      </c>
      <c r="KW43" s="24" t="str">
        <f t="shared" ca="1" si="98"/>
        <v/>
      </c>
      <c r="KX43" s="24" t="str">
        <f t="shared" ca="1" si="99"/>
        <v/>
      </c>
      <c r="KY43" s="24" t="str">
        <f t="shared" ca="1" si="99"/>
        <v/>
      </c>
      <c r="KZ43" s="24" t="str">
        <f t="shared" ca="1" si="99"/>
        <v/>
      </c>
      <c r="LA43" s="24" t="str">
        <f t="shared" ca="1" si="99"/>
        <v/>
      </c>
      <c r="LB43" s="24" t="str">
        <f t="shared" ca="1" si="99"/>
        <v/>
      </c>
      <c r="LC43" s="24" t="str">
        <f t="shared" ca="1" si="99"/>
        <v/>
      </c>
      <c r="LD43" s="24" t="str">
        <f t="shared" ca="1" si="99"/>
        <v/>
      </c>
      <c r="LE43" s="24" t="str">
        <f t="shared" ca="1" si="99"/>
        <v/>
      </c>
      <c r="LF43" s="24" t="str">
        <f t="shared" ca="1" si="99"/>
        <v/>
      </c>
      <c r="LG43" s="24" t="str">
        <f t="shared" ca="1" si="99"/>
        <v/>
      </c>
      <c r="LH43" s="24" t="str">
        <f t="shared" ca="1" si="100"/>
        <v/>
      </c>
      <c r="LI43" s="24" t="str">
        <f t="shared" ca="1" si="100"/>
        <v/>
      </c>
      <c r="LJ43" s="24" t="str">
        <f t="shared" ca="1" si="100"/>
        <v/>
      </c>
      <c r="LK43" s="24" t="str">
        <f t="shared" ca="1" si="100"/>
        <v/>
      </c>
      <c r="LL43" s="24" t="str">
        <f t="shared" ca="1" si="100"/>
        <v/>
      </c>
      <c r="LM43" s="24" t="str">
        <f t="shared" ca="1" si="100"/>
        <v/>
      </c>
      <c r="LN43" s="24" t="str">
        <f t="shared" ca="1" si="100"/>
        <v/>
      </c>
      <c r="LO43" s="24" t="str">
        <f t="shared" ca="1" si="100"/>
        <v/>
      </c>
      <c r="LP43" s="24" t="str">
        <f t="shared" ca="1" si="100"/>
        <v/>
      </c>
      <c r="LQ43" s="24" t="str">
        <f t="shared" ca="1" si="100"/>
        <v/>
      </c>
      <c r="LR43" s="24" t="str">
        <f t="shared" ca="1" si="101"/>
        <v/>
      </c>
      <c r="LS43" s="24" t="str">
        <f t="shared" ca="1" si="101"/>
        <v/>
      </c>
      <c r="LT43" s="24" t="str">
        <f t="shared" ca="1" si="101"/>
        <v/>
      </c>
      <c r="LU43" s="24" t="str">
        <f t="shared" ca="1" si="101"/>
        <v/>
      </c>
      <c r="LV43" s="24" t="str">
        <f t="shared" ca="1" si="101"/>
        <v/>
      </c>
      <c r="LW43" s="24" t="str">
        <f t="shared" ca="1" si="101"/>
        <v/>
      </c>
      <c r="LX43" s="24" t="str">
        <f t="shared" ca="1" si="101"/>
        <v/>
      </c>
      <c r="LY43" s="24" t="str">
        <f t="shared" ca="1" si="101"/>
        <v/>
      </c>
      <c r="LZ43" s="24" t="str">
        <f t="shared" ca="1" si="101"/>
        <v/>
      </c>
      <c r="MA43" s="24" t="str">
        <f t="shared" ca="1" si="101"/>
        <v/>
      </c>
      <c r="MB43" s="24" t="str">
        <f t="shared" ca="1" si="102"/>
        <v/>
      </c>
      <c r="MC43" s="24" t="str">
        <f t="shared" ca="1" si="102"/>
        <v/>
      </c>
      <c r="MD43" s="24" t="str">
        <f t="shared" ca="1" si="102"/>
        <v/>
      </c>
      <c r="ME43" s="24" t="str">
        <f t="shared" ca="1" si="102"/>
        <v/>
      </c>
      <c r="MF43" s="24" t="str">
        <f t="shared" ca="1" si="102"/>
        <v/>
      </c>
      <c r="MG43" s="24" t="str">
        <f t="shared" ca="1" si="102"/>
        <v/>
      </c>
      <c r="MH43" s="24" t="str">
        <f t="shared" ca="1" si="102"/>
        <v/>
      </c>
      <c r="MI43" s="24" t="str">
        <f t="shared" ca="1" si="102"/>
        <v/>
      </c>
      <c r="MJ43" s="24" t="str">
        <f t="shared" ca="1" si="102"/>
        <v/>
      </c>
      <c r="MK43" s="24" t="str">
        <f t="shared" ca="1" si="102"/>
        <v/>
      </c>
      <c r="ML43" s="24" t="str">
        <f t="shared" ca="1" si="103"/>
        <v/>
      </c>
      <c r="MM43" s="24" t="str">
        <f t="shared" ca="1" si="103"/>
        <v/>
      </c>
      <c r="MN43" s="24" t="str">
        <f t="shared" ca="1" si="103"/>
        <v/>
      </c>
      <c r="MO43" s="24" t="str">
        <f t="shared" ca="1" si="103"/>
        <v/>
      </c>
      <c r="MP43" s="24" t="str">
        <f t="shared" ca="1" si="103"/>
        <v/>
      </c>
      <c r="MQ43" s="24" t="str">
        <f t="shared" ca="1" si="103"/>
        <v/>
      </c>
      <c r="MR43" s="24" t="str">
        <f t="shared" ca="1" si="103"/>
        <v/>
      </c>
      <c r="MS43" s="24" t="str">
        <f t="shared" ca="1" si="103"/>
        <v/>
      </c>
      <c r="MT43" s="24" t="str">
        <f t="shared" ca="1" si="103"/>
        <v/>
      </c>
      <c r="MU43" s="24" t="str">
        <f t="shared" ca="1" si="103"/>
        <v/>
      </c>
      <c r="MV43" s="24" t="str">
        <f t="shared" ca="1" si="104"/>
        <v/>
      </c>
      <c r="MW43" s="24" t="str">
        <f t="shared" ca="1" si="104"/>
        <v/>
      </c>
      <c r="MX43" s="24" t="str">
        <f t="shared" ca="1" si="104"/>
        <v/>
      </c>
      <c r="MY43" s="24" t="str">
        <f t="shared" ca="1" si="104"/>
        <v/>
      </c>
      <c r="MZ43" s="24" t="str">
        <f t="shared" ca="1" si="104"/>
        <v/>
      </c>
      <c r="NA43" s="24" t="str">
        <f t="shared" ca="1" si="104"/>
        <v/>
      </c>
      <c r="NB43" s="24" t="str">
        <f t="shared" ca="1" si="104"/>
        <v/>
      </c>
      <c r="NC43" s="24" t="str">
        <f t="shared" ca="1" si="104"/>
        <v/>
      </c>
      <c r="ND43" s="24" t="str">
        <f t="shared" ca="1" si="104"/>
        <v/>
      </c>
      <c r="NE43" s="24" t="str">
        <f t="shared" ca="1" si="104"/>
        <v/>
      </c>
      <c r="NF43" s="24" t="str">
        <f t="shared" ca="1" si="105"/>
        <v/>
      </c>
      <c r="NG43" s="24" t="str">
        <f t="shared" ca="1" si="105"/>
        <v/>
      </c>
      <c r="NH43" s="24" t="str">
        <f t="shared" ca="1" si="105"/>
        <v/>
      </c>
      <c r="NI43" s="24" t="str">
        <f t="shared" ca="1" si="105"/>
        <v/>
      </c>
      <c r="NJ43" s="24" t="str">
        <f t="shared" ca="1" si="105"/>
        <v/>
      </c>
      <c r="NK43" s="24" t="str">
        <f t="shared" ca="1" si="105"/>
        <v/>
      </c>
      <c r="NL43" s="24" t="str">
        <f t="shared" ca="1" si="105"/>
        <v/>
      </c>
      <c r="NM43" s="24" t="str">
        <f t="shared" ca="1" si="105"/>
        <v/>
      </c>
      <c r="NN43" s="24" t="str">
        <f t="shared" ca="1" si="105"/>
        <v/>
      </c>
      <c r="NO43" s="24" t="str">
        <f t="shared" ca="1" si="105"/>
        <v/>
      </c>
      <c r="NP43" s="24" t="str">
        <f t="shared" ca="1" si="106"/>
        <v/>
      </c>
      <c r="NQ43" s="24" t="str">
        <f t="shared" ca="1" si="106"/>
        <v/>
      </c>
      <c r="NR43" s="24" t="str">
        <f t="shared" ca="1" si="106"/>
        <v/>
      </c>
      <c r="NS43" s="24" t="str">
        <f t="shared" ca="1" si="106"/>
        <v/>
      </c>
      <c r="NT43" s="24" t="str">
        <f t="shared" ca="1" si="106"/>
        <v/>
      </c>
      <c r="NU43" s="24" t="str">
        <f t="shared" ca="1" si="106"/>
        <v/>
      </c>
      <c r="NV43" s="24" t="str">
        <f t="shared" ca="1" si="106"/>
        <v/>
      </c>
      <c r="NW43" s="24" t="str">
        <f t="shared" ca="1" si="106"/>
        <v/>
      </c>
      <c r="NX43" s="24" t="str">
        <f t="shared" ca="1" si="106"/>
        <v/>
      </c>
      <c r="NY43" s="24" t="str">
        <f t="shared" ca="1" si="106"/>
        <v/>
      </c>
      <c r="NZ43" s="24" t="str">
        <f t="shared" ca="1" si="107"/>
        <v/>
      </c>
      <c r="OA43" s="24" t="str">
        <f t="shared" ca="1" si="107"/>
        <v/>
      </c>
      <c r="OB43" s="24" t="str">
        <f t="shared" ca="1" si="107"/>
        <v/>
      </c>
      <c r="OC43" s="24" t="str">
        <f t="shared" ca="1" si="107"/>
        <v/>
      </c>
      <c r="OD43" s="24" t="str">
        <f t="shared" ca="1" si="107"/>
        <v/>
      </c>
      <c r="OE43" s="24" t="str">
        <f t="shared" ca="1" si="107"/>
        <v/>
      </c>
      <c r="OF43" s="24" t="str">
        <f t="shared" ca="1" si="107"/>
        <v/>
      </c>
      <c r="OG43" s="24" t="str">
        <f t="shared" ca="1" si="107"/>
        <v/>
      </c>
      <c r="OH43" s="24" t="str">
        <f t="shared" ca="1" si="107"/>
        <v/>
      </c>
      <c r="OI43" s="24" t="str">
        <f t="shared" ca="1" si="107"/>
        <v/>
      </c>
      <c r="OJ43" s="24" t="str">
        <f t="shared" ca="1" si="108"/>
        <v/>
      </c>
      <c r="OK43" s="24" t="str">
        <f t="shared" ca="1" si="108"/>
        <v/>
      </c>
      <c r="OL43" s="24" t="str">
        <f t="shared" ca="1" si="108"/>
        <v/>
      </c>
      <c r="OM43" s="24" t="str">
        <f t="shared" ca="1" si="108"/>
        <v/>
      </c>
      <c r="ON43" s="24" t="str">
        <f t="shared" ca="1" si="108"/>
        <v/>
      </c>
      <c r="OO43" s="24" t="str">
        <f t="shared" ca="1" si="108"/>
        <v/>
      </c>
      <c r="OP43" s="24" t="str">
        <f t="shared" ca="1" si="108"/>
        <v/>
      </c>
      <c r="OQ43" s="24" t="str">
        <f t="shared" ca="1" si="108"/>
        <v/>
      </c>
      <c r="OR43" s="24" t="str">
        <f t="shared" ca="1" si="108"/>
        <v/>
      </c>
      <c r="OS43" s="24" t="str">
        <f t="shared" ca="1" si="108"/>
        <v/>
      </c>
      <c r="OT43" s="24" t="str">
        <f t="shared" ca="1" si="109"/>
        <v/>
      </c>
      <c r="OU43" s="24" t="str">
        <f t="shared" ca="1" si="109"/>
        <v/>
      </c>
      <c r="OV43" s="24" t="str">
        <f t="shared" ca="1" si="109"/>
        <v/>
      </c>
      <c r="OW43" s="24" t="str">
        <f t="shared" ca="1" si="109"/>
        <v/>
      </c>
      <c r="OX43" s="24" t="str">
        <f t="shared" ca="1" si="109"/>
        <v/>
      </c>
      <c r="OY43" s="24" t="str">
        <f t="shared" ca="1" si="109"/>
        <v/>
      </c>
      <c r="OZ43" s="24" t="str">
        <f t="shared" ca="1" si="109"/>
        <v/>
      </c>
      <c r="PA43" s="24" t="str">
        <f t="shared" ca="1" si="109"/>
        <v/>
      </c>
      <c r="PB43" s="24" t="str">
        <f t="shared" ca="1" si="109"/>
        <v/>
      </c>
      <c r="PC43" s="24" t="str">
        <f t="shared" ca="1" si="109"/>
        <v/>
      </c>
      <c r="PD43" s="24" t="str">
        <f t="shared" ca="1" si="110"/>
        <v/>
      </c>
      <c r="PE43" s="24" t="str">
        <f t="shared" ca="1" si="110"/>
        <v/>
      </c>
      <c r="PF43" s="24" t="str">
        <f t="shared" ca="1" si="110"/>
        <v/>
      </c>
      <c r="PG43" s="24" t="str">
        <f t="shared" ca="1" si="110"/>
        <v/>
      </c>
      <c r="PH43" s="24" t="str">
        <f t="shared" ca="1" si="110"/>
        <v/>
      </c>
      <c r="PI43" s="24" t="str">
        <f t="shared" ca="1" si="110"/>
        <v/>
      </c>
      <c r="PJ43" s="24" t="str">
        <f t="shared" ca="1" si="110"/>
        <v/>
      </c>
      <c r="PK43" s="24" t="str">
        <f t="shared" ca="1" si="110"/>
        <v/>
      </c>
      <c r="PL43" s="24" t="str">
        <f t="shared" ca="1" si="110"/>
        <v/>
      </c>
      <c r="PM43" s="24" t="str">
        <f t="shared" ca="1" si="110"/>
        <v/>
      </c>
      <c r="PN43" s="24" t="str">
        <f t="shared" ca="1" si="111"/>
        <v/>
      </c>
      <c r="PO43" s="24" t="str">
        <f t="shared" ca="1" si="111"/>
        <v/>
      </c>
      <c r="PP43" s="24" t="str">
        <f t="shared" ca="1" si="111"/>
        <v/>
      </c>
      <c r="PQ43" s="24" t="str">
        <f t="shared" ca="1" si="111"/>
        <v/>
      </c>
      <c r="PR43" s="24" t="str">
        <f t="shared" ca="1" si="111"/>
        <v/>
      </c>
      <c r="PS43" s="24" t="str">
        <f t="shared" ca="1" si="111"/>
        <v/>
      </c>
      <c r="PT43" s="24" t="str">
        <f t="shared" ca="1" si="111"/>
        <v/>
      </c>
      <c r="PU43" s="24" t="str">
        <f t="shared" ca="1" si="111"/>
        <v/>
      </c>
      <c r="PV43" s="24" t="str">
        <f t="shared" ca="1" si="111"/>
        <v/>
      </c>
      <c r="PW43" s="24" t="str">
        <f t="shared" ca="1" si="111"/>
        <v/>
      </c>
      <c r="PX43" s="24" t="str">
        <f t="shared" ca="1" si="112"/>
        <v/>
      </c>
      <c r="PY43" s="24" t="str">
        <f t="shared" ca="1" si="112"/>
        <v/>
      </c>
      <c r="PZ43" s="24" t="str">
        <f t="shared" ca="1" si="112"/>
        <v/>
      </c>
      <c r="QA43" s="24" t="str">
        <f t="shared" ca="1" si="112"/>
        <v/>
      </c>
      <c r="QB43" s="24" t="str">
        <f t="shared" ca="1" si="112"/>
        <v/>
      </c>
      <c r="QC43" s="24" t="str">
        <f t="shared" ca="1" si="112"/>
        <v/>
      </c>
      <c r="QD43" s="24" t="str">
        <f t="shared" ca="1" si="112"/>
        <v/>
      </c>
      <c r="QE43" s="24" t="str">
        <f t="shared" ca="1" si="112"/>
        <v/>
      </c>
      <c r="QF43" s="24" t="str">
        <f t="shared" ca="1" si="112"/>
        <v/>
      </c>
      <c r="QG43" s="24" t="str">
        <f t="shared" ca="1" si="112"/>
        <v/>
      </c>
      <c r="QH43" s="24" t="str">
        <f t="shared" ca="1" si="113"/>
        <v/>
      </c>
      <c r="QI43" s="24" t="str">
        <f t="shared" ca="1" si="113"/>
        <v/>
      </c>
      <c r="QJ43" s="24" t="str">
        <f t="shared" ca="1" si="113"/>
        <v/>
      </c>
      <c r="QK43" s="24" t="str">
        <f t="shared" ca="1" si="113"/>
        <v/>
      </c>
      <c r="QL43" s="24" t="str">
        <f t="shared" ca="1" si="113"/>
        <v/>
      </c>
      <c r="QM43" s="24" t="str">
        <f t="shared" ca="1" si="113"/>
        <v/>
      </c>
      <c r="QN43" s="24" t="str">
        <f t="shared" ca="1" si="113"/>
        <v/>
      </c>
      <c r="QO43" s="24" t="str">
        <f t="shared" ca="1" si="113"/>
        <v/>
      </c>
      <c r="QP43" s="24" t="str">
        <f t="shared" ca="1" si="113"/>
        <v/>
      </c>
      <c r="QQ43" s="24" t="str">
        <f t="shared" ca="1" si="113"/>
        <v/>
      </c>
      <c r="QR43" s="24" t="str">
        <f t="shared" ca="1" si="114"/>
        <v/>
      </c>
      <c r="QS43" s="24" t="str">
        <f t="shared" ca="1" si="114"/>
        <v/>
      </c>
      <c r="QT43" s="24" t="str">
        <f t="shared" ca="1" si="114"/>
        <v/>
      </c>
      <c r="QU43" s="24" t="str">
        <f t="shared" ca="1" si="114"/>
        <v/>
      </c>
      <c r="QV43" s="24" t="str">
        <f t="shared" ca="1" si="114"/>
        <v/>
      </c>
      <c r="QW43" s="24" t="str">
        <f t="shared" ca="1" si="114"/>
        <v/>
      </c>
      <c r="QX43" s="24" t="str">
        <f t="shared" ca="1" si="114"/>
        <v/>
      </c>
      <c r="QY43" s="24" t="str">
        <f t="shared" ca="1" si="114"/>
        <v/>
      </c>
      <c r="QZ43" s="24" t="str">
        <f t="shared" ca="1" si="114"/>
        <v/>
      </c>
      <c r="RA43" s="24" t="str">
        <f t="shared" ca="1" si="114"/>
        <v/>
      </c>
      <c r="RB43" s="24" t="str">
        <f t="shared" ca="1" si="115"/>
        <v/>
      </c>
      <c r="RC43" s="24" t="str">
        <f t="shared" ca="1" si="115"/>
        <v/>
      </c>
      <c r="RD43" s="24" t="str">
        <f t="shared" ca="1" si="115"/>
        <v/>
      </c>
      <c r="RE43" s="24" t="str">
        <f t="shared" ca="1" si="115"/>
        <v/>
      </c>
      <c r="RF43" s="24" t="str">
        <f t="shared" ca="1" si="115"/>
        <v/>
      </c>
      <c r="RG43" s="24" t="str">
        <f t="shared" ca="1" si="115"/>
        <v/>
      </c>
      <c r="RH43" s="24" t="str">
        <f t="shared" ca="1" si="115"/>
        <v/>
      </c>
      <c r="RI43" s="24" t="str">
        <f t="shared" ca="1" si="115"/>
        <v/>
      </c>
      <c r="RJ43" s="24" t="str">
        <f t="shared" ca="1" si="115"/>
        <v/>
      </c>
      <c r="RK43" s="24" t="str">
        <f t="shared" ca="1" si="115"/>
        <v/>
      </c>
      <c r="RL43" s="24" t="str">
        <f t="shared" ca="1" si="116"/>
        <v/>
      </c>
      <c r="RM43" s="24" t="str">
        <f t="shared" ca="1" si="116"/>
        <v/>
      </c>
      <c r="RN43" s="24" t="str">
        <f t="shared" ca="1" si="116"/>
        <v/>
      </c>
      <c r="RO43" s="24" t="str">
        <f t="shared" ca="1" si="116"/>
        <v/>
      </c>
      <c r="RP43" s="24" t="str">
        <f t="shared" ca="1" si="116"/>
        <v/>
      </c>
      <c r="RQ43" s="24" t="str">
        <f t="shared" ca="1" si="116"/>
        <v/>
      </c>
      <c r="RR43" s="24" t="str">
        <f t="shared" ca="1" si="116"/>
        <v/>
      </c>
      <c r="RS43" s="24" t="str">
        <f t="shared" ca="1" si="116"/>
        <v/>
      </c>
      <c r="RT43" s="24" t="str">
        <f t="shared" ca="1" si="116"/>
        <v/>
      </c>
      <c r="RU43" s="24" t="str">
        <f t="shared" ca="1" si="116"/>
        <v/>
      </c>
      <c r="RV43" s="24" t="str">
        <f t="shared" ca="1" si="117"/>
        <v/>
      </c>
      <c r="RW43" s="24" t="str">
        <f t="shared" ca="1" si="117"/>
        <v/>
      </c>
      <c r="RX43" s="24" t="str">
        <f t="shared" ca="1" si="117"/>
        <v/>
      </c>
      <c r="RY43" s="24" t="str">
        <f t="shared" ca="1" si="117"/>
        <v/>
      </c>
      <c r="RZ43" s="24" t="str">
        <f t="shared" ca="1" si="117"/>
        <v/>
      </c>
      <c r="SA43" s="24" t="str">
        <f t="shared" ca="1" si="117"/>
        <v/>
      </c>
      <c r="SB43" s="24" t="str">
        <f t="shared" ca="1" si="117"/>
        <v/>
      </c>
      <c r="SC43" s="24" t="str">
        <f t="shared" ca="1" si="117"/>
        <v/>
      </c>
      <c r="SD43" s="24" t="str">
        <f t="shared" ca="1" si="117"/>
        <v/>
      </c>
      <c r="SE43" s="24" t="str">
        <f t="shared" ca="1" si="117"/>
        <v/>
      </c>
      <c r="SF43" s="24" t="str">
        <f t="shared" ca="1" si="118"/>
        <v/>
      </c>
      <c r="SG43" s="24" t="str">
        <f t="shared" ca="1" si="118"/>
        <v/>
      </c>
      <c r="SH43" s="24" t="str">
        <f t="shared" ca="1" si="118"/>
        <v/>
      </c>
      <c r="SI43" s="24" t="str">
        <f t="shared" ca="1" si="118"/>
        <v/>
      </c>
      <c r="SJ43" s="24" t="str">
        <f t="shared" ca="1" si="118"/>
        <v/>
      </c>
      <c r="SK43" s="24" t="str">
        <f t="shared" ca="1" si="118"/>
        <v/>
      </c>
      <c r="SL43" s="24" t="str">
        <f t="shared" ca="1" si="118"/>
        <v/>
      </c>
      <c r="SM43" s="24" t="str">
        <f t="shared" ca="1" si="118"/>
        <v/>
      </c>
      <c r="SN43" s="24" t="str">
        <f t="shared" ca="1" si="118"/>
        <v/>
      </c>
      <c r="SO43" s="24" t="str">
        <f t="shared" ca="1" si="118"/>
        <v/>
      </c>
      <c r="SP43" s="24" t="str">
        <f t="shared" ca="1" si="119"/>
        <v/>
      </c>
      <c r="SQ43" s="24" t="str">
        <f t="shared" ca="1" si="119"/>
        <v/>
      </c>
      <c r="SR43" s="24" t="str">
        <f t="shared" ca="1" si="119"/>
        <v/>
      </c>
      <c r="SS43" s="24" t="str">
        <f t="shared" ca="1" si="119"/>
        <v/>
      </c>
      <c r="ST43" s="24" t="str">
        <f t="shared" ca="1" si="119"/>
        <v/>
      </c>
      <c r="SU43" s="24" t="str">
        <f t="shared" ca="1" si="119"/>
        <v/>
      </c>
      <c r="SV43" s="24" t="str">
        <f t="shared" ca="1" si="119"/>
        <v/>
      </c>
      <c r="SW43" s="24" t="str">
        <f t="shared" ca="1" si="119"/>
        <v/>
      </c>
      <c r="SX43" s="24" t="str">
        <f t="shared" ca="1" si="119"/>
        <v/>
      </c>
      <c r="SY43" s="24" t="str">
        <f t="shared" ca="1" si="119"/>
        <v/>
      </c>
      <c r="SZ43" s="24" t="str">
        <f t="shared" ca="1" si="120"/>
        <v/>
      </c>
      <c r="TA43" s="24" t="str">
        <f t="shared" ca="1" si="120"/>
        <v/>
      </c>
      <c r="TB43" s="24" t="str">
        <f t="shared" ca="1" si="120"/>
        <v/>
      </c>
      <c r="TC43" s="24" t="str">
        <f t="shared" ca="1" si="120"/>
        <v/>
      </c>
      <c r="TD43" s="24" t="str">
        <f t="shared" ca="1" si="120"/>
        <v/>
      </c>
      <c r="TE43" s="24" t="str">
        <f t="shared" ca="1" si="120"/>
        <v/>
      </c>
      <c r="TF43" s="24" t="str">
        <f t="shared" ca="1" si="120"/>
        <v/>
      </c>
      <c r="TG43" s="24" t="str">
        <f t="shared" ca="1" si="120"/>
        <v/>
      </c>
      <c r="TH43" s="24" t="str">
        <f t="shared" ca="1" si="120"/>
        <v/>
      </c>
      <c r="TI43" s="24" t="str">
        <f t="shared" ca="1" si="120"/>
        <v/>
      </c>
      <c r="TJ43" s="24" t="str">
        <f t="shared" ca="1" si="121"/>
        <v/>
      </c>
      <c r="TK43" s="24" t="str">
        <f t="shared" ca="1" si="121"/>
        <v/>
      </c>
      <c r="TL43" s="24" t="str">
        <f t="shared" ca="1" si="121"/>
        <v/>
      </c>
      <c r="TM43" s="24" t="str">
        <f t="shared" ca="1" si="121"/>
        <v/>
      </c>
      <c r="TN43" s="24" t="str">
        <f t="shared" ca="1" si="121"/>
        <v/>
      </c>
      <c r="TO43" s="24" t="str">
        <f t="shared" ca="1" si="121"/>
        <v/>
      </c>
      <c r="TP43" s="24" t="str">
        <f t="shared" ca="1" si="121"/>
        <v/>
      </c>
      <c r="TQ43" s="24" t="str">
        <f t="shared" ca="1" si="121"/>
        <v/>
      </c>
      <c r="TR43" s="24" t="str">
        <f t="shared" ca="1" si="121"/>
        <v/>
      </c>
      <c r="TS43" s="24" t="str">
        <f t="shared" ca="1" si="121"/>
        <v/>
      </c>
      <c r="TT43" s="24" t="str">
        <f t="shared" ca="1" si="122"/>
        <v/>
      </c>
      <c r="TU43" s="24" t="str">
        <f t="shared" ca="1" si="122"/>
        <v/>
      </c>
      <c r="TV43" s="24" t="str">
        <f t="shared" ca="1" si="122"/>
        <v/>
      </c>
      <c r="TW43" s="24" t="str">
        <f t="shared" ca="1" si="122"/>
        <v/>
      </c>
      <c r="TX43" s="24" t="str">
        <f t="shared" ca="1" si="122"/>
        <v/>
      </c>
      <c r="TY43" s="24" t="str">
        <f t="shared" ca="1" si="122"/>
        <v/>
      </c>
      <c r="TZ43" s="24" t="str">
        <f t="shared" ca="1" si="122"/>
        <v/>
      </c>
      <c r="UA43" s="24" t="str">
        <f t="shared" ca="1" si="122"/>
        <v/>
      </c>
      <c r="UB43" s="24" t="str">
        <f t="shared" ca="1" si="122"/>
        <v/>
      </c>
      <c r="UC43" s="24" t="str">
        <f t="shared" ca="1" si="122"/>
        <v/>
      </c>
      <c r="UD43" s="24" t="str">
        <f t="shared" ca="1" si="123"/>
        <v/>
      </c>
      <c r="UE43" s="24" t="str">
        <f t="shared" ca="1" si="123"/>
        <v/>
      </c>
      <c r="UF43" s="24" t="str">
        <f t="shared" ca="1" si="123"/>
        <v/>
      </c>
      <c r="UG43" s="24" t="str">
        <f t="shared" ca="1" si="123"/>
        <v/>
      </c>
      <c r="UH43" s="24" t="str">
        <f t="shared" ca="1" si="123"/>
        <v/>
      </c>
      <c r="UI43" s="24" t="str">
        <f t="shared" ca="1" si="123"/>
        <v/>
      </c>
      <c r="UJ43" s="24" t="str">
        <f t="shared" ca="1" si="123"/>
        <v/>
      </c>
      <c r="UK43" s="24" t="str">
        <f t="shared" ca="1" si="123"/>
        <v/>
      </c>
      <c r="UL43" s="24" t="str">
        <f t="shared" ca="1" si="123"/>
        <v/>
      </c>
      <c r="UM43" s="24" t="str">
        <f t="shared" ca="1" si="123"/>
        <v/>
      </c>
      <c r="UN43" s="24" t="str">
        <f t="shared" ca="1" si="124"/>
        <v/>
      </c>
      <c r="UO43" s="24" t="str">
        <f t="shared" ca="1" si="124"/>
        <v/>
      </c>
      <c r="UP43" s="24" t="str">
        <f t="shared" ca="1" si="124"/>
        <v/>
      </c>
      <c r="UQ43" s="24" t="str">
        <f t="shared" ca="1" si="124"/>
        <v/>
      </c>
      <c r="UR43" s="24" t="str">
        <f t="shared" ca="1" si="124"/>
        <v/>
      </c>
      <c r="US43" s="24" t="str">
        <f t="shared" ca="1" si="124"/>
        <v/>
      </c>
      <c r="UT43" s="24" t="str">
        <f t="shared" ca="1" si="124"/>
        <v/>
      </c>
      <c r="UU43" s="24" t="str">
        <f t="shared" ca="1" si="124"/>
        <v/>
      </c>
      <c r="UV43" s="24" t="str">
        <f t="shared" ca="1" si="124"/>
        <v/>
      </c>
      <c r="UW43" s="24" t="str">
        <f t="shared" ca="1" si="124"/>
        <v/>
      </c>
      <c r="UX43" s="24" t="str">
        <f t="shared" ca="1" si="125"/>
        <v/>
      </c>
      <c r="UY43" s="24" t="str">
        <f t="shared" ca="1" si="125"/>
        <v/>
      </c>
      <c r="UZ43" s="24" t="str">
        <f t="shared" ca="1" si="125"/>
        <v/>
      </c>
      <c r="VA43" s="24" t="str">
        <f t="shared" ca="1" si="125"/>
        <v/>
      </c>
      <c r="VB43" s="24" t="str">
        <f t="shared" ca="1" si="125"/>
        <v/>
      </c>
      <c r="VC43" s="24" t="str">
        <f t="shared" ca="1" si="125"/>
        <v/>
      </c>
      <c r="VD43" s="24" t="str">
        <f t="shared" ca="1" si="125"/>
        <v/>
      </c>
      <c r="VE43" s="24" t="str">
        <f t="shared" ca="1" si="125"/>
        <v/>
      </c>
      <c r="VF43" s="24" t="str">
        <f t="shared" ca="1" si="125"/>
        <v/>
      </c>
      <c r="VG43" s="24" t="str">
        <f t="shared" ca="1" si="125"/>
        <v/>
      </c>
      <c r="VH43" s="24" t="str">
        <f t="shared" ca="1" si="126"/>
        <v/>
      </c>
      <c r="VI43" s="24" t="str">
        <f t="shared" ca="1" si="126"/>
        <v/>
      </c>
      <c r="VJ43" s="24" t="str">
        <f t="shared" ca="1" si="126"/>
        <v/>
      </c>
      <c r="VK43" s="24" t="str">
        <f t="shared" ca="1" si="126"/>
        <v/>
      </c>
      <c r="VL43" s="24" t="str">
        <f t="shared" ca="1" si="126"/>
        <v/>
      </c>
      <c r="VM43" s="24" t="str">
        <f t="shared" ca="1" si="126"/>
        <v/>
      </c>
      <c r="VN43" s="24" t="str">
        <f t="shared" ca="1" si="126"/>
        <v/>
      </c>
      <c r="VO43" s="24" t="str">
        <f t="shared" ca="1" si="126"/>
        <v/>
      </c>
      <c r="VP43" s="24" t="str">
        <f t="shared" ca="1" si="126"/>
        <v/>
      </c>
      <c r="VQ43" s="24" t="str">
        <f t="shared" ca="1" si="126"/>
        <v/>
      </c>
      <c r="VR43" s="24" t="str">
        <f t="shared" ca="1" si="126"/>
        <v/>
      </c>
      <c r="VS43" s="24" t="str">
        <f t="shared" ca="1" si="126"/>
        <v/>
      </c>
    </row>
    <row r="44" spans="1:591" s="17" customFormat="1" ht="21.6" customHeight="1" x14ac:dyDescent="0.3">
      <c r="A44" s="81"/>
      <c r="B44" s="56" t="str">
        <f>'CoS Tracker'!$AI$7</f>
        <v>3. QS Cost Certification</v>
      </c>
      <c r="C44" s="19" t="s">
        <v>72</v>
      </c>
      <c r="D44" s="19"/>
      <c r="E44" s="27">
        <v>1.1000000000000001</v>
      </c>
      <c r="F44" s="26">
        <f>G43</f>
        <v>46033</v>
      </c>
      <c r="G44" s="26">
        <f>'CoS Tracker'!AI20</f>
        <v>46123</v>
      </c>
      <c r="H44" s="25">
        <f>Milestones43524[[#This Row],[End]]-Milestones43524[[#This Row],[Start]]</f>
        <v>90</v>
      </c>
      <c r="I44" s="19"/>
      <c r="J44" s="24" t="str">
        <f t="shared" ca="1" si="69"/>
        <v/>
      </c>
      <c r="K44" s="24" t="str">
        <f t="shared" ca="1" si="69"/>
        <v/>
      </c>
      <c r="L44" s="24" t="str">
        <f t="shared" ca="1" si="69"/>
        <v/>
      </c>
      <c r="M44" s="24" t="str">
        <f t="shared" ca="1" si="69"/>
        <v/>
      </c>
      <c r="N44" s="24" t="str">
        <f t="shared" ca="1" si="69"/>
        <v/>
      </c>
      <c r="O44" s="24" t="str">
        <f t="shared" ca="1" si="69"/>
        <v/>
      </c>
      <c r="P44" s="24" t="str">
        <f t="shared" ca="1" si="69"/>
        <v/>
      </c>
      <c r="Q44" s="24" t="str">
        <f t="shared" ca="1" si="69"/>
        <v/>
      </c>
      <c r="R44" s="24" t="str">
        <f t="shared" ca="1" si="69"/>
        <v/>
      </c>
      <c r="S44" s="24" t="str">
        <f t="shared" ca="1" si="69"/>
        <v/>
      </c>
      <c r="T44" s="24" t="str">
        <f t="shared" ca="1" si="70"/>
        <v/>
      </c>
      <c r="U44" s="24" t="str">
        <f t="shared" ca="1" si="70"/>
        <v/>
      </c>
      <c r="V44" s="24" t="str">
        <f t="shared" ca="1" si="70"/>
        <v/>
      </c>
      <c r="W44" s="24" t="str">
        <f t="shared" ca="1" si="70"/>
        <v/>
      </c>
      <c r="X44" s="24" t="str">
        <f t="shared" ca="1" si="70"/>
        <v/>
      </c>
      <c r="Y44" s="24" t="str">
        <f t="shared" ca="1" si="70"/>
        <v/>
      </c>
      <c r="Z44" s="24" t="str">
        <f t="shared" ca="1" si="70"/>
        <v/>
      </c>
      <c r="AA44" s="24" t="str">
        <f t="shared" ca="1" si="70"/>
        <v/>
      </c>
      <c r="AB44" s="24" t="str">
        <f t="shared" ca="1" si="70"/>
        <v/>
      </c>
      <c r="AC44" s="24" t="str">
        <f t="shared" ca="1" si="70"/>
        <v/>
      </c>
      <c r="AD44" s="24" t="str">
        <f t="shared" ca="1" si="71"/>
        <v/>
      </c>
      <c r="AE44" s="24" t="str">
        <f t="shared" ca="1" si="71"/>
        <v/>
      </c>
      <c r="AF44" s="24" t="str">
        <f t="shared" ca="1" si="71"/>
        <v/>
      </c>
      <c r="AG44" s="24" t="str">
        <f t="shared" ca="1" si="71"/>
        <v/>
      </c>
      <c r="AH44" s="24" t="str">
        <f t="shared" ca="1" si="71"/>
        <v/>
      </c>
      <c r="AI44" s="24" t="str">
        <f t="shared" ca="1" si="71"/>
        <v/>
      </c>
      <c r="AJ44" s="24" t="str">
        <f t="shared" ca="1" si="71"/>
        <v/>
      </c>
      <c r="AK44" s="24" t="str">
        <f t="shared" ca="1" si="71"/>
        <v/>
      </c>
      <c r="AL44" s="24" t="str">
        <f t="shared" ca="1" si="71"/>
        <v/>
      </c>
      <c r="AM44" s="24" t="str">
        <f t="shared" ca="1" si="71"/>
        <v/>
      </c>
      <c r="AN44" s="24" t="str">
        <f t="shared" ca="1" si="72"/>
        <v/>
      </c>
      <c r="AO44" s="24" t="str">
        <f t="shared" ca="1" si="72"/>
        <v/>
      </c>
      <c r="AP44" s="24" t="str">
        <f t="shared" ca="1" si="72"/>
        <v/>
      </c>
      <c r="AQ44" s="24" t="str">
        <f t="shared" ca="1" si="72"/>
        <v/>
      </c>
      <c r="AR44" s="24" t="str">
        <f t="shared" ca="1" si="72"/>
        <v/>
      </c>
      <c r="AS44" s="24" t="str">
        <f t="shared" ca="1" si="72"/>
        <v/>
      </c>
      <c r="AT44" s="24" t="str">
        <f t="shared" ca="1" si="72"/>
        <v/>
      </c>
      <c r="AU44" s="24" t="str">
        <f t="shared" ca="1" si="72"/>
        <v/>
      </c>
      <c r="AV44" s="24" t="str">
        <f t="shared" ca="1" si="72"/>
        <v/>
      </c>
      <c r="AW44" s="24" t="str">
        <f t="shared" ca="1" si="72"/>
        <v/>
      </c>
      <c r="AX44" s="24" t="str">
        <f t="shared" ca="1" si="73"/>
        <v/>
      </c>
      <c r="AY44" s="24" t="str">
        <f t="shared" ca="1" si="73"/>
        <v/>
      </c>
      <c r="AZ44" s="24" t="str">
        <f t="shared" ca="1" si="73"/>
        <v/>
      </c>
      <c r="BA44" s="24" t="str">
        <f t="shared" ca="1" si="73"/>
        <v/>
      </c>
      <c r="BB44" s="24" t="str">
        <f t="shared" ca="1" si="73"/>
        <v/>
      </c>
      <c r="BC44" s="24" t="str">
        <f t="shared" ca="1" si="73"/>
        <v/>
      </c>
      <c r="BD44" s="24" t="str">
        <f t="shared" ca="1" si="73"/>
        <v/>
      </c>
      <c r="BE44" s="24" t="str">
        <f t="shared" ca="1" si="73"/>
        <v/>
      </c>
      <c r="BF44" s="24" t="str">
        <f t="shared" ca="1" si="73"/>
        <v/>
      </c>
      <c r="BG44" s="24" t="str">
        <f t="shared" ca="1" si="73"/>
        <v/>
      </c>
      <c r="BH44" s="24" t="str">
        <f t="shared" ca="1" si="74"/>
        <v/>
      </c>
      <c r="BI44" s="24" t="str">
        <f t="shared" ca="1" si="74"/>
        <v/>
      </c>
      <c r="BJ44" s="24" t="str">
        <f t="shared" ca="1" si="74"/>
        <v/>
      </c>
      <c r="BK44" s="24" t="str">
        <f t="shared" ca="1" si="74"/>
        <v/>
      </c>
      <c r="BL44" s="24" t="str">
        <f t="shared" ca="1" si="74"/>
        <v/>
      </c>
      <c r="BM44" s="24" t="str">
        <f t="shared" ca="1" si="74"/>
        <v/>
      </c>
      <c r="BN44" s="24" t="str">
        <f t="shared" ca="1" si="74"/>
        <v/>
      </c>
      <c r="BO44" s="24" t="str">
        <f t="shared" ca="1" si="74"/>
        <v/>
      </c>
      <c r="BP44" s="24" t="str">
        <f t="shared" ca="1" si="74"/>
        <v/>
      </c>
      <c r="BQ44" s="24" t="str">
        <f t="shared" ca="1" si="74"/>
        <v/>
      </c>
      <c r="BR44" s="24" t="str">
        <f t="shared" ca="1" si="75"/>
        <v/>
      </c>
      <c r="BS44" s="24" t="str">
        <f t="shared" ca="1" si="75"/>
        <v/>
      </c>
      <c r="BT44" s="24" t="str">
        <f t="shared" ca="1" si="75"/>
        <v/>
      </c>
      <c r="BU44" s="24" t="str">
        <f t="shared" ca="1" si="75"/>
        <v/>
      </c>
      <c r="BV44" s="24" t="str">
        <f t="shared" ca="1" si="75"/>
        <v/>
      </c>
      <c r="BW44" s="24" t="str">
        <f t="shared" ca="1" si="75"/>
        <v/>
      </c>
      <c r="BX44" s="24" t="str">
        <f t="shared" ca="1" si="75"/>
        <v/>
      </c>
      <c r="BY44" s="24" t="str">
        <f t="shared" ca="1" si="75"/>
        <v/>
      </c>
      <c r="BZ44" s="24" t="str">
        <f t="shared" ca="1" si="75"/>
        <v/>
      </c>
      <c r="CA44" s="24" t="str">
        <f t="shared" ca="1" si="75"/>
        <v/>
      </c>
      <c r="CB44" s="24" t="str">
        <f t="shared" ca="1" si="76"/>
        <v/>
      </c>
      <c r="CC44" s="24" t="str">
        <f t="shared" ca="1" si="76"/>
        <v/>
      </c>
      <c r="CD44" s="24" t="str">
        <f t="shared" ca="1" si="76"/>
        <v/>
      </c>
      <c r="CE44" s="24" t="str">
        <f t="shared" ca="1" si="76"/>
        <v/>
      </c>
      <c r="CF44" s="24" t="str">
        <f t="shared" ca="1" si="76"/>
        <v/>
      </c>
      <c r="CG44" s="24" t="str">
        <f t="shared" ca="1" si="76"/>
        <v/>
      </c>
      <c r="CH44" s="24" t="str">
        <f t="shared" ca="1" si="76"/>
        <v/>
      </c>
      <c r="CI44" s="24" t="str">
        <f t="shared" ca="1" si="76"/>
        <v/>
      </c>
      <c r="CJ44" s="24" t="str">
        <f t="shared" ca="1" si="76"/>
        <v/>
      </c>
      <c r="CK44" s="24" t="str">
        <f t="shared" ca="1" si="76"/>
        <v/>
      </c>
      <c r="CL44" s="24" t="str">
        <f t="shared" ca="1" si="77"/>
        <v/>
      </c>
      <c r="CM44" s="24" t="str">
        <f t="shared" ca="1" si="77"/>
        <v/>
      </c>
      <c r="CN44" s="24" t="str">
        <f t="shared" ca="1" si="77"/>
        <v/>
      </c>
      <c r="CO44" s="24" t="str">
        <f t="shared" ca="1" si="77"/>
        <v/>
      </c>
      <c r="CP44" s="24" t="str">
        <f t="shared" ca="1" si="77"/>
        <v/>
      </c>
      <c r="CQ44" s="24" t="str">
        <f t="shared" ca="1" si="77"/>
        <v/>
      </c>
      <c r="CR44" s="24" t="str">
        <f t="shared" ca="1" si="77"/>
        <v/>
      </c>
      <c r="CS44" s="24" t="str">
        <f t="shared" ca="1" si="77"/>
        <v/>
      </c>
      <c r="CT44" s="24" t="str">
        <f t="shared" ca="1" si="77"/>
        <v/>
      </c>
      <c r="CU44" s="24" t="str">
        <f t="shared" ca="1" si="77"/>
        <v/>
      </c>
      <c r="CV44" s="24" t="str">
        <f t="shared" ca="1" si="78"/>
        <v/>
      </c>
      <c r="CW44" s="24" t="str">
        <f t="shared" ca="1" si="78"/>
        <v/>
      </c>
      <c r="CX44" s="24" t="str">
        <f t="shared" ca="1" si="78"/>
        <v/>
      </c>
      <c r="CY44" s="24" t="str">
        <f t="shared" ca="1" si="78"/>
        <v/>
      </c>
      <c r="CZ44" s="24" t="str">
        <f t="shared" ca="1" si="78"/>
        <v/>
      </c>
      <c r="DA44" s="24" t="str">
        <f t="shared" ca="1" si="78"/>
        <v/>
      </c>
      <c r="DB44" s="24" t="str">
        <f t="shared" ca="1" si="78"/>
        <v/>
      </c>
      <c r="DC44" s="24" t="str">
        <f t="shared" ca="1" si="78"/>
        <v/>
      </c>
      <c r="DD44" s="24" t="str">
        <f t="shared" ca="1" si="78"/>
        <v/>
      </c>
      <c r="DE44" s="24" t="str">
        <f t="shared" ca="1" si="78"/>
        <v/>
      </c>
      <c r="DF44" s="24" t="str">
        <f t="shared" ca="1" si="79"/>
        <v/>
      </c>
      <c r="DG44" s="24" t="str">
        <f t="shared" ca="1" si="79"/>
        <v/>
      </c>
      <c r="DH44" s="24" t="str">
        <f t="shared" ca="1" si="79"/>
        <v/>
      </c>
      <c r="DI44" s="24" t="str">
        <f t="shared" ca="1" si="79"/>
        <v/>
      </c>
      <c r="DJ44" s="24" t="str">
        <f t="shared" ca="1" si="79"/>
        <v/>
      </c>
      <c r="DK44" s="24" t="str">
        <f t="shared" ca="1" si="79"/>
        <v/>
      </c>
      <c r="DL44" s="24" t="str">
        <f t="shared" ca="1" si="79"/>
        <v/>
      </c>
      <c r="DM44" s="24" t="str">
        <f t="shared" ca="1" si="79"/>
        <v/>
      </c>
      <c r="DN44" s="24" t="str">
        <f t="shared" ca="1" si="79"/>
        <v/>
      </c>
      <c r="DO44" s="24" t="str">
        <f t="shared" ca="1" si="79"/>
        <v/>
      </c>
      <c r="DP44" s="24" t="str">
        <f t="shared" ca="1" si="80"/>
        <v/>
      </c>
      <c r="DQ44" s="24" t="str">
        <f t="shared" ca="1" si="80"/>
        <v/>
      </c>
      <c r="DR44" s="24" t="str">
        <f t="shared" ca="1" si="80"/>
        <v/>
      </c>
      <c r="DS44" s="24" t="str">
        <f t="shared" ca="1" si="80"/>
        <v/>
      </c>
      <c r="DT44" s="24" t="str">
        <f t="shared" ca="1" si="80"/>
        <v/>
      </c>
      <c r="DU44" s="24" t="str">
        <f t="shared" ca="1" si="80"/>
        <v/>
      </c>
      <c r="DV44" s="24" t="str">
        <f t="shared" ca="1" si="80"/>
        <v/>
      </c>
      <c r="DW44" s="24" t="str">
        <f t="shared" ca="1" si="80"/>
        <v/>
      </c>
      <c r="DX44" s="24" t="str">
        <f t="shared" ca="1" si="80"/>
        <v/>
      </c>
      <c r="DY44" s="24" t="str">
        <f t="shared" ca="1" si="80"/>
        <v/>
      </c>
      <c r="DZ44" s="24" t="str">
        <f t="shared" ca="1" si="81"/>
        <v/>
      </c>
      <c r="EA44" s="24" t="str">
        <f t="shared" ca="1" si="81"/>
        <v/>
      </c>
      <c r="EB44" s="24" t="str">
        <f t="shared" ca="1" si="81"/>
        <v/>
      </c>
      <c r="EC44" s="24" t="str">
        <f t="shared" ca="1" si="81"/>
        <v/>
      </c>
      <c r="ED44" s="24" t="str">
        <f t="shared" ca="1" si="81"/>
        <v/>
      </c>
      <c r="EE44" s="24" t="str">
        <f t="shared" ca="1" si="81"/>
        <v/>
      </c>
      <c r="EF44" s="24" t="str">
        <f t="shared" ca="1" si="81"/>
        <v/>
      </c>
      <c r="EG44" s="24" t="str">
        <f t="shared" ca="1" si="81"/>
        <v/>
      </c>
      <c r="EH44" s="24" t="str">
        <f t="shared" ca="1" si="81"/>
        <v/>
      </c>
      <c r="EI44" s="24" t="str">
        <f t="shared" ca="1" si="81"/>
        <v/>
      </c>
      <c r="EJ44" s="24" t="str">
        <f t="shared" ca="1" si="82"/>
        <v/>
      </c>
      <c r="EK44" s="24" t="str">
        <f t="shared" ca="1" si="82"/>
        <v/>
      </c>
      <c r="EL44" s="24" t="str">
        <f t="shared" ca="1" si="82"/>
        <v/>
      </c>
      <c r="EM44" s="24" t="str">
        <f t="shared" ca="1" si="82"/>
        <v/>
      </c>
      <c r="EN44" s="24" t="str">
        <f t="shared" ca="1" si="82"/>
        <v/>
      </c>
      <c r="EO44" s="24" t="str">
        <f t="shared" ca="1" si="82"/>
        <v/>
      </c>
      <c r="EP44" s="24" t="str">
        <f t="shared" ca="1" si="82"/>
        <v/>
      </c>
      <c r="EQ44" s="24" t="str">
        <f t="shared" ca="1" si="82"/>
        <v/>
      </c>
      <c r="ER44" s="24" t="str">
        <f t="shared" ca="1" si="82"/>
        <v/>
      </c>
      <c r="ES44" s="24" t="str">
        <f t="shared" ca="1" si="82"/>
        <v/>
      </c>
      <c r="ET44" s="24" t="str">
        <f t="shared" ca="1" si="83"/>
        <v/>
      </c>
      <c r="EU44" s="24" t="str">
        <f t="shared" ca="1" si="83"/>
        <v/>
      </c>
      <c r="EV44" s="24" t="str">
        <f t="shared" ca="1" si="83"/>
        <v/>
      </c>
      <c r="EW44" s="24" t="str">
        <f t="shared" ca="1" si="83"/>
        <v/>
      </c>
      <c r="EX44" s="24" t="str">
        <f t="shared" ca="1" si="83"/>
        <v/>
      </c>
      <c r="EY44" s="24" t="str">
        <f t="shared" ca="1" si="83"/>
        <v/>
      </c>
      <c r="EZ44" s="24" t="str">
        <f t="shared" ca="1" si="83"/>
        <v/>
      </c>
      <c r="FA44" s="24" t="str">
        <f t="shared" ca="1" si="83"/>
        <v/>
      </c>
      <c r="FB44" s="24" t="str">
        <f t="shared" ca="1" si="83"/>
        <v/>
      </c>
      <c r="FC44" s="24" t="str">
        <f t="shared" ca="1" si="83"/>
        <v/>
      </c>
      <c r="FD44" s="24" t="str">
        <f t="shared" ca="1" si="84"/>
        <v/>
      </c>
      <c r="FE44" s="24" t="str">
        <f t="shared" ca="1" si="84"/>
        <v/>
      </c>
      <c r="FF44" s="24" t="str">
        <f t="shared" ca="1" si="84"/>
        <v/>
      </c>
      <c r="FG44" s="24" t="str">
        <f t="shared" ca="1" si="84"/>
        <v/>
      </c>
      <c r="FH44" s="24" t="str">
        <f t="shared" ca="1" si="84"/>
        <v/>
      </c>
      <c r="FI44" s="24" t="str">
        <f t="shared" ca="1" si="84"/>
        <v/>
      </c>
      <c r="FJ44" s="24" t="str">
        <f t="shared" ca="1" si="84"/>
        <v/>
      </c>
      <c r="FK44" s="24" t="str">
        <f t="shared" ca="1" si="84"/>
        <v/>
      </c>
      <c r="FL44" s="24" t="str">
        <f t="shared" ca="1" si="84"/>
        <v/>
      </c>
      <c r="FM44" s="24" t="str">
        <f t="shared" ca="1" si="84"/>
        <v/>
      </c>
      <c r="FN44" s="24" t="str">
        <f t="shared" ca="1" si="85"/>
        <v/>
      </c>
      <c r="FO44" s="24" t="str">
        <f t="shared" ca="1" si="85"/>
        <v/>
      </c>
      <c r="FP44" s="24" t="str">
        <f t="shared" ca="1" si="85"/>
        <v/>
      </c>
      <c r="FQ44" s="24" t="str">
        <f t="shared" ca="1" si="85"/>
        <v/>
      </c>
      <c r="FR44" s="24" t="str">
        <f t="shared" ca="1" si="85"/>
        <v/>
      </c>
      <c r="FS44" s="24" t="str">
        <f t="shared" ca="1" si="85"/>
        <v/>
      </c>
      <c r="FT44" s="24" t="str">
        <f t="shared" ca="1" si="85"/>
        <v/>
      </c>
      <c r="FU44" s="24" t="str">
        <f t="shared" ca="1" si="85"/>
        <v/>
      </c>
      <c r="FV44" s="24" t="str">
        <f t="shared" ca="1" si="85"/>
        <v/>
      </c>
      <c r="FW44" s="24" t="str">
        <f t="shared" ca="1" si="85"/>
        <v/>
      </c>
      <c r="FX44" s="24" t="str">
        <f t="shared" ca="1" si="86"/>
        <v/>
      </c>
      <c r="FY44" s="24" t="str">
        <f t="shared" ca="1" si="86"/>
        <v/>
      </c>
      <c r="FZ44" s="24" t="str">
        <f t="shared" ca="1" si="86"/>
        <v/>
      </c>
      <c r="GA44" s="24" t="str">
        <f t="shared" ca="1" si="86"/>
        <v/>
      </c>
      <c r="GB44" s="24" t="str">
        <f t="shared" ca="1" si="86"/>
        <v/>
      </c>
      <c r="GC44" s="24" t="str">
        <f t="shared" ca="1" si="86"/>
        <v/>
      </c>
      <c r="GD44" s="24" t="str">
        <f t="shared" ca="1" si="86"/>
        <v/>
      </c>
      <c r="GE44" s="24" t="str">
        <f t="shared" ca="1" si="86"/>
        <v/>
      </c>
      <c r="GF44" s="24" t="str">
        <f t="shared" ca="1" si="86"/>
        <v/>
      </c>
      <c r="GG44" s="24" t="str">
        <f t="shared" ca="1" si="86"/>
        <v/>
      </c>
      <c r="GH44" s="24" t="str">
        <f t="shared" ca="1" si="87"/>
        <v/>
      </c>
      <c r="GI44" s="24" t="str">
        <f t="shared" ca="1" si="87"/>
        <v/>
      </c>
      <c r="GJ44" s="24" t="str">
        <f t="shared" ca="1" si="87"/>
        <v/>
      </c>
      <c r="GK44" s="24" t="str">
        <f t="shared" ca="1" si="87"/>
        <v/>
      </c>
      <c r="GL44" s="24" t="str">
        <f t="shared" ca="1" si="87"/>
        <v/>
      </c>
      <c r="GM44" s="24" t="str">
        <f t="shared" ca="1" si="87"/>
        <v/>
      </c>
      <c r="GN44" s="24" t="str">
        <f t="shared" ca="1" si="87"/>
        <v/>
      </c>
      <c r="GO44" s="24" t="str">
        <f t="shared" ca="1" si="87"/>
        <v/>
      </c>
      <c r="GP44" s="24" t="str">
        <f t="shared" ca="1" si="87"/>
        <v/>
      </c>
      <c r="GQ44" s="24" t="str">
        <f t="shared" ca="1" si="87"/>
        <v/>
      </c>
      <c r="GR44" s="24" t="str">
        <f t="shared" ca="1" si="88"/>
        <v/>
      </c>
      <c r="GS44" s="24" t="str">
        <f t="shared" ca="1" si="88"/>
        <v/>
      </c>
      <c r="GT44" s="24" t="str">
        <f t="shared" ca="1" si="88"/>
        <v/>
      </c>
      <c r="GU44" s="24" t="str">
        <f t="shared" ca="1" si="88"/>
        <v/>
      </c>
      <c r="GV44" s="24" t="str">
        <f t="shared" ca="1" si="88"/>
        <v/>
      </c>
      <c r="GW44" s="24" t="str">
        <f t="shared" ca="1" si="88"/>
        <v/>
      </c>
      <c r="GX44" s="24" t="str">
        <f t="shared" ca="1" si="88"/>
        <v/>
      </c>
      <c r="GY44" s="24" t="str">
        <f t="shared" ca="1" si="88"/>
        <v/>
      </c>
      <c r="GZ44" s="24" t="str">
        <f t="shared" ca="1" si="88"/>
        <v/>
      </c>
      <c r="HA44" s="24" t="str">
        <f t="shared" ca="1" si="88"/>
        <v/>
      </c>
      <c r="HB44" s="24" t="str">
        <f t="shared" ca="1" si="89"/>
        <v/>
      </c>
      <c r="HC44" s="24" t="str">
        <f t="shared" ca="1" si="89"/>
        <v/>
      </c>
      <c r="HD44" s="24" t="str">
        <f t="shared" ca="1" si="89"/>
        <v/>
      </c>
      <c r="HE44" s="24" t="str">
        <f t="shared" ca="1" si="89"/>
        <v/>
      </c>
      <c r="HF44" s="24" t="str">
        <f t="shared" ca="1" si="89"/>
        <v/>
      </c>
      <c r="HG44" s="24" t="str">
        <f t="shared" ca="1" si="89"/>
        <v/>
      </c>
      <c r="HH44" s="24" t="str">
        <f t="shared" ca="1" si="89"/>
        <v/>
      </c>
      <c r="HI44" s="24" t="str">
        <f t="shared" ca="1" si="89"/>
        <v/>
      </c>
      <c r="HJ44" s="24" t="str">
        <f t="shared" ca="1" si="89"/>
        <v/>
      </c>
      <c r="HK44" s="24" t="str">
        <f t="shared" ca="1" si="89"/>
        <v/>
      </c>
      <c r="HL44" s="24" t="str">
        <f t="shared" ca="1" si="90"/>
        <v/>
      </c>
      <c r="HM44" s="24" t="str">
        <f t="shared" ca="1" si="90"/>
        <v/>
      </c>
      <c r="HN44" s="24" t="str">
        <f t="shared" ca="1" si="90"/>
        <v/>
      </c>
      <c r="HO44" s="24" t="str">
        <f t="shared" ca="1" si="90"/>
        <v/>
      </c>
      <c r="HP44" s="24" t="str">
        <f t="shared" ca="1" si="90"/>
        <v/>
      </c>
      <c r="HQ44" s="24" t="str">
        <f t="shared" ca="1" si="90"/>
        <v/>
      </c>
      <c r="HR44" s="24" t="str">
        <f t="shared" ca="1" si="90"/>
        <v/>
      </c>
      <c r="HS44" s="24" t="str">
        <f t="shared" ca="1" si="90"/>
        <v/>
      </c>
      <c r="HT44" s="24" t="str">
        <f t="shared" ca="1" si="90"/>
        <v/>
      </c>
      <c r="HU44" s="24" t="str">
        <f t="shared" ca="1" si="90"/>
        <v/>
      </c>
      <c r="HV44" s="24" t="str">
        <f t="shared" ca="1" si="91"/>
        <v/>
      </c>
      <c r="HW44" s="24" t="str">
        <f t="shared" ca="1" si="91"/>
        <v/>
      </c>
      <c r="HX44" s="24" t="str">
        <f t="shared" ca="1" si="91"/>
        <v/>
      </c>
      <c r="HY44" s="24" t="str">
        <f t="shared" ca="1" si="91"/>
        <v/>
      </c>
      <c r="HZ44" s="24" t="str">
        <f t="shared" ca="1" si="91"/>
        <v/>
      </c>
      <c r="IA44" s="24" t="str">
        <f t="shared" ca="1" si="91"/>
        <v/>
      </c>
      <c r="IB44" s="24" t="str">
        <f t="shared" ca="1" si="91"/>
        <v/>
      </c>
      <c r="IC44" s="24" t="str">
        <f t="shared" ca="1" si="91"/>
        <v/>
      </c>
      <c r="ID44" s="24" t="str">
        <f t="shared" ca="1" si="91"/>
        <v/>
      </c>
      <c r="IE44" s="24" t="str">
        <f t="shared" ca="1" si="91"/>
        <v/>
      </c>
      <c r="IF44" s="24" t="str">
        <f t="shared" ca="1" si="92"/>
        <v/>
      </c>
      <c r="IG44" s="24" t="str">
        <f t="shared" ca="1" si="92"/>
        <v/>
      </c>
      <c r="IH44" s="24" t="str">
        <f t="shared" ca="1" si="92"/>
        <v/>
      </c>
      <c r="II44" s="24" t="str">
        <f t="shared" ca="1" si="92"/>
        <v/>
      </c>
      <c r="IJ44" s="24" t="str">
        <f t="shared" ca="1" si="92"/>
        <v/>
      </c>
      <c r="IK44" s="24" t="str">
        <f t="shared" ca="1" si="92"/>
        <v/>
      </c>
      <c r="IL44" s="24" t="str">
        <f t="shared" ca="1" si="92"/>
        <v/>
      </c>
      <c r="IM44" s="24" t="str">
        <f t="shared" ca="1" si="92"/>
        <v/>
      </c>
      <c r="IN44" s="24" t="str">
        <f t="shared" ca="1" si="92"/>
        <v/>
      </c>
      <c r="IO44" s="24" t="str">
        <f t="shared" ca="1" si="92"/>
        <v/>
      </c>
      <c r="IP44" s="24" t="str">
        <f t="shared" ca="1" si="93"/>
        <v/>
      </c>
      <c r="IQ44" s="24" t="str">
        <f t="shared" ca="1" si="93"/>
        <v/>
      </c>
      <c r="IR44" s="24" t="str">
        <f t="shared" ca="1" si="93"/>
        <v/>
      </c>
      <c r="IS44" s="24" t="str">
        <f t="shared" ca="1" si="93"/>
        <v/>
      </c>
      <c r="IT44" s="24" t="str">
        <f t="shared" ca="1" si="93"/>
        <v/>
      </c>
      <c r="IU44" s="24" t="str">
        <f t="shared" ca="1" si="93"/>
        <v/>
      </c>
      <c r="IV44" s="24" t="str">
        <f t="shared" ca="1" si="93"/>
        <v/>
      </c>
      <c r="IW44" s="24" t="str">
        <f t="shared" ca="1" si="93"/>
        <v/>
      </c>
      <c r="IX44" s="24" t="str">
        <f t="shared" ca="1" si="93"/>
        <v/>
      </c>
      <c r="IY44" s="24" t="str">
        <f t="shared" ca="1" si="93"/>
        <v/>
      </c>
      <c r="IZ44" s="24" t="str">
        <f t="shared" ca="1" si="94"/>
        <v/>
      </c>
      <c r="JA44" s="24" t="str">
        <f t="shared" ca="1" si="94"/>
        <v/>
      </c>
      <c r="JB44" s="24" t="str">
        <f t="shared" ca="1" si="94"/>
        <v/>
      </c>
      <c r="JC44" s="24" t="str">
        <f t="shared" ca="1" si="94"/>
        <v/>
      </c>
      <c r="JD44" s="24" t="str">
        <f t="shared" ca="1" si="94"/>
        <v/>
      </c>
      <c r="JE44" s="24" t="str">
        <f t="shared" ca="1" si="94"/>
        <v/>
      </c>
      <c r="JF44" s="24" t="str">
        <f t="shared" ca="1" si="94"/>
        <v/>
      </c>
      <c r="JG44" s="24" t="str">
        <f t="shared" ca="1" si="94"/>
        <v/>
      </c>
      <c r="JH44" s="24" t="str">
        <f t="shared" ca="1" si="94"/>
        <v/>
      </c>
      <c r="JI44" s="24" t="str">
        <f t="shared" ca="1" si="94"/>
        <v/>
      </c>
      <c r="JJ44" s="24" t="str">
        <f t="shared" ca="1" si="95"/>
        <v/>
      </c>
      <c r="JK44" s="24" t="str">
        <f t="shared" ca="1" si="95"/>
        <v/>
      </c>
      <c r="JL44" s="24" t="str">
        <f t="shared" ca="1" si="95"/>
        <v/>
      </c>
      <c r="JM44" s="24" t="str">
        <f t="shared" ca="1" si="95"/>
        <v/>
      </c>
      <c r="JN44" s="24" t="str">
        <f t="shared" ca="1" si="95"/>
        <v/>
      </c>
      <c r="JO44" s="24" t="str">
        <f t="shared" ca="1" si="95"/>
        <v/>
      </c>
      <c r="JP44" s="24" t="str">
        <f t="shared" ca="1" si="95"/>
        <v/>
      </c>
      <c r="JQ44" s="24" t="str">
        <f t="shared" ca="1" si="95"/>
        <v/>
      </c>
      <c r="JR44" s="24" t="str">
        <f t="shared" ca="1" si="95"/>
        <v/>
      </c>
      <c r="JS44" s="24" t="str">
        <f t="shared" ca="1" si="95"/>
        <v/>
      </c>
      <c r="JT44" s="24" t="str">
        <f t="shared" ca="1" si="96"/>
        <v/>
      </c>
      <c r="JU44" s="24" t="str">
        <f t="shared" ca="1" si="96"/>
        <v/>
      </c>
      <c r="JV44" s="24" t="str">
        <f t="shared" ca="1" si="96"/>
        <v/>
      </c>
      <c r="JW44" s="24" t="str">
        <f t="shared" ca="1" si="96"/>
        <v/>
      </c>
      <c r="JX44" s="24" t="str">
        <f t="shared" ca="1" si="96"/>
        <v/>
      </c>
      <c r="JY44" s="24" t="str">
        <f t="shared" ca="1" si="96"/>
        <v/>
      </c>
      <c r="JZ44" s="24" t="str">
        <f t="shared" ca="1" si="96"/>
        <v/>
      </c>
      <c r="KA44" s="24" t="str">
        <f t="shared" ca="1" si="96"/>
        <v/>
      </c>
      <c r="KB44" s="24" t="str">
        <f t="shared" ca="1" si="96"/>
        <v/>
      </c>
      <c r="KC44" s="24" t="str">
        <f t="shared" ca="1" si="96"/>
        <v/>
      </c>
      <c r="KD44" s="24" t="str">
        <f t="shared" ca="1" si="97"/>
        <v/>
      </c>
      <c r="KE44" s="24" t="str">
        <f t="shared" ca="1" si="97"/>
        <v/>
      </c>
      <c r="KF44" s="24" t="str">
        <f t="shared" ca="1" si="97"/>
        <v/>
      </c>
      <c r="KG44" s="24" t="str">
        <f t="shared" ca="1" si="97"/>
        <v/>
      </c>
      <c r="KH44" s="24" t="str">
        <f t="shared" ca="1" si="97"/>
        <v/>
      </c>
      <c r="KI44" s="24" t="str">
        <f t="shared" ca="1" si="97"/>
        <v/>
      </c>
      <c r="KJ44" s="24" t="str">
        <f t="shared" ca="1" si="97"/>
        <v/>
      </c>
      <c r="KK44" s="24" t="str">
        <f t="shared" ca="1" si="97"/>
        <v/>
      </c>
      <c r="KL44" s="24" t="str">
        <f t="shared" ca="1" si="97"/>
        <v/>
      </c>
      <c r="KM44" s="24" t="str">
        <f t="shared" ca="1" si="97"/>
        <v/>
      </c>
      <c r="KN44" s="24" t="str">
        <f t="shared" ca="1" si="98"/>
        <v/>
      </c>
      <c r="KO44" s="24" t="str">
        <f t="shared" ca="1" si="98"/>
        <v/>
      </c>
      <c r="KP44" s="24" t="str">
        <f t="shared" ca="1" si="98"/>
        <v/>
      </c>
      <c r="KQ44" s="24" t="str">
        <f t="shared" ca="1" si="98"/>
        <v/>
      </c>
      <c r="KR44" s="24" t="str">
        <f t="shared" ca="1" si="98"/>
        <v/>
      </c>
      <c r="KS44" s="24" t="str">
        <f t="shared" ca="1" si="98"/>
        <v/>
      </c>
      <c r="KT44" s="24" t="str">
        <f t="shared" ca="1" si="98"/>
        <v/>
      </c>
      <c r="KU44" s="24" t="str">
        <f t="shared" ca="1" si="98"/>
        <v/>
      </c>
      <c r="KV44" s="24" t="str">
        <f t="shared" ca="1" si="98"/>
        <v/>
      </c>
      <c r="KW44" s="24" t="str">
        <f t="shared" ca="1" si="98"/>
        <v/>
      </c>
      <c r="KX44" s="24" t="str">
        <f t="shared" ca="1" si="99"/>
        <v/>
      </c>
      <c r="KY44" s="24" t="str">
        <f t="shared" ca="1" si="99"/>
        <v/>
      </c>
      <c r="KZ44" s="24" t="str">
        <f t="shared" ca="1" si="99"/>
        <v/>
      </c>
      <c r="LA44" s="24" t="str">
        <f t="shared" ca="1" si="99"/>
        <v/>
      </c>
      <c r="LB44" s="24" t="str">
        <f t="shared" ca="1" si="99"/>
        <v/>
      </c>
      <c r="LC44" s="24" t="str">
        <f t="shared" ca="1" si="99"/>
        <v/>
      </c>
      <c r="LD44" s="24" t="str">
        <f t="shared" ca="1" si="99"/>
        <v/>
      </c>
      <c r="LE44" s="24" t="str">
        <f t="shared" ca="1" si="99"/>
        <v/>
      </c>
      <c r="LF44" s="24" t="str">
        <f t="shared" ca="1" si="99"/>
        <v/>
      </c>
      <c r="LG44" s="24" t="str">
        <f t="shared" ca="1" si="99"/>
        <v/>
      </c>
      <c r="LH44" s="24" t="str">
        <f t="shared" ca="1" si="100"/>
        <v/>
      </c>
      <c r="LI44" s="24" t="str">
        <f t="shared" ca="1" si="100"/>
        <v/>
      </c>
      <c r="LJ44" s="24" t="str">
        <f t="shared" ca="1" si="100"/>
        <v/>
      </c>
      <c r="LK44" s="24" t="str">
        <f t="shared" ca="1" si="100"/>
        <v/>
      </c>
      <c r="LL44" s="24" t="str">
        <f t="shared" ca="1" si="100"/>
        <v/>
      </c>
      <c r="LM44" s="24" t="str">
        <f t="shared" ca="1" si="100"/>
        <v/>
      </c>
      <c r="LN44" s="24" t="str">
        <f t="shared" ca="1" si="100"/>
        <v/>
      </c>
      <c r="LO44" s="24" t="str">
        <f t="shared" ca="1" si="100"/>
        <v/>
      </c>
      <c r="LP44" s="24" t="str">
        <f t="shared" ca="1" si="100"/>
        <v/>
      </c>
      <c r="LQ44" s="24" t="str">
        <f t="shared" ca="1" si="100"/>
        <v/>
      </c>
      <c r="LR44" s="24" t="str">
        <f t="shared" ca="1" si="101"/>
        <v/>
      </c>
      <c r="LS44" s="24" t="str">
        <f t="shared" ca="1" si="101"/>
        <v/>
      </c>
      <c r="LT44" s="24" t="str">
        <f t="shared" ca="1" si="101"/>
        <v/>
      </c>
      <c r="LU44" s="24" t="str">
        <f t="shared" ca="1" si="101"/>
        <v/>
      </c>
      <c r="LV44" s="24" t="str">
        <f t="shared" ca="1" si="101"/>
        <v/>
      </c>
      <c r="LW44" s="24" t="str">
        <f t="shared" ca="1" si="101"/>
        <v/>
      </c>
      <c r="LX44" s="24" t="str">
        <f t="shared" ca="1" si="101"/>
        <v/>
      </c>
      <c r="LY44" s="24" t="str">
        <f t="shared" ca="1" si="101"/>
        <v/>
      </c>
      <c r="LZ44" s="24" t="str">
        <f t="shared" ca="1" si="101"/>
        <v/>
      </c>
      <c r="MA44" s="24" t="str">
        <f t="shared" ca="1" si="101"/>
        <v/>
      </c>
      <c r="MB44" s="24" t="str">
        <f t="shared" ca="1" si="102"/>
        <v/>
      </c>
      <c r="MC44" s="24" t="str">
        <f t="shared" ca="1" si="102"/>
        <v/>
      </c>
      <c r="MD44" s="24" t="str">
        <f t="shared" ca="1" si="102"/>
        <v/>
      </c>
      <c r="ME44" s="24" t="str">
        <f t="shared" ca="1" si="102"/>
        <v/>
      </c>
      <c r="MF44" s="24" t="str">
        <f t="shared" ca="1" si="102"/>
        <v/>
      </c>
      <c r="MG44" s="24" t="str">
        <f t="shared" ca="1" si="102"/>
        <v/>
      </c>
      <c r="MH44" s="24" t="str">
        <f t="shared" ca="1" si="102"/>
        <v/>
      </c>
      <c r="MI44" s="24" t="str">
        <f t="shared" ca="1" si="102"/>
        <v/>
      </c>
      <c r="MJ44" s="24" t="str">
        <f t="shared" ca="1" si="102"/>
        <v/>
      </c>
      <c r="MK44" s="24" t="str">
        <f t="shared" ca="1" si="102"/>
        <v/>
      </c>
      <c r="ML44" s="24" t="str">
        <f t="shared" ca="1" si="103"/>
        <v/>
      </c>
      <c r="MM44" s="24" t="str">
        <f t="shared" ca="1" si="103"/>
        <v/>
      </c>
      <c r="MN44" s="24" t="str">
        <f t="shared" ca="1" si="103"/>
        <v/>
      </c>
      <c r="MO44" s="24" t="str">
        <f t="shared" ca="1" si="103"/>
        <v/>
      </c>
      <c r="MP44" s="24" t="str">
        <f t="shared" ca="1" si="103"/>
        <v/>
      </c>
      <c r="MQ44" s="24" t="str">
        <f t="shared" ca="1" si="103"/>
        <v/>
      </c>
      <c r="MR44" s="24" t="str">
        <f t="shared" ca="1" si="103"/>
        <v/>
      </c>
      <c r="MS44" s="24" t="str">
        <f t="shared" ca="1" si="103"/>
        <v/>
      </c>
      <c r="MT44" s="24" t="str">
        <f t="shared" ca="1" si="103"/>
        <v/>
      </c>
      <c r="MU44" s="24" t="str">
        <f t="shared" ca="1" si="103"/>
        <v/>
      </c>
      <c r="MV44" s="24" t="str">
        <f t="shared" ca="1" si="104"/>
        <v/>
      </c>
      <c r="MW44" s="24" t="str">
        <f t="shared" ca="1" si="104"/>
        <v/>
      </c>
      <c r="MX44" s="24" t="str">
        <f t="shared" ca="1" si="104"/>
        <v/>
      </c>
      <c r="MY44" s="24" t="str">
        <f t="shared" ca="1" si="104"/>
        <v/>
      </c>
      <c r="MZ44" s="24" t="str">
        <f t="shared" ca="1" si="104"/>
        <v/>
      </c>
      <c r="NA44" s="24" t="str">
        <f t="shared" ca="1" si="104"/>
        <v/>
      </c>
      <c r="NB44" s="24" t="str">
        <f t="shared" ca="1" si="104"/>
        <v/>
      </c>
      <c r="NC44" s="24" t="str">
        <f t="shared" ca="1" si="104"/>
        <v/>
      </c>
      <c r="ND44" s="24" t="str">
        <f t="shared" ca="1" si="104"/>
        <v/>
      </c>
      <c r="NE44" s="24" t="str">
        <f t="shared" ca="1" si="104"/>
        <v/>
      </c>
      <c r="NF44" s="24" t="str">
        <f t="shared" ca="1" si="105"/>
        <v/>
      </c>
      <c r="NG44" s="24" t="str">
        <f t="shared" ca="1" si="105"/>
        <v/>
      </c>
      <c r="NH44" s="24" t="str">
        <f t="shared" ca="1" si="105"/>
        <v/>
      </c>
      <c r="NI44" s="24" t="str">
        <f t="shared" ca="1" si="105"/>
        <v/>
      </c>
      <c r="NJ44" s="24" t="str">
        <f t="shared" ca="1" si="105"/>
        <v/>
      </c>
      <c r="NK44" s="24" t="str">
        <f t="shared" ca="1" si="105"/>
        <v/>
      </c>
      <c r="NL44" s="24" t="str">
        <f t="shared" ca="1" si="105"/>
        <v/>
      </c>
      <c r="NM44" s="24" t="str">
        <f t="shared" ca="1" si="105"/>
        <v/>
      </c>
      <c r="NN44" s="24" t="str">
        <f t="shared" ca="1" si="105"/>
        <v/>
      </c>
      <c r="NO44" s="24" t="str">
        <f t="shared" ca="1" si="105"/>
        <v/>
      </c>
      <c r="NP44" s="24" t="str">
        <f t="shared" ca="1" si="106"/>
        <v/>
      </c>
      <c r="NQ44" s="24" t="str">
        <f t="shared" ca="1" si="106"/>
        <v/>
      </c>
      <c r="NR44" s="24" t="str">
        <f t="shared" ca="1" si="106"/>
        <v/>
      </c>
      <c r="NS44" s="24" t="str">
        <f t="shared" ca="1" si="106"/>
        <v/>
      </c>
      <c r="NT44" s="24" t="str">
        <f t="shared" ca="1" si="106"/>
        <v/>
      </c>
      <c r="NU44" s="24" t="str">
        <f t="shared" ca="1" si="106"/>
        <v/>
      </c>
      <c r="NV44" s="24" t="str">
        <f t="shared" ca="1" si="106"/>
        <v/>
      </c>
      <c r="NW44" s="24" t="str">
        <f t="shared" ca="1" si="106"/>
        <v/>
      </c>
      <c r="NX44" s="24" t="str">
        <f t="shared" ca="1" si="106"/>
        <v/>
      </c>
      <c r="NY44" s="24" t="str">
        <f t="shared" ca="1" si="106"/>
        <v/>
      </c>
      <c r="NZ44" s="24" t="str">
        <f t="shared" ca="1" si="107"/>
        <v/>
      </c>
      <c r="OA44" s="24" t="str">
        <f t="shared" ca="1" si="107"/>
        <v/>
      </c>
      <c r="OB44" s="24" t="str">
        <f t="shared" ca="1" si="107"/>
        <v/>
      </c>
      <c r="OC44" s="24" t="str">
        <f t="shared" ca="1" si="107"/>
        <v/>
      </c>
      <c r="OD44" s="24" t="str">
        <f t="shared" ca="1" si="107"/>
        <v/>
      </c>
      <c r="OE44" s="24" t="str">
        <f t="shared" ca="1" si="107"/>
        <v/>
      </c>
      <c r="OF44" s="24" t="str">
        <f t="shared" ca="1" si="107"/>
        <v/>
      </c>
      <c r="OG44" s="24" t="str">
        <f t="shared" ca="1" si="107"/>
        <v/>
      </c>
      <c r="OH44" s="24" t="str">
        <f t="shared" ca="1" si="107"/>
        <v/>
      </c>
      <c r="OI44" s="24" t="str">
        <f t="shared" ca="1" si="107"/>
        <v/>
      </c>
      <c r="OJ44" s="24" t="str">
        <f t="shared" ca="1" si="108"/>
        <v/>
      </c>
      <c r="OK44" s="24" t="str">
        <f t="shared" ca="1" si="108"/>
        <v/>
      </c>
      <c r="OL44" s="24" t="str">
        <f t="shared" ca="1" si="108"/>
        <v/>
      </c>
      <c r="OM44" s="24" t="str">
        <f t="shared" ca="1" si="108"/>
        <v/>
      </c>
      <c r="ON44" s="24" t="str">
        <f t="shared" ca="1" si="108"/>
        <v/>
      </c>
      <c r="OO44" s="24" t="str">
        <f t="shared" ca="1" si="108"/>
        <v/>
      </c>
      <c r="OP44" s="24" t="str">
        <f t="shared" ca="1" si="108"/>
        <v/>
      </c>
      <c r="OQ44" s="24" t="str">
        <f t="shared" ca="1" si="108"/>
        <v/>
      </c>
      <c r="OR44" s="24" t="str">
        <f t="shared" ca="1" si="108"/>
        <v/>
      </c>
      <c r="OS44" s="24" t="str">
        <f t="shared" ca="1" si="108"/>
        <v/>
      </c>
      <c r="OT44" s="24" t="str">
        <f t="shared" ca="1" si="109"/>
        <v/>
      </c>
      <c r="OU44" s="24" t="str">
        <f t="shared" ca="1" si="109"/>
        <v/>
      </c>
      <c r="OV44" s="24" t="str">
        <f t="shared" ca="1" si="109"/>
        <v/>
      </c>
      <c r="OW44" s="24" t="str">
        <f t="shared" ca="1" si="109"/>
        <v/>
      </c>
      <c r="OX44" s="24" t="str">
        <f t="shared" ca="1" si="109"/>
        <v/>
      </c>
      <c r="OY44" s="24" t="str">
        <f t="shared" ca="1" si="109"/>
        <v/>
      </c>
      <c r="OZ44" s="24" t="str">
        <f t="shared" ca="1" si="109"/>
        <v/>
      </c>
      <c r="PA44" s="24" t="str">
        <f t="shared" ca="1" si="109"/>
        <v/>
      </c>
      <c r="PB44" s="24" t="str">
        <f t="shared" ca="1" si="109"/>
        <v/>
      </c>
      <c r="PC44" s="24" t="str">
        <f t="shared" ca="1" si="109"/>
        <v/>
      </c>
      <c r="PD44" s="24" t="str">
        <f t="shared" ca="1" si="110"/>
        <v/>
      </c>
      <c r="PE44" s="24" t="str">
        <f t="shared" ca="1" si="110"/>
        <v/>
      </c>
      <c r="PF44" s="24" t="str">
        <f t="shared" ca="1" si="110"/>
        <v/>
      </c>
      <c r="PG44" s="24" t="str">
        <f t="shared" ca="1" si="110"/>
        <v/>
      </c>
      <c r="PH44" s="24" t="str">
        <f t="shared" ca="1" si="110"/>
        <v/>
      </c>
      <c r="PI44" s="24" t="str">
        <f t="shared" ca="1" si="110"/>
        <v/>
      </c>
      <c r="PJ44" s="24" t="str">
        <f t="shared" ca="1" si="110"/>
        <v/>
      </c>
      <c r="PK44" s="24" t="str">
        <f t="shared" ca="1" si="110"/>
        <v/>
      </c>
      <c r="PL44" s="24" t="str">
        <f t="shared" ca="1" si="110"/>
        <v/>
      </c>
      <c r="PM44" s="24" t="str">
        <f t="shared" ca="1" si="110"/>
        <v/>
      </c>
      <c r="PN44" s="24" t="str">
        <f t="shared" ca="1" si="111"/>
        <v/>
      </c>
      <c r="PO44" s="24" t="str">
        <f t="shared" ca="1" si="111"/>
        <v/>
      </c>
      <c r="PP44" s="24" t="str">
        <f t="shared" ca="1" si="111"/>
        <v/>
      </c>
      <c r="PQ44" s="24" t="str">
        <f t="shared" ca="1" si="111"/>
        <v/>
      </c>
      <c r="PR44" s="24" t="str">
        <f t="shared" ca="1" si="111"/>
        <v/>
      </c>
      <c r="PS44" s="24" t="str">
        <f t="shared" ca="1" si="111"/>
        <v/>
      </c>
      <c r="PT44" s="24" t="str">
        <f t="shared" ca="1" si="111"/>
        <v/>
      </c>
      <c r="PU44" s="24" t="str">
        <f t="shared" ca="1" si="111"/>
        <v/>
      </c>
      <c r="PV44" s="24" t="str">
        <f t="shared" ca="1" si="111"/>
        <v/>
      </c>
      <c r="PW44" s="24" t="str">
        <f t="shared" ca="1" si="111"/>
        <v/>
      </c>
      <c r="PX44" s="24" t="str">
        <f t="shared" ca="1" si="112"/>
        <v/>
      </c>
      <c r="PY44" s="24" t="str">
        <f t="shared" ca="1" si="112"/>
        <v/>
      </c>
      <c r="PZ44" s="24" t="str">
        <f t="shared" ca="1" si="112"/>
        <v/>
      </c>
      <c r="QA44" s="24" t="str">
        <f t="shared" ca="1" si="112"/>
        <v/>
      </c>
      <c r="QB44" s="24" t="str">
        <f t="shared" ca="1" si="112"/>
        <v/>
      </c>
      <c r="QC44" s="24" t="str">
        <f t="shared" ca="1" si="112"/>
        <v/>
      </c>
      <c r="QD44" s="24" t="str">
        <f t="shared" ca="1" si="112"/>
        <v/>
      </c>
      <c r="QE44" s="24" t="str">
        <f t="shared" ca="1" si="112"/>
        <v/>
      </c>
      <c r="QF44" s="24" t="str">
        <f t="shared" ca="1" si="112"/>
        <v/>
      </c>
      <c r="QG44" s="24" t="str">
        <f t="shared" ca="1" si="112"/>
        <v/>
      </c>
      <c r="QH44" s="24" t="str">
        <f t="shared" ca="1" si="113"/>
        <v/>
      </c>
      <c r="QI44" s="24" t="str">
        <f t="shared" ca="1" si="113"/>
        <v/>
      </c>
      <c r="QJ44" s="24" t="str">
        <f t="shared" ca="1" si="113"/>
        <v/>
      </c>
      <c r="QK44" s="24" t="str">
        <f t="shared" ca="1" si="113"/>
        <v/>
      </c>
      <c r="QL44" s="24" t="str">
        <f t="shared" ca="1" si="113"/>
        <v/>
      </c>
      <c r="QM44" s="24" t="str">
        <f t="shared" ca="1" si="113"/>
        <v/>
      </c>
      <c r="QN44" s="24" t="str">
        <f t="shared" ca="1" si="113"/>
        <v/>
      </c>
      <c r="QO44" s="24" t="str">
        <f t="shared" ca="1" si="113"/>
        <v/>
      </c>
      <c r="QP44" s="24" t="str">
        <f t="shared" ca="1" si="113"/>
        <v/>
      </c>
      <c r="QQ44" s="24" t="str">
        <f t="shared" ca="1" si="113"/>
        <v/>
      </c>
      <c r="QR44" s="24" t="str">
        <f t="shared" ca="1" si="114"/>
        <v/>
      </c>
      <c r="QS44" s="24" t="str">
        <f t="shared" ca="1" si="114"/>
        <v/>
      </c>
      <c r="QT44" s="24" t="str">
        <f t="shared" ca="1" si="114"/>
        <v/>
      </c>
      <c r="QU44" s="24" t="str">
        <f t="shared" ca="1" si="114"/>
        <v/>
      </c>
      <c r="QV44" s="24" t="str">
        <f t="shared" ca="1" si="114"/>
        <v/>
      </c>
      <c r="QW44" s="24" t="str">
        <f t="shared" ca="1" si="114"/>
        <v/>
      </c>
      <c r="QX44" s="24" t="str">
        <f t="shared" ca="1" si="114"/>
        <v/>
      </c>
      <c r="QY44" s="24" t="str">
        <f t="shared" ca="1" si="114"/>
        <v/>
      </c>
      <c r="QZ44" s="24" t="str">
        <f t="shared" ca="1" si="114"/>
        <v/>
      </c>
      <c r="RA44" s="24" t="str">
        <f t="shared" ca="1" si="114"/>
        <v/>
      </c>
      <c r="RB44" s="24" t="str">
        <f t="shared" ca="1" si="115"/>
        <v/>
      </c>
      <c r="RC44" s="24" t="str">
        <f t="shared" ca="1" si="115"/>
        <v/>
      </c>
      <c r="RD44" s="24" t="str">
        <f t="shared" ca="1" si="115"/>
        <v/>
      </c>
      <c r="RE44" s="24" t="str">
        <f t="shared" ca="1" si="115"/>
        <v/>
      </c>
      <c r="RF44" s="24" t="str">
        <f t="shared" ca="1" si="115"/>
        <v/>
      </c>
      <c r="RG44" s="24" t="str">
        <f t="shared" ca="1" si="115"/>
        <v/>
      </c>
      <c r="RH44" s="24" t="str">
        <f t="shared" ca="1" si="115"/>
        <v/>
      </c>
      <c r="RI44" s="24" t="str">
        <f t="shared" ca="1" si="115"/>
        <v/>
      </c>
      <c r="RJ44" s="24" t="str">
        <f t="shared" ca="1" si="115"/>
        <v/>
      </c>
      <c r="RK44" s="24" t="str">
        <f t="shared" ca="1" si="115"/>
        <v/>
      </c>
      <c r="RL44" s="24" t="str">
        <f t="shared" ca="1" si="116"/>
        <v/>
      </c>
      <c r="RM44" s="24" t="str">
        <f t="shared" ca="1" si="116"/>
        <v/>
      </c>
      <c r="RN44" s="24" t="str">
        <f t="shared" ca="1" si="116"/>
        <v/>
      </c>
      <c r="RO44" s="24" t="str">
        <f t="shared" ca="1" si="116"/>
        <v/>
      </c>
      <c r="RP44" s="24" t="str">
        <f t="shared" ca="1" si="116"/>
        <v/>
      </c>
      <c r="RQ44" s="24" t="str">
        <f t="shared" ca="1" si="116"/>
        <v/>
      </c>
      <c r="RR44" s="24" t="str">
        <f t="shared" ca="1" si="116"/>
        <v/>
      </c>
      <c r="RS44" s="24" t="str">
        <f t="shared" ca="1" si="116"/>
        <v/>
      </c>
      <c r="RT44" s="24" t="str">
        <f t="shared" ca="1" si="116"/>
        <v/>
      </c>
      <c r="RU44" s="24" t="str">
        <f t="shared" ca="1" si="116"/>
        <v/>
      </c>
      <c r="RV44" s="24" t="str">
        <f t="shared" ca="1" si="117"/>
        <v/>
      </c>
      <c r="RW44" s="24" t="str">
        <f t="shared" ca="1" si="117"/>
        <v/>
      </c>
      <c r="RX44" s="24" t="str">
        <f t="shared" ca="1" si="117"/>
        <v/>
      </c>
      <c r="RY44" s="24" t="str">
        <f t="shared" ca="1" si="117"/>
        <v/>
      </c>
      <c r="RZ44" s="24" t="str">
        <f t="shared" ca="1" si="117"/>
        <v/>
      </c>
      <c r="SA44" s="24" t="str">
        <f t="shared" ca="1" si="117"/>
        <v/>
      </c>
      <c r="SB44" s="24" t="str">
        <f t="shared" ca="1" si="117"/>
        <v/>
      </c>
      <c r="SC44" s="24" t="str">
        <f t="shared" ca="1" si="117"/>
        <v/>
      </c>
      <c r="SD44" s="24" t="str">
        <f t="shared" ca="1" si="117"/>
        <v/>
      </c>
      <c r="SE44" s="24" t="str">
        <f t="shared" ca="1" si="117"/>
        <v/>
      </c>
      <c r="SF44" s="24" t="str">
        <f t="shared" ca="1" si="118"/>
        <v/>
      </c>
      <c r="SG44" s="24" t="str">
        <f t="shared" ca="1" si="118"/>
        <v/>
      </c>
      <c r="SH44" s="24" t="str">
        <f t="shared" ca="1" si="118"/>
        <v/>
      </c>
      <c r="SI44" s="24" t="str">
        <f t="shared" ca="1" si="118"/>
        <v/>
      </c>
      <c r="SJ44" s="24" t="str">
        <f t="shared" ca="1" si="118"/>
        <v/>
      </c>
      <c r="SK44" s="24" t="str">
        <f t="shared" ca="1" si="118"/>
        <v/>
      </c>
      <c r="SL44" s="24" t="str">
        <f t="shared" ca="1" si="118"/>
        <v/>
      </c>
      <c r="SM44" s="24" t="str">
        <f t="shared" ca="1" si="118"/>
        <v/>
      </c>
      <c r="SN44" s="24" t="str">
        <f t="shared" ca="1" si="118"/>
        <v/>
      </c>
      <c r="SO44" s="24" t="str">
        <f t="shared" ca="1" si="118"/>
        <v/>
      </c>
      <c r="SP44" s="24" t="str">
        <f t="shared" ca="1" si="119"/>
        <v/>
      </c>
      <c r="SQ44" s="24" t="str">
        <f t="shared" ca="1" si="119"/>
        <v/>
      </c>
      <c r="SR44" s="24" t="str">
        <f t="shared" ca="1" si="119"/>
        <v/>
      </c>
      <c r="SS44" s="24" t="str">
        <f t="shared" ca="1" si="119"/>
        <v/>
      </c>
      <c r="ST44" s="24" t="str">
        <f t="shared" ca="1" si="119"/>
        <v/>
      </c>
      <c r="SU44" s="24" t="str">
        <f t="shared" ca="1" si="119"/>
        <v/>
      </c>
      <c r="SV44" s="24" t="str">
        <f t="shared" ca="1" si="119"/>
        <v/>
      </c>
      <c r="SW44" s="24" t="str">
        <f t="shared" ca="1" si="119"/>
        <v/>
      </c>
      <c r="SX44" s="24" t="str">
        <f t="shared" ca="1" si="119"/>
        <v/>
      </c>
      <c r="SY44" s="24" t="str">
        <f t="shared" ca="1" si="119"/>
        <v/>
      </c>
      <c r="SZ44" s="24" t="str">
        <f t="shared" ca="1" si="120"/>
        <v/>
      </c>
      <c r="TA44" s="24" t="str">
        <f t="shared" ca="1" si="120"/>
        <v/>
      </c>
      <c r="TB44" s="24" t="str">
        <f t="shared" ca="1" si="120"/>
        <v/>
      </c>
      <c r="TC44" s="24" t="str">
        <f t="shared" ca="1" si="120"/>
        <v/>
      </c>
      <c r="TD44" s="24" t="str">
        <f t="shared" ca="1" si="120"/>
        <v/>
      </c>
      <c r="TE44" s="24" t="str">
        <f t="shared" ca="1" si="120"/>
        <v/>
      </c>
      <c r="TF44" s="24" t="str">
        <f t="shared" ca="1" si="120"/>
        <v/>
      </c>
      <c r="TG44" s="24" t="str">
        <f t="shared" ca="1" si="120"/>
        <v/>
      </c>
      <c r="TH44" s="24" t="str">
        <f t="shared" ca="1" si="120"/>
        <v/>
      </c>
      <c r="TI44" s="24" t="str">
        <f t="shared" ca="1" si="120"/>
        <v/>
      </c>
      <c r="TJ44" s="24" t="str">
        <f t="shared" ca="1" si="121"/>
        <v/>
      </c>
      <c r="TK44" s="24" t="str">
        <f t="shared" ca="1" si="121"/>
        <v/>
      </c>
      <c r="TL44" s="24" t="str">
        <f t="shared" ca="1" si="121"/>
        <v/>
      </c>
      <c r="TM44" s="24" t="str">
        <f t="shared" ca="1" si="121"/>
        <v/>
      </c>
      <c r="TN44" s="24" t="str">
        <f t="shared" ca="1" si="121"/>
        <v/>
      </c>
      <c r="TO44" s="24" t="str">
        <f t="shared" ca="1" si="121"/>
        <v/>
      </c>
      <c r="TP44" s="24" t="str">
        <f t="shared" ca="1" si="121"/>
        <v/>
      </c>
      <c r="TQ44" s="24" t="str">
        <f t="shared" ca="1" si="121"/>
        <v/>
      </c>
      <c r="TR44" s="24" t="str">
        <f t="shared" ca="1" si="121"/>
        <v/>
      </c>
      <c r="TS44" s="24" t="str">
        <f t="shared" ca="1" si="121"/>
        <v/>
      </c>
      <c r="TT44" s="24" t="str">
        <f t="shared" ca="1" si="122"/>
        <v/>
      </c>
      <c r="TU44" s="24" t="str">
        <f t="shared" ca="1" si="122"/>
        <v/>
      </c>
      <c r="TV44" s="24" t="str">
        <f t="shared" ca="1" si="122"/>
        <v/>
      </c>
      <c r="TW44" s="24" t="str">
        <f t="shared" ca="1" si="122"/>
        <v/>
      </c>
      <c r="TX44" s="24" t="str">
        <f t="shared" ca="1" si="122"/>
        <v/>
      </c>
      <c r="TY44" s="24" t="str">
        <f t="shared" ca="1" si="122"/>
        <v/>
      </c>
      <c r="TZ44" s="24" t="str">
        <f t="shared" ca="1" si="122"/>
        <v/>
      </c>
      <c r="UA44" s="24" t="str">
        <f t="shared" ca="1" si="122"/>
        <v/>
      </c>
      <c r="UB44" s="24" t="str">
        <f t="shared" ca="1" si="122"/>
        <v/>
      </c>
      <c r="UC44" s="24" t="str">
        <f t="shared" ca="1" si="122"/>
        <v/>
      </c>
      <c r="UD44" s="24" t="str">
        <f t="shared" ca="1" si="123"/>
        <v/>
      </c>
      <c r="UE44" s="24" t="str">
        <f t="shared" ca="1" si="123"/>
        <v/>
      </c>
      <c r="UF44" s="24" t="str">
        <f t="shared" ca="1" si="123"/>
        <v/>
      </c>
      <c r="UG44" s="24" t="str">
        <f t="shared" ca="1" si="123"/>
        <v/>
      </c>
      <c r="UH44" s="24" t="str">
        <f t="shared" ca="1" si="123"/>
        <v/>
      </c>
      <c r="UI44" s="24" t="str">
        <f t="shared" ca="1" si="123"/>
        <v/>
      </c>
      <c r="UJ44" s="24" t="str">
        <f t="shared" ca="1" si="123"/>
        <v/>
      </c>
      <c r="UK44" s="24" t="str">
        <f t="shared" ca="1" si="123"/>
        <v/>
      </c>
      <c r="UL44" s="24" t="str">
        <f t="shared" ca="1" si="123"/>
        <v/>
      </c>
      <c r="UM44" s="24" t="str">
        <f t="shared" ca="1" si="123"/>
        <v/>
      </c>
      <c r="UN44" s="24" t="str">
        <f t="shared" ca="1" si="124"/>
        <v/>
      </c>
      <c r="UO44" s="24" t="str">
        <f t="shared" ca="1" si="124"/>
        <v/>
      </c>
      <c r="UP44" s="24" t="str">
        <f t="shared" ca="1" si="124"/>
        <v/>
      </c>
      <c r="UQ44" s="24" t="str">
        <f t="shared" ca="1" si="124"/>
        <v/>
      </c>
      <c r="UR44" s="24" t="str">
        <f t="shared" ca="1" si="124"/>
        <v/>
      </c>
      <c r="US44" s="24" t="str">
        <f t="shared" ca="1" si="124"/>
        <v/>
      </c>
      <c r="UT44" s="24" t="str">
        <f t="shared" ca="1" si="124"/>
        <v/>
      </c>
      <c r="UU44" s="24" t="str">
        <f t="shared" ca="1" si="124"/>
        <v/>
      </c>
      <c r="UV44" s="24" t="str">
        <f t="shared" ca="1" si="124"/>
        <v/>
      </c>
      <c r="UW44" s="24" t="str">
        <f t="shared" ca="1" si="124"/>
        <v/>
      </c>
      <c r="UX44" s="24" t="str">
        <f t="shared" ca="1" si="125"/>
        <v/>
      </c>
      <c r="UY44" s="24" t="str">
        <f t="shared" ca="1" si="125"/>
        <v/>
      </c>
      <c r="UZ44" s="24" t="str">
        <f t="shared" ca="1" si="125"/>
        <v/>
      </c>
      <c r="VA44" s="24" t="str">
        <f t="shared" ca="1" si="125"/>
        <v/>
      </c>
      <c r="VB44" s="24" t="str">
        <f t="shared" ca="1" si="125"/>
        <v/>
      </c>
      <c r="VC44" s="24" t="str">
        <f t="shared" ca="1" si="125"/>
        <v/>
      </c>
      <c r="VD44" s="24" t="str">
        <f t="shared" ca="1" si="125"/>
        <v/>
      </c>
      <c r="VE44" s="24" t="str">
        <f t="shared" ca="1" si="125"/>
        <v/>
      </c>
      <c r="VF44" s="24" t="str">
        <f t="shared" ca="1" si="125"/>
        <v/>
      </c>
      <c r="VG44" s="24" t="str">
        <f t="shared" ca="1" si="125"/>
        <v/>
      </c>
      <c r="VH44" s="24" t="str">
        <f t="shared" ca="1" si="126"/>
        <v/>
      </c>
      <c r="VI44" s="24" t="str">
        <f t="shared" ca="1" si="126"/>
        <v/>
      </c>
      <c r="VJ44" s="24" t="str">
        <f t="shared" ca="1" si="126"/>
        <v/>
      </c>
      <c r="VK44" s="24" t="str">
        <f t="shared" ca="1" si="126"/>
        <v/>
      </c>
      <c r="VL44" s="24" t="str">
        <f t="shared" ca="1" si="126"/>
        <v/>
      </c>
      <c r="VM44" s="24" t="str">
        <f t="shared" ca="1" si="126"/>
        <v/>
      </c>
      <c r="VN44" s="24" t="str">
        <f t="shared" ca="1" si="126"/>
        <v/>
      </c>
      <c r="VO44" s="24" t="str">
        <f t="shared" ca="1" si="126"/>
        <v/>
      </c>
      <c r="VP44" s="24" t="str">
        <f t="shared" ca="1" si="126"/>
        <v/>
      </c>
      <c r="VQ44" s="24" t="str">
        <f t="shared" ca="1" si="126"/>
        <v/>
      </c>
      <c r="VR44" s="24" t="str">
        <f t="shared" ca="1" si="126"/>
        <v/>
      </c>
      <c r="VS44" s="24" t="str">
        <f t="shared" ca="1" si="126"/>
        <v/>
      </c>
    </row>
    <row r="45" spans="1:591" s="17" customFormat="1" ht="21.6" customHeight="1" x14ac:dyDescent="0.3">
      <c r="A45" s="81"/>
      <c r="B45" s="56" t="str">
        <f>'CoS Tracker'!$AK$7</f>
        <v>4. DoV Issue Date (Vendor)</v>
      </c>
      <c r="C45" s="19" t="s">
        <v>75</v>
      </c>
      <c r="D45" s="19"/>
      <c r="E45" s="27">
        <v>0.1</v>
      </c>
      <c r="F45" s="26">
        <f>'CoS Tracker'!AK20</f>
        <v>46123</v>
      </c>
      <c r="G45" s="26">
        <f>'CoS Tracker'!AK20</f>
        <v>46123</v>
      </c>
      <c r="H45" s="25">
        <f>Milestones43524[[#This Row],[End]]-Milestones43524[[#This Row],[Start]]</f>
        <v>0</v>
      </c>
      <c r="I45" s="19"/>
      <c r="J45" s="24" t="str">
        <f t="shared" ref="J45:S57" ca="1" si="127">IF(AND($C45="Goal",J$7&gt;=$F45,J$7&lt;=$F45+$H45-1),2,IF(AND($C45="Milestone",J$7&gt;=$F45,J$7&lt;=$F45+$H45-1),1,""))</f>
        <v/>
      </c>
      <c r="K45" s="24" t="str">
        <f t="shared" ca="1" si="127"/>
        <v/>
      </c>
      <c r="L45" s="24" t="str">
        <f t="shared" ca="1" si="127"/>
        <v/>
      </c>
      <c r="M45" s="24" t="str">
        <f t="shared" ca="1" si="127"/>
        <v/>
      </c>
      <c r="N45" s="24" t="str">
        <f t="shared" ca="1" si="127"/>
        <v/>
      </c>
      <c r="O45" s="24" t="str">
        <f t="shared" ca="1" si="127"/>
        <v/>
      </c>
      <c r="P45" s="24" t="str">
        <f t="shared" ca="1" si="127"/>
        <v/>
      </c>
      <c r="Q45" s="24" t="str">
        <f t="shared" ca="1" si="127"/>
        <v/>
      </c>
      <c r="R45" s="24" t="str">
        <f t="shared" ca="1" si="127"/>
        <v/>
      </c>
      <c r="S45" s="24" t="str">
        <f t="shared" ca="1" si="127"/>
        <v/>
      </c>
      <c r="T45" s="24" t="str">
        <f t="shared" ref="T45:AC57" ca="1" si="128">IF(AND($C45="Goal",T$7&gt;=$F45,T$7&lt;=$F45+$H45-1),2,IF(AND($C45="Milestone",T$7&gt;=$F45,T$7&lt;=$F45+$H45-1),1,""))</f>
        <v/>
      </c>
      <c r="U45" s="24" t="str">
        <f t="shared" ca="1" si="128"/>
        <v/>
      </c>
      <c r="V45" s="24" t="str">
        <f t="shared" ca="1" si="128"/>
        <v/>
      </c>
      <c r="W45" s="24" t="str">
        <f t="shared" ca="1" si="128"/>
        <v/>
      </c>
      <c r="X45" s="24" t="str">
        <f t="shared" ca="1" si="128"/>
        <v/>
      </c>
      <c r="Y45" s="24" t="str">
        <f t="shared" ca="1" si="128"/>
        <v/>
      </c>
      <c r="Z45" s="24" t="str">
        <f t="shared" ca="1" si="128"/>
        <v/>
      </c>
      <c r="AA45" s="24" t="str">
        <f t="shared" ca="1" si="128"/>
        <v/>
      </c>
      <c r="AB45" s="24" t="str">
        <f t="shared" ca="1" si="128"/>
        <v/>
      </c>
      <c r="AC45" s="24" t="str">
        <f t="shared" ca="1" si="128"/>
        <v/>
      </c>
      <c r="AD45" s="24" t="str">
        <f t="shared" ref="AD45:AM57" ca="1" si="129">IF(AND($C45="Goal",AD$7&gt;=$F45,AD$7&lt;=$F45+$H45-1),2,IF(AND($C45="Milestone",AD$7&gt;=$F45,AD$7&lt;=$F45+$H45-1),1,""))</f>
        <v/>
      </c>
      <c r="AE45" s="24" t="str">
        <f t="shared" ca="1" si="129"/>
        <v/>
      </c>
      <c r="AF45" s="24" t="str">
        <f t="shared" ca="1" si="129"/>
        <v/>
      </c>
      <c r="AG45" s="24" t="str">
        <f t="shared" ca="1" si="129"/>
        <v/>
      </c>
      <c r="AH45" s="24" t="str">
        <f t="shared" ca="1" si="129"/>
        <v/>
      </c>
      <c r="AI45" s="24" t="str">
        <f t="shared" ca="1" si="129"/>
        <v/>
      </c>
      <c r="AJ45" s="24" t="str">
        <f t="shared" ca="1" si="129"/>
        <v/>
      </c>
      <c r="AK45" s="24" t="str">
        <f t="shared" ca="1" si="129"/>
        <v/>
      </c>
      <c r="AL45" s="24" t="str">
        <f t="shared" ca="1" si="129"/>
        <v/>
      </c>
      <c r="AM45" s="24" t="str">
        <f t="shared" ca="1" si="129"/>
        <v/>
      </c>
      <c r="AN45" s="24" t="str">
        <f t="shared" ref="AN45:AW57" ca="1" si="130">IF(AND($C45="Goal",AN$7&gt;=$F45,AN$7&lt;=$F45+$H45-1),2,IF(AND($C45="Milestone",AN$7&gt;=$F45,AN$7&lt;=$F45+$H45-1),1,""))</f>
        <v/>
      </c>
      <c r="AO45" s="24" t="str">
        <f t="shared" ca="1" si="130"/>
        <v/>
      </c>
      <c r="AP45" s="24" t="str">
        <f t="shared" ca="1" si="130"/>
        <v/>
      </c>
      <c r="AQ45" s="24" t="str">
        <f t="shared" ca="1" si="130"/>
        <v/>
      </c>
      <c r="AR45" s="24" t="str">
        <f t="shared" ca="1" si="130"/>
        <v/>
      </c>
      <c r="AS45" s="24" t="str">
        <f t="shared" ca="1" si="130"/>
        <v/>
      </c>
      <c r="AT45" s="24" t="str">
        <f t="shared" ca="1" si="130"/>
        <v/>
      </c>
      <c r="AU45" s="24" t="str">
        <f t="shared" ca="1" si="130"/>
        <v/>
      </c>
      <c r="AV45" s="24" t="str">
        <f t="shared" ca="1" si="130"/>
        <v/>
      </c>
      <c r="AW45" s="24" t="str">
        <f t="shared" ca="1" si="130"/>
        <v/>
      </c>
      <c r="AX45" s="24" t="str">
        <f t="shared" ref="AX45:BG57" ca="1" si="131">IF(AND($C45="Goal",AX$7&gt;=$F45,AX$7&lt;=$F45+$H45-1),2,IF(AND($C45="Milestone",AX$7&gt;=$F45,AX$7&lt;=$F45+$H45-1),1,""))</f>
        <v/>
      </c>
      <c r="AY45" s="24" t="str">
        <f t="shared" ca="1" si="131"/>
        <v/>
      </c>
      <c r="AZ45" s="24" t="str">
        <f t="shared" ca="1" si="131"/>
        <v/>
      </c>
      <c r="BA45" s="24" t="str">
        <f t="shared" ca="1" si="131"/>
        <v/>
      </c>
      <c r="BB45" s="24" t="str">
        <f t="shared" ca="1" si="131"/>
        <v/>
      </c>
      <c r="BC45" s="24" t="str">
        <f t="shared" ca="1" si="131"/>
        <v/>
      </c>
      <c r="BD45" s="24" t="str">
        <f t="shared" ca="1" si="131"/>
        <v/>
      </c>
      <c r="BE45" s="24" t="str">
        <f t="shared" ca="1" si="131"/>
        <v/>
      </c>
      <c r="BF45" s="24" t="str">
        <f t="shared" ca="1" si="131"/>
        <v/>
      </c>
      <c r="BG45" s="24" t="str">
        <f t="shared" ca="1" si="131"/>
        <v/>
      </c>
      <c r="BH45" s="24" t="str">
        <f t="shared" ref="BH45:BQ57" ca="1" si="132">IF(AND($C45="Goal",BH$7&gt;=$F45,BH$7&lt;=$F45+$H45-1),2,IF(AND($C45="Milestone",BH$7&gt;=$F45,BH$7&lt;=$F45+$H45-1),1,""))</f>
        <v/>
      </c>
      <c r="BI45" s="24" t="str">
        <f t="shared" ca="1" si="132"/>
        <v/>
      </c>
      <c r="BJ45" s="24" t="str">
        <f t="shared" ca="1" si="132"/>
        <v/>
      </c>
      <c r="BK45" s="24" t="str">
        <f t="shared" ca="1" si="132"/>
        <v/>
      </c>
      <c r="BL45" s="24" t="str">
        <f t="shared" ca="1" si="132"/>
        <v/>
      </c>
      <c r="BM45" s="24" t="str">
        <f t="shared" ca="1" si="132"/>
        <v/>
      </c>
      <c r="BN45" s="24" t="str">
        <f t="shared" ca="1" si="132"/>
        <v/>
      </c>
      <c r="BO45" s="24" t="str">
        <f t="shared" ca="1" si="132"/>
        <v/>
      </c>
      <c r="BP45" s="24" t="str">
        <f t="shared" ca="1" si="132"/>
        <v/>
      </c>
      <c r="BQ45" s="24" t="str">
        <f t="shared" ca="1" si="132"/>
        <v/>
      </c>
      <c r="BR45" s="24" t="str">
        <f t="shared" ref="BR45:CA57" ca="1" si="133">IF(AND($C45="Goal",BR$7&gt;=$F45,BR$7&lt;=$F45+$H45-1),2,IF(AND($C45="Milestone",BR$7&gt;=$F45,BR$7&lt;=$F45+$H45-1),1,""))</f>
        <v/>
      </c>
      <c r="BS45" s="24" t="str">
        <f t="shared" ca="1" si="133"/>
        <v/>
      </c>
      <c r="BT45" s="24" t="str">
        <f t="shared" ca="1" si="133"/>
        <v/>
      </c>
      <c r="BU45" s="24" t="str">
        <f t="shared" ca="1" si="133"/>
        <v/>
      </c>
      <c r="BV45" s="24" t="str">
        <f t="shared" ca="1" si="133"/>
        <v/>
      </c>
      <c r="BW45" s="24" t="str">
        <f t="shared" ca="1" si="133"/>
        <v/>
      </c>
      <c r="BX45" s="24" t="str">
        <f t="shared" ca="1" si="133"/>
        <v/>
      </c>
      <c r="BY45" s="24" t="str">
        <f t="shared" ca="1" si="133"/>
        <v/>
      </c>
      <c r="BZ45" s="24" t="str">
        <f t="shared" ca="1" si="133"/>
        <v/>
      </c>
      <c r="CA45" s="24" t="str">
        <f t="shared" ca="1" si="133"/>
        <v/>
      </c>
      <c r="CB45" s="24" t="str">
        <f t="shared" ref="CB45:CK57" ca="1" si="134">IF(AND($C45="Goal",CB$7&gt;=$F45,CB$7&lt;=$F45+$H45-1),2,IF(AND($C45="Milestone",CB$7&gt;=$F45,CB$7&lt;=$F45+$H45-1),1,""))</f>
        <v/>
      </c>
      <c r="CC45" s="24" t="str">
        <f t="shared" ca="1" si="134"/>
        <v/>
      </c>
      <c r="CD45" s="24" t="str">
        <f t="shared" ca="1" si="134"/>
        <v/>
      </c>
      <c r="CE45" s="24" t="str">
        <f t="shared" ca="1" si="134"/>
        <v/>
      </c>
      <c r="CF45" s="24" t="str">
        <f t="shared" ca="1" si="134"/>
        <v/>
      </c>
      <c r="CG45" s="24" t="str">
        <f t="shared" ca="1" si="134"/>
        <v/>
      </c>
      <c r="CH45" s="24" t="str">
        <f t="shared" ca="1" si="134"/>
        <v/>
      </c>
      <c r="CI45" s="24" t="str">
        <f t="shared" ca="1" si="134"/>
        <v/>
      </c>
      <c r="CJ45" s="24" t="str">
        <f t="shared" ca="1" si="134"/>
        <v/>
      </c>
      <c r="CK45" s="24" t="str">
        <f t="shared" ca="1" si="134"/>
        <v/>
      </c>
      <c r="CL45" s="24" t="str">
        <f t="shared" ref="CL45:CU57" ca="1" si="135">IF(AND($C45="Goal",CL$7&gt;=$F45,CL$7&lt;=$F45+$H45-1),2,IF(AND($C45="Milestone",CL$7&gt;=$F45,CL$7&lt;=$F45+$H45-1),1,""))</f>
        <v/>
      </c>
      <c r="CM45" s="24" t="str">
        <f t="shared" ca="1" si="135"/>
        <v/>
      </c>
      <c r="CN45" s="24" t="str">
        <f t="shared" ca="1" si="135"/>
        <v/>
      </c>
      <c r="CO45" s="24" t="str">
        <f t="shared" ca="1" si="135"/>
        <v/>
      </c>
      <c r="CP45" s="24" t="str">
        <f t="shared" ca="1" si="135"/>
        <v/>
      </c>
      <c r="CQ45" s="24" t="str">
        <f t="shared" ca="1" si="135"/>
        <v/>
      </c>
      <c r="CR45" s="24" t="str">
        <f t="shared" ca="1" si="135"/>
        <v/>
      </c>
      <c r="CS45" s="24" t="str">
        <f t="shared" ca="1" si="135"/>
        <v/>
      </c>
      <c r="CT45" s="24" t="str">
        <f t="shared" ca="1" si="135"/>
        <v/>
      </c>
      <c r="CU45" s="24" t="str">
        <f t="shared" ca="1" si="135"/>
        <v/>
      </c>
      <c r="CV45" s="24" t="str">
        <f t="shared" ref="CV45:DE57" ca="1" si="136">IF(AND($C45="Goal",CV$7&gt;=$F45,CV$7&lt;=$F45+$H45-1),2,IF(AND($C45="Milestone",CV$7&gt;=$F45,CV$7&lt;=$F45+$H45-1),1,""))</f>
        <v/>
      </c>
      <c r="CW45" s="24" t="str">
        <f t="shared" ca="1" si="136"/>
        <v/>
      </c>
      <c r="CX45" s="24" t="str">
        <f t="shared" ca="1" si="136"/>
        <v/>
      </c>
      <c r="CY45" s="24" t="str">
        <f t="shared" ca="1" si="136"/>
        <v/>
      </c>
      <c r="CZ45" s="24" t="str">
        <f t="shared" ca="1" si="136"/>
        <v/>
      </c>
      <c r="DA45" s="24" t="str">
        <f t="shared" ca="1" si="136"/>
        <v/>
      </c>
      <c r="DB45" s="24" t="str">
        <f t="shared" ca="1" si="136"/>
        <v/>
      </c>
      <c r="DC45" s="24" t="str">
        <f t="shared" ca="1" si="136"/>
        <v/>
      </c>
      <c r="DD45" s="24" t="str">
        <f t="shared" ca="1" si="136"/>
        <v/>
      </c>
      <c r="DE45" s="24" t="str">
        <f t="shared" ca="1" si="136"/>
        <v/>
      </c>
      <c r="DF45" s="24" t="str">
        <f t="shared" ref="DF45:DO57" ca="1" si="137">IF(AND($C45="Goal",DF$7&gt;=$F45,DF$7&lt;=$F45+$H45-1),2,IF(AND($C45="Milestone",DF$7&gt;=$F45,DF$7&lt;=$F45+$H45-1),1,""))</f>
        <v/>
      </c>
      <c r="DG45" s="24" t="str">
        <f t="shared" ca="1" si="137"/>
        <v/>
      </c>
      <c r="DH45" s="24" t="str">
        <f t="shared" ca="1" si="137"/>
        <v/>
      </c>
      <c r="DI45" s="24" t="str">
        <f t="shared" ca="1" si="137"/>
        <v/>
      </c>
      <c r="DJ45" s="24" t="str">
        <f t="shared" ca="1" si="137"/>
        <v/>
      </c>
      <c r="DK45" s="24" t="str">
        <f t="shared" ca="1" si="137"/>
        <v/>
      </c>
      <c r="DL45" s="24" t="str">
        <f t="shared" ca="1" si="137"/>
        <v/>
      </c>
      <c r="DM45" s="24" t="str">
        <f t="shared" ca="1" si="137"/>
        <v/>
      </c>
      <c r="DN45" s="24" t="str">
        <f t="shared" ca="1" si="137"/>
        <v/>
      </c>
      <c r="DO45" s="24" t="str">
        <f t="shared" ca="1" si="137"/>
        <v/>
      </c>
      <c r="DP45" s="24" t="str">
        <f t="shared" ref="DP45:DY57" ca="1" si="138">IF(AND($C45="Goal",DP$7&gt;=$F45,DP$7&lt;=$F45+$H45-1),2,IF(AND($C45="Milestone",DP$7&gt;=$F45,DP$7&lt;=$F45+$H45-1),1,""))</f>
        <v/>
      </c>
      <c r="DQ45" s="24" t="str">
        <f t="shared" ca="1" si="138"/>
        <v/>
      </c>
      <c r="DR45" s="24" t="str">
        <f t="shared" ca="1" si="138"/>
        <v/>
      </c>
      <c r="DS45" s="24" t="str">
        <f t="shared" ca="1" si="138"/>
        <v/>
      </c>
      <c r="DT45" s="24" t="str">
        <f t="shared" ca="1" si="138"/>
        <v/>
      </c>
      <c r="DU45" s="24" t="str">
        <f t="shared" ca="1" si="138"/>
        <v/>
      </c>
      <c r="DV45" s="24" t="str">
        <f t="shared" ca="1" si="138"/>
        <v/>
      </c>
      <c r="DW45" s="24" t="str">
        <f t="shared" ca="1" si="138"/>
        <v/>
      </c>
      <c r="DX45" s="24" t="str">
        <f t="shared" ca="1" si="138"/>
        <v/>
      </c>
      <c r="DY45" s="24" t="str">
        <f t="shared" ca="1" si="138"/>
        <v/>
      </c>
      <c r="DZ45" s="24" t="str">
        <f t="shared" ref="DZ45:EI57" ca="1" si="139">IF(AND($C45="Goal",DZ$7&gt;=$F45,DZ$7&lt;=$F45+$H45-1),2,IF(AND($C45="Milestone",DZ$7&gt;=$F45,DZ$7&lt;=$F45+$H45-1),1,""))</f>
        <v/>
      </c>
      <c r="EA45" s="24" t="str">
        <f t="shared" ca="1" si="139"/>
        <v/>
      </c>
      <c r="EB45" s="24" t="str">
        <f t="shared" ca="1" si="139"/>
        <v/>
      </c>
      <c r="EC45" s="24" t="str">
        <f t="shared" ca="1" si="139"/>
        <v/>
      </c>
      <c r="ED45" s="24" t="str">
        <f t="shared" ca="1" si="139"/>
        <v/>
      </c>
      <c r="EE45" s="24" t="str">
        <f t="shared" ca="1" si="139"/>
        <v/>
      </c>
      <c r="EF45" s="24" t="str">
        <f t="shared" ca="1" si="139"/>
        <v/>
      </c>
      <c r="EG45" s="24" t="str">
        <f t="shared" ca="1" si="139"/>
        <v/>
      </c>
      <c r="EH45" s="24" t="str">
        <f t="shared" ca="1" si="139"/>
        <v/>
      </c>
      <c r="EI45" s="24" t="str">
        <f t="shared" ca="1" si="139"/>
        <v/>
      </c>
      <c r="EJ45" s="24" t="str">
        <f t="shared" ref="EJ45:ES57" ca="1" si="140">IF(AND($C45="Goal",EJ$7&gt;=$F45,EJ$7&lt;=$F45+$H45-1),2,IF(AND($C45="Milestone",EJ$7&gt;=$F45,EJ$7&lt;=$F45+$H45-1),1,""))</f>
        <v/>
      </c>
      <c r="EK45" s="24" t="str">
        <f t="shared" ca="1" si="140"/>
        <v/>
      </c>
      <c r="EL45" s="24" t="str">
        <f t="shared" ca="1" si="140"/>
        <v/>
      </c>
      <c r="EM45" s="24" t="str">
        <f t="shared" ca="1" si="140"/>
        <v/>
      </c>
      <c r="EN45" s="24" t="str">
        <f t="shared" ca="1" si="140"/>
        <v/>
      </c>
      <c r="EO45" s="24" t="str">
        <f t="shared" ca="1" si="140"/>
        <v/>
      </c>
      <c r="EP45" s="24" t="str">
        <f t="shared" ca="1" si="140"/>
        <v/>
      </c>
      <c r="EQ45" s="24" t="str">
        <f t="shared" ca="1" si="140"/>
        <v/>
      </c>
      <c r="ER45" s="24" t="str">
        <f t="shared" ca="1" si="140"/>
        <v/>
      </c>
      <c r="ES45" s="24" t="str">
        <f t="shared" ca="1" si="140"/>
        <v/>
      </c>
      <c r="ET45" s="24" t="str">
        <f t="shared" ref="ET45:FC57" ca="1" si="141">IF(AND($C45="Goal",ET$7&gt;=$F45,ET$7&lt;=$F45+$H45-1),2,IF(AND($C45="Milestone",ET$7&gt;=$F45,ET$7&lt;=$F45+$H45-1),1,""))</f>
        <v/>
      </c>
      <c r="EU45" s="24" t="str">
        <f t="shared" ca="1" si="141"/>
        <v/>
      </c>
      <c r="EV45" s="24" t="str">
        <f t="shared" ca="1" si="141"/>
        <v/>
      </c>
      <c r="EW45" s="24" t="str">
        <f t="shared" ca="1" si="141"/>
        <v/>
      </c>
      <c r="EX45" s="24" t="str">
        <f t="shared" ca="1" si="141"/>
        <v/>
      </c>
      <c r="EY45" s="24" t="str">
        <f t="shared" ca="1" si="141"/>
        <v/>
      </c>
      <c r="EZ45" s="24" t="str">
        <f t="shared" ca="1" si="141"/>
        <v/>
      </c>
      <c r="FA45" s="24" t="str">
        <f t="shared" ca="1" si="141"/>
        <v/>
      </c>
      <c r="FB45" s="24" t="str">
        <f t="shared" ca="1" si="141"/>
        <v/>
      </c>
      <c r="FC45" s="24" t="str">
        <f t="shared" ca="1" si="141"/>
        <v/>
      </c>
      <c r="FD45" s="24" t="str">
        <f t="shared" ref="FD45:FM57" ca="1" si="142">IF(AND($C45="Goal",FD$7&gt;=$F45,FD$7&lt;=$F45+$H45-1),2,IF(AND($C45="Milestone",FD$7&gt;=$F45,FD$7&lt;=$F45+$H45-1),1,""))</f>
        <v/>
      </c>
      <c r="FE45" s="24" t="str">
        <f t="shared" ca="1" si="142"/>
        <v/>
      </c>
      <c r="FF45" s="24" t="str">
        <f t="shared" ca="1" si="142"/>
        <v/>
      </c>
      <c r="FG45" s="24" t="str">
        <f t="shared" ca="1" si="142"/>
        <v/>
      </c>
      <c r="FH45" s="24" t="str">
        <f t="shared" ca="1" si="142"/>
        <v/>
      </c>
      <c r="FI45" s="24" t="str">
        <f t="shared" ca="1" si="142"/>
        <v/>
      </c>
      <c r="FJ45" s="24" t="str">
        <f t="shared" ca="1" si="142"/>
        <v/>
      </c>
      <c r="FK45" s="24" t="str">
        <f t="shared" ca="1" si="142"/>
        <v/>
      </c>
      <c r="FL45" s="24" t="str">
        <f t="shared" ca="1" si="142"/>
        <v/>
      </c>
      <c r="FM45" s="24" t="str">
        <f t="shared" ca="1" si="142"/>
        <v/>
      </c>
      <c r="FN45" s="24" t="str">
        <f t="shared" ref="FN45:FW57" ca="1" si="143">IF(AND($C45="Goal",FN$7&gt;=$F45,FN$7&lt;=$F45+$H45-1),2,IF(AND($C45="Milestone",FN$7&gt;=$F45,FN$7&lt;=$F45+$H45-1),1,""))</f>
        <v/>
      </c>
      <c r="FO45" s="24" t="str">
        <f t="shared" ca="1" si="143"/>
        <v/>
      </c>
      <c r="FP45" s="24" t="str">
        <f t="shared" ca="1" si="143"/>
        <v/>
      </c>
      <c r="FQ45" s="24" t="str">
        <f t="shared" ca="1" si="143"/>
        <v/>
      </c>
      <c r="FR45" s="24" t="str">
        <f t="shared" ca="1" si="143"/>
        <v/>
      </c>
      <c r="FS45" s="24" t="str">
        <f t="shared" ca="1" si="143"/>
        <v/>
      </c>
      <c r="FT45" s="24" t="str">
        <f t="shared" ca="1" si="143"/>
        <v/>
      </c>
      <c r="FU45" s="24" t="str">
        <f t="shared" ca="1" si="143"/>
        <v/>
      </c>
      <c r="FV45" s="24" t="str">
        <f t="shared" ca="1" si="143"/>
        <v/>
      </c>
      <c r="FW45" s="24" t="str">
        <f t="shared" ca="1" si="143"/>
        <v/>
      </c>
      <c r="FX45" s="24" t="str">
        <f t="shared" ref="FX45:GG57" ca="1" si="144">IF(AND($C45="Goal",FX$7&gt;=$F45,FX$7&lt;=$F45+$H45-1),2,IF(AND($C45="Milestone",FX$7&gt;=$F45,FX$7&lt;=$F45+$H45-1),1,""))</f>
        <v/>
      </c>
      <c r="FY45" s="24" t="str">
        <f t="shared" ca="1" si="144"/>
        <v/>
      </c>
      <c r="FZ45" s="24" t="str">
        <f t="shared" ca="1" si="144"/>
        <v/>
      </c>
      <c r="GA45" s="24" t="str">
        <f t="shared" ca="1" si="144"/>
        <v/>
      </c>
      <c r="GB45" s="24" t="str">
        <f t="shared" ca="1" si="144"/>
        <v/>
      </c>
      <c r="GC45" s="24" t="str">
        <f t="shared" ca="1" si="144"/>
        <v/>
      </c>
      <c r="GD45" s="24" t="str">
        <f t="shared" ca="1" si="144"/>
        <v/>
      </c>
      <c r="GE45" s="24" t="str">
        <f t="shared" ca="1" si="144"/>
        <v/>
      </c>
      <c r="GF45" s="24" t="str">
        <f t="shared" ca="1" si="144"/>
        <v/>
      </c>
      <c r="GG45" s="24" t="str">
        <f t="shared" ca="1" si="144"/>
        <v/>
      </c>
      <c r="GH45" s="24" t="str">
        <f t="shared" ref="GH45:GQ57" ca="1" si="145">IF(AND($C45="Goal",GH$7&gt;=$F45,GH$7&lt;=$F45+$H45-1),2,IF(AND($C45="Milestone",GH$7&gt;=$F45,GH$7&lt;=$F45+$H45-1),1,""))</f>
        <v/>
      </c>
      <c r="GI45" s="24" t="str">
        <f t="shared" ca="1" si="145"/>
        <v/>
      </c>
      <c r="GJ45" s="24" t="str">
        <f t="shared" ca="1" si="145"/>
        <v/>
      </c>
      <c r="GK45" s="24" t="str">
        <f t="shared" ca="1" si="145"/>
        <v/>
      </c>
      <c r="GL45" s="24" t="str">
        <f t="shared" ca="1" si="145"/>
        <v/>
      </c>
      <c r="GM45" s="24" t="str">
        <f t="shared" ca="1" si="145"/>
        <v/>
      </c>
      <c r="GN45" s="24" t="str">
        <f t="shared" ca="1" si="145"/>
        <v/>
      </c>
      <c r="GO45" s="24" t="str">
        <f t="shared" ca="1" si="145"/>
        <v/>
      </c>
      <c r="GP45" s="24" t="str">
        <f t="shared" ca="1" si="145"/>
        <v/>
      </c>
      <c r="GQ45" s="24" t="str">
        <f t="shared" ca="1" si="145"/>
        <v/>
      </c>
      <c r="GR45" s="24" t="str">
        <f t="shared" ref="GR45:HA57" ca="1" si="146">IF(AND($C45="Goal",GR$7&gt;=$F45,GR$7&lt;=$F45+$H45-1),2,IF(AND($C45="Milestone",GR$7&gt;=$F45,GR$7&lt;=$F45+$H45-1),1,""))</f>
        <v/>
      </c>
      <c r="GS45" s="24" t="str">
        <f t="shared" ca="1" si="146"/>
        <v/>
      </c>
      <c r="GT45" s="24" t="str">
        <f t="shared" ca="1" si="146"/>
        <v/>
      </c>
      <c r="GU45" s="24" t="str">
        <f t="shared" ca="1" si="146"/>
        <v/>
      </c>
      <c r="GV45" s="24" t="str">
        <f t="shared" ca="1" si="146"/>
        <v/>
      </c>
      <c r="GW45" s="24" t="str">
        <f t="shared" ca="1" si="146"/>
        <v/>
      </c>
      <c r="GX45" s="24" t="str">
        <f t="shared" ca="1" si="146"/>
        <v/>
      </c>
      <c r="GY45" s="24" t="str">
        <f t="shared" ca="1" si="146"/>
        <v/>
      </c>
      <c r="GZ45" s="24" t="str">
        <f t="shared" ca="1" si="146"/>
        <v/>
      </c>
      <c r="HA45" s="24" t="str">
        <f t="shared" ca="1" si="146"/>
        <v/>
      </c>
      <c r="HB45" s="24" t="str">
        <f t="shared" ref="HB45:HK57" ca="1" si="147">IF(AND($C45="Goal",HB$7&gt;=$F45,HB$7&lt;=$F45+$H45-1),2,IF(AND($C45="Milestone",HB$7&gt;=$F45,HB$7&lt;=$F45+$H45-1),1,""))</f>
        <v/>
      </c>
      <c r="HC45" s="24" t="str">
        <f t="shared" ca="1" si="147"/>
        <v/>
      </c>
      <c r="HD45" s="24" t="str">
        <f t="shared" ca="1" si="147"/>
        <v/>
      </c>
      <c r="HE45" s="24" t="str">
        <f t="shared" ca="1" si="147"/>
        <v/>
      </c>
      <c r="HF45" s="24" t="str">
        <f t="shared" ca="1" si="147"/>
        <v/>
      </c>
      <c r="HG45" s="24" t="str">
        <f t="shared" ca="1" si="147"/>
        <v/>
      </c>
      <c r="HH45" s="24" t="str">
        <f t="shared" ca="1" si="147"/>
        <v/>
      </c>
      <c r="HI45" s="24" t="str">
        <f t="shared" ca="1" si="147"/>
        <v/>
      </c>
      <c r="HJ45" s="24" t="str">
        <f t="shared" ca="1" si="147"/>
        <v/>
      </c>
      <c r="HK45" s="24" t="str">
        <f t="shared" ca="1" si="147"/>
        <v/>
      </c>
      <c r="HL45" s="24" t="str">
        <f t="shared" ref="HL45:HU57" ca="1" si="148">IF(AND($C45="Goal",HL$7&gt;=$F45,HL$7&lt;=$F45+$H45-1),2,IF(AND($C45="Milestone",HL$7&gt;=$F45,HL$7&lt;=$F45+$H45-1),1,""))</f>
        <v/>
      </c>
      <c r="HM45" s="24" t="str">
        <f t="shared" ca="1" si="148"/>
        <v/>
      </c>
      <c r="HN45" s="24" t="str">
        <f t="shared" ca="1" si="148"/>
        <v/>
      </c>
      <c r="HO45" s="24" t="str">
        <f t="shared" ca="1" si="148"/>
        <v/>
      </c>
      <c r="HP45" s="24" t="str">
        <f t="shared" ca="1" si="148"/>
        <v/>
      </c>
      <c r="HQ45" s="24" t="str">
        <f t="shared" ca="1" si="148"/>
        <v/>
      </c>
      <c r="HR45" s="24" t="str">
        <f t="shared" ca="1" si="148"/>
        <v/>
      </c>
      <c r="HS45" s="24" t="str">
        <f t="shared" ca="1" si="148"/>
        <v/>
      </c>
      <c r="HT45" s="24" t="str">
        <f t="shared" ca="1" si="148"/>
        <v/>
      </c>
      <c r="HU45" s="24" t="str">
        <f t="shared" ca="1" si="148"/>
        <v/>
      </c>
      <c r="HV45" s="24" t="str">
        <f t="shared" ref="HV45:IE57" ca="1" si="149">IF(AND($C45="Goal",HV$7&gt;=$F45,HV$7&lt;=$F45+$H45-1),2,IF(AND($C45="Milestone",HV$7&gt;=$F45,HV$7&lt;=$F45+$H45-1),1,""))</f>
        <v/>
      </c>
      <c r="HW45" s="24" t="str">
        <f t="shared" ca="1" si="149"/>
        <v/>
      </c>
      <c r="HX45" s="24" t="str">
        <f t="shared" ca="1" si="149"/>
        <v/>
      </c>
      <c r="HY45" s="24" t="str">
        <f t="shared" ca="1" si="149"/>
        <v/>
      </c>
      <c r="HZ45" s="24" t="str">
        <f t="shared" ca="1" si="149"/>
        <v/>
      </c>
      <c r="IA45" s="24" t="str">
        <f t="shared" ca="1" si="149"/>
        <v/>
      </c>
      <c r="IB45" s="24" t="str">
        <f t="shared" ca="1" si="149"/>
        <v/>
      </c>
      <c r="IC45" s="24" t="str">
        <f t="shared" ca="1" si="149"/>
        <v/>
      </c>
      <c r="ID45" s="24" t="str">
        <f t="shared" ca="1" si="149"/>
        <v/>
      </c>
      <c r="IE45" s="24" t="str">
        <f t="shared" ca="1" si="149"/>
        <v/>
      </c>
      <c r="IF45" s="24" t="str">
        <f t="shared" ref="IF45:IO57" ca="1" si="150">IF(AND($C45="Goal",IF$7&gt;=$F45,IF$7&lt;=$F45+$H45-1),2,IF(AND($C45="Milestone",IF$7&gt;=$F45,IF$7&lt;=$F45+$H45-1),1,""))</f>
        <v/>
      </c>
      <c r="IG45" s="24" t="str">
        <f t="shared" ca="1" si="150"/>
        <v/>
      </c>
      <c r="IH45" s="24" t="str">
        <f t="shared" ca="1" si="150"/>
        <v/>
      </c>
      <c r="II45" s="24" t="str">
        <f t="shared" ca="1" si="150"/>
        <v/>
      </c>
      <c r="IJ45" s="24" t="str">
        <f t="shared" ca="1" si="150"/>
        <v/>
      </c>
      <c r="IK45" s="24" t="str">
        <f t="shared" ca="1" si="150"/>
        <v/>
      </c>
      <c r="IL45" s="24" t="str">
        <f t="shared" ca="1" si="150"/>
        <v/>
      </c>
      <c r="IM45" s="24" t="str">
        <f t="shared" ca="1" si="150"/>
        <v/>
      </c>
      <c r="IN45" s="24" t="str">
        <f t="shared" ca="1" si="150"/>
        <v/>
      </c>
      <c r="IO45" s="24" t="str">
        <f t="shared" ca="1" si="150"/>
        <v/>
      </c>
      <c r="IP45" s="24" t="str">
        <f t="shared" ref="IP45:IY57" ca="1" si="151">IF(AND($C45="Goal",IP$7&gt;=$F45,IP$7&lt;=$F45+$H45-1),2,IF(AND($C45="Milestone",IP$7&gt;=$F45,IP$7&lt;=$F45+$H45-1),1,""))</f>
        <v/>
      </c>
      <c r="IQ45" s="24" t="str">
        <f t="shared" ca="1" si="151"/>
        <v/>
      </c>
      <c r="IR45" s="24" t="str">
        <f t="shared" ca="1" si="151"/>
        <v/>
      </c>
      <c r="IS45" s="24" t="str">
        <f t="shared" ca="1" si="151"/>
        <v/>
      </c>
      <c r="IT45" s="24" t="str">
        <f t="shared" ca="1" si="151"/>
        <v/>
      </c>
      <c r="IU45" s="24" t="str">
        <f t="shared" ca="1" si="151"/>
        <v/>
      </c>
      <c r="IV45" s="24" t="str">
        <f t="shared" ca="1" si="151"/>
        <v/>
      </c>
      <c r="IW45" s="24" t="str">
        <f t="shared" ca="1" si="151"/>
        <v/>
      </c>
      <c r="IX45" s="24" t="str">
        <f t="shared" ca="1" si="151"/>
        <v/>
      </c>
      <c r="IY45" s="24" t="str">
        <f t="shared" ca="1" si="151"/>
        <v/>
      </c>
      <c r="IZ45" s="24" t="str">
        <f t="shared" ref="IZ45:JI57" ca="1" si="152">IF(AND($C45="Goal",IZ$7&gt;=$F45,IZ$7&lt;=$F45+$H45-1),2,IF(AND($C45="Milestone",IZ$7&gt;=$F45,IZ$7&lt;=$F45+$H45-1),1,""))</f>
        <v/>
      </c>
      <c r="JA45" s="24" t="str">
        <f t="shared" ca="1" si="152"/>
        <v/>
      </c>
      <c r="JB45" s="24" t="str">
        <f t="shared" ca="1" si="152"/>
        <v/>
      </c>
      <c r="JC45" s="24" t="str">
        <f t="shared" ca="1" si="152"/>
        <v/>
      </c>
      <c r="JD45" s="24" t="str">
        <f t="shared" ca="1" si="152"/>
        <v/>
      </c>
      <c r="JE45" s="24" t="str">
        <f t="shared" ca="1" si="152"/>
        <v/>
      </c>
      <c r="JF45" s="24" t="str">
        <f t="shared" ca="1" si="152"/>
        <v/>
      </c>
      <c r="JG45" s="24" t="str">
        <f t="shared" ca="1" si="152"/>
        <v/>
      </c>
      <c r="JH45" s="24" t="str">
        <f t="shared" ca="1" si="152"/>
        <v/>
      </c>
      <c r="JI45" s="24" t="str">
        <f t="shared" ca="1" si="152"/>
        <v/>
      </c>
      <c r="JJ45" s="24" t="str">
        <f t="shared" ref="JJ45:JS57" ca="1" si="153">IF(AND($C45="Goal",JJ$7&gt;=$F45,JJ$7&lt;=$F45+$H45-1),2,IF(AND($C45="Milestone",JJ$7&gt;=$F45,JJ$7&lt;=$F45+$H45-1),1,""))</f>
        <v/>
      </c>
      <c r="JK45" s="24" t="str">
        <f t="shared" ca="1" si="153"/>
        <v/>
      </c>
      <c r="JL45" s="24" t="str">
        <f t="shared" ca="1" si="153"/>
        <v/>
      </c>
      <c r="JM45" s="24" t="str">
        <f t="shared" ca="1" si="153"/>
        <v/>
      </c>
      <c r="JN45" s="24" t="str">
        <f t="shared" ca="1" si="153"/>
        <v/>
      </c>
      <c r="JO45" s="24" t="str">
        <f t="shared" ca="1" si="153"/>
        <v/>
      </c>
      <c r="JP45" s="24" t="str">
        <f t="shared" ca="1" si="153"/>
        <v/>
      </c>
      <c r="JQ45" s="24" t="str">
        <f t="shared" ca="1" si="153"/>
        <v/>
      </c>
      <c r="JR45" s="24" t="str">
        <f t="shared" ca="1" si="153"/>
        <v/>
      </c>
      <c r="JS45" s="24" t="str">
        <f t="shared" ca="1" si="153"/>
        <v/>
      </c>
      <c r="JT45" s="24" t="str">
        <f t="shared" ref="JT45:KC57" ca="1" si="154">IF(AND($C45="Goal",JT$7&gt;=$F45,JT$7&lt;=$F45+$H45-1),2,IF(AND($C45="Milestone",JT$7&gt;=$F45,JT$7&lt;=$F45+$H45-1),1,""))</f>
        <v/>
      </c>
      <c r="JU45" s="24" t="str">
        <f t="shared" ca="1" si="154"/>
        <v/>
      </c>
      <c r="JV45" s="24" t="str">
        <f t="shared" ca="1" si="154"/>
        <v/>
      </c>
      <c r="JW45" s="24" t="str">
        <f t="shared" ca="1" si="154"/>
        <v/>
      </c>
      <c r="JX45" s="24" t="str">
        <f t="shared" ca="1" si="154"/>
        <v/>
      </c>
      <c r="JY45" s="24" t="str">
        <f t="shared" ca="1" si="154"/>
        <v/>
      </c>
      <c r="JZ45" s="24" t="str">
        <f t="shared" ca="1" si="154"/>
        <v/>
      </c>
      <c r="KA45" s="24" t="str">
        <f t="shared" ca="1" si="154"/>
        <v/>
      </c>
      <c r="KB45" s="24" t="str">
        <f t="shared" ca="1" si="154"/>
        <v/>
      </c>
      <c r="KC45" s="24" t="str">
        <f t="shared" ca="1" si="154"/>
        <v/>
      </c>
      <c r="KD45" s="24" t="str">
        <f t="shared" ref="KD45:KM57" ca="1" si="155">IF(AND($C45="Goal",KD$7&gt;=$F45,KD$7&lt;=$F45+$H45-1),2,IF(AND($C45="Milestone",KD$7&gt;=$F45,KD$7&lt;=$F45+$H45-1),1,""))</f>
        <v/>
      </c>
      <c r="KE45" s="24" t="str">
        <f t="shared" ca="1" si="155"/>
        <v/>
      </c>
      <c r="KF45" s="24" t="str">
        <f t="shared" ca="1" si="155"/>
        <v/>
      </c>
      <c r="KG45" s="24" t="str">
        <f t="shared" ca="1" si="155"/>
        <v/>
      </c>
      <c r="KH45" s="24" t="str">
        <f t="shared" ca="1" si="155"/>
        <v/>
      </c>
      <c r="KI45" s="24" t="str">
        <f t="shared" ca="1" si="155"/>
        <v/>
      </c>
      <c r="KJ45" s="24" t="str">
        <f t="shared" ca="1" si="155"/>
        <v/>
      </c>
      <c r="KK45" s="24" t="str">
        <f t="shared" ca="1" si="155"/>
        <v/>
      </c>
      <c r="KL45" s="24" t="str">
        <f t="shared" ca="1" si="155"/>
        <v/>
      </c>
      <c r="KM45" s="24" t="str">
        <f t="shared" ca="1" si="155"/>
        <v/>
      </c>
      <c r="KN45" s="24" t="str">
        <f t="shared" ref="KN45:KW57" ca="1" si="156">IF(AND($C45="Goal",KN$7&gt;=$F45,KN$7&lt;=$F45+$H45-1),2,IF(AND($C45="Milestone",KN$7&gt;=$F45,KN$7&lt;=$F45+$H45-1),1,""))</f>
        <v/>
      </c>
      <c r="KO45" s="24" t="str">
        <f t="shared" ca="1" si="156"/>
        <v/>
      </c>
      <c r="KP45" s="24" t="str">
        <f t="shared" ca="1" si="156"/>
        <v/>
      </c>
      <c r="KQ45" s="24" t="str">
        <f t="shared" ca="1" si="156"/>
        <v/>
      </c>
      <c r="KR45" s="24" t="str">
        <f t="shared" ca="1" si="156"/>
        <v/>
      </c>
      <c r="KS45" s="24" t="str">
        <f t="shared" ca="1" si="156"/>
        <v/>
      </c>
      <c r="KT45" s="24" t="str">
        <f t="shared" ca="1" si="156"/>
        <v/>
      </c>
      <c r="KU45" s="24" t="str">
        <f t="shared" ca="1" si="156"/>
        <v/>
      </c>
      <c r="KV45" s="24" t="str">
        <f t="shared" ca="1" si="156"/>
        <v/>
      </c>
      <c r="KW45" s="24" t="str">
        <f t="shared" ca="1" si="156"/>
        <v/>
      </c>
      <c r="KX45" s="24" t="str">
        <f t="shared" ref="KX45:LG57" ca="1" si="157">IF(AND($C45="Goal",KX$7&gt;=$F45,KX$7&lt;=$F45+$H45-1),2,IF(AND($C45="Milestone",KX$7&gt;=$F45,KX$7&lt;=$F45+$H45-1),1,""))</f>
        <v/>
      </c>
      <c r="KY45" s="24" t="str">
        <f t="shared" ca="1" si="157"/>
        <v/>
      </c>
      <c r="KZ45" s="24" t="str">
        <f t="shared" ca="1" si="157"/>
        <v/>
      </c>
      <c r="LA45" s="24" t="str">
        <f t="shared" ca="1" si="157"/>
        <v/>
      </c>
      <c r="LB45" s="24" t="str">
        <f t="shared" ca="1" si="157"/>
        <v/>
      </c>
      <c r="LC45" s="24" t="str">
        <f t="shared" ca="1" si="157"/>
        <v/>
      </c>
      <c r="LD45" s="24" t="str">
        <f t="shared" ca="1" si="157"/>
        <v/>
      </c>
      <c r="LE45" s="24" t="str">
        <f t="shared" ca="1" si="157"/>
        <v/>
      </c>
      <c r="LF45" s="24" t="str">
        <f t="shared" ca="1" si="157"/>
        <v/>
      </c>
      <c r="LG45" s="24" t="str">
        <f t="shared" ca="1" si="157"/>
        <v/>
      </c>
      <c r="LH45" s="24" t="str">
        <f t="shared" ref="LH45:LQ57" ca="1" si="158">IF(AND($C45="Goal",LH$7&gt;=$F45,LH$7&lt;=$F45+$H45-1),2,IF(AND($C45="Milestone",LH$7&gt;=$F45,LH$7&lt;=$F45+$H45-1),1,""))</f>
        <v/>
      </c>
      <c r="LI45" s="24" t="str">
        <f t="shared" ca="1" si="158"/>
        <v/>
      </c>
      <c r="LJ45" s="24" t="str">
        <f t="shared" ca="1" si="158"/>
        <v/>
      </c>
      <c r="LK45" s="24" t="str">
        <f t="shared" ca="1" si="158"/>
        <v/>
      </c>
      <c r="LL45" s="24" t="str">
        <f t="shared" ca="1" si="158"/>
        <v/>
      </c>
      <c r="LM45" s="24" t="str">
        <f t="shared" ca="1" si="158"/>
        <v/>
      </c>
      <c r="LN45" s="24" t="str">
        <f t="shared" ca="1" si="158"/>
        <v/>
      </c>
      <c r="LO45" s="24" t="str">
        <f t="shared" ca="1" si="158"/>
        <v/>
      </c>
      <c r="LP45" s="24" t="str">
        <f t="shared" ca="1" si="158"/>
        <v/>
      </c>
      <c r="LQ45" s="24" t="str">
        <f t="shared" ca="1" si="158"/>
        <v/>
      </c>
      <c r="LR45" s="24" t="str">
        <f t="shared" ref="LR45:MA57" ca="1" si="159">IF(AND($C45="Goal",LR$7&gt;=$F45,LR$7&lt;=$F45+$H45-1),2,IF(AND($C45="Milestone",LR$7&gt;=$F45,LR$7&lt;=$F45+$H45-1),1,""))</f>
        <v/>
      </c>
      <c r="LS45" s="24" t="str">
        <f t="shared" ca="1" si="159"/>
        <v/>
      </c>
      <c r="LT45" s="24" t="str">
        <f t="shared" ca="1" si="159"/>
        <v/>
      </c>
      <c r="LU45" s="24" t="str">
        <f t="shared" ca="1" si="159"/>
        <v/>
      </c>
      <c r="LV45" s="24" t="str">
        <f t="shared" ca="1" si="159"/>
        <v/>
      </c>
      <c r="LW45" s="24" t="str">
        <f t="shared" ca="1" si="159"/>
        <v/>
      </c>
      <c r="LX45" s="24" t="str">
        <f t="shared" ca="1" si="159"/>
        <v/>
      </c>
      <c r="LY45" s="24" t="str">
        <f t="shared" ca="1" si="159"/>
        <v/>
      </c>
      <c r="LZ45" s="24" t="str">
        <f t="shared" ca="1" si="159"/>
        <v/>
      </c>
      <c r="MA45" s="24" t="str">
        <f t="shared" ca="1" si="159"/>
        <v/>
      </c>
      <c r="MB45" s="24" t="str">
        <f t="shared" ref="MB45:MK57" ca="1" si="160">IF(AND($C45="Goal",MB$7&gt;=$F45,MB$7&lt;=$F45+$H45-1),2,IF(AND($C45="Milestone",MB$7&gt;=$F45,MB$7&lt;=$F45+$H45-1),1,""))</f>
        <v/>
      </c>
      <c r="MC45" s="24" t="str">
        <f t="shared" ca="1" si="160"/>
        <v/>
      </c>
      <c r="MD45" s="24" t="str">
        <f t="shared" ca="1" si="160"/>
        <v/>
      </c>
      <c r="ME45" s="24" t="str">
        <f t="shared" ca="1" si="160"/>
        <v/>
      </c>
      <c r="MF45" s="24" t="str">
        <f t="shared" ca="1" si="160"/>
        <v/>
      </c>
      <c r="MG45" s="24" t="str">
        <f t="shared" ca="1" si="160"/>
        <v/>
      </c>
      <c r="MH45" s="24" t="str">
        <f t="shared" ca="1" si="160"/>
        <v/>
      </c>
      <c r="MI45" s="24" t="str">
        <f t="shared" ca="1" si="160"/>
        <v/>
      </c>
      <c r="MJ45" s="24" t="str">
        <f t="shared" ca="1" si="160"/>
        <v/>
      </c>
      <c r="MK45" s="24" t="str">
        <f t="shared" ca="1" si="160"/>
        <v/>
      </c>
      <c r="ML45" s="24" t="str">
        <f t="shared" ref="ML45:MU57" ca="1" si="161">IF(AND($C45="Goal",ML$7&gt;=$F45,ML$7&lt;=$F45+$H45-1),2,IF(AND($C45="Milestone",ML$7&gt;=$F45,ML$7&lt;=$F45+$H45-1),1,""))</f>
        <v/>
      </c>
      <c r="MM45" s="24" t="str">
        <f t="shared" ca="1" si="161"/>
        <v/>
      </c>
      <c r="MN45" s="24" t="str">
        <f t="shared" ca="1" si="161"/>
        <v/>
      </c>
      <c r="MO45" s="24" t="str">
        <f t="shared" ca="1" si="161"/>
        <v/>
      </c>
      <c r="MP45" s="24" t="str">
        <f t="shared" ca="1" si="161"/>
        <v/>
      </c>
      <c r="MQ45" s="24" t="str">
        <f t="shared" ca="1" si="161"/>
        <v/>
      </c>
      <c r="MR45" s="24" t="str">
        <f t="shared" ca="1" si="161"/>
        <v/>
      </c>
      <c r="MS45" s="24" t="str">
        <f t="shared" ca="1" si="161"/>
        <v/>
      </c>
      <c r="MT45" s="24" t="str">
        <f t="shared" ca="1" si="161"/>
        <v/>
      </c>
      <c r="MU45" s="24" t="str">
        <f t="shared" ca="1" si="161"/>
        <v/>
      </c>
      <c r="MV45" s="24" t="str">
        <f t="shared" ref="MV45:NE57" ca="1" si="162">IF(AND($C45="Goal",MV$7&gt;=$F45,MV$7&lt;=$F45+$H45-1),2,IF(AND($C45="Milestone",MV$7&gt;=$F45,MV$7&lt;=$F45+$H45-1),1,""))</f>
        <v/>
      </c>
      <c r="MW45" s="24" t="str">
        <f t="shared" ca="1" si="162"/>
        <v/>
      </c>
      <c r="MX45" s="24" t="str">
        <f t="shared" ca="1" si="162"/>
        <v/>
      </c>
      <c r="MY45" s="24" t="str">
        <f t="shared" ca="1" si="162"/>
        <v/>
      </c>
      <c r="MZ45" s="24" t="str">
        <f t="shared" ca="1" si="162"/>
        <v/>
      </c>
      <c r="NA45" s="24" t="str">
        <f t="shared" ca="1" si="162"/>
        <v/>
      </c>
      <c r="NB45" s="24" t="str">
        <f t="shared" ca="1" si="162"/>
        <v/>
      </c>
      <c r="NC45" s="24" t="str">
        <f t="shared" ca="1" si="162"/>
        <v/>
      </c>
      <c r="ND45" s="24" t="str">
        <f t="shared" ca="1" si="162"/>
        <v/>
      </c>
      <c r="NE45" s="24" t="str">
        <f t="shared" ca="1" si="162"/>
        <v/>
      </c>
      <c r="NF45" s="24" t="str">
        <f t="shared" ref="NF45:NO57" ca="1" si="163">IF(AND($C45="Goal",NF$7&gt;=$F45,NF$7&lt;=$F45+$H45-1),2,IF(AND($C45="Milestone",NF$7&gt;=$F45,NF$7&lt;=$F45+$H45-1),1,""))</f>
        <v/>
      </c>
      <c r="NG45" s="24" t="str">
        <f t="shared" ca="1" si="163"/>
        <v/>
      </c>
      <c r="NH45" s="24" t="str">
        <f t="shared" ca="1" si="163"/>
        <v/>
      </c>
      <c r="NI45" s="24" t="str">
        <f t="shared" ca="1" si="163"/>
        <v/>
      </c>
      <c r="NJ45" s="24" t="str">
        <f t="shared" ca="1" si="163"/>
        <v/>
      </c>
      <c r="NK45" s="24" t="str">
        <f t="shared" ca="1" si="163"/>
        <v/>
      </c>
      <c r="NL45" s="24" t="str">
        <f t="shared" ca="1" si="163"/>
        <v/>
      </c>
      <c r="NM45" s="24" t="str">
        <f t="shared" ca="1" si="163"/>
        <v/>
      </c>
      <c r="NN45" s="24" t="str">
        <f t="shared" ca="1" si="163"/>
        <v/>
      </c>
      <c r="NO45" s="24" t="str">
        <f t="shared" ca="1" si="163"/>
        <v/>
      </c>
      <c r="NP45" s="24" t="str">
        <f t="shared" ref="NP45:NY57" ca="1" si="164">IF(AND($C45="Goal",NP$7&gt;=$F45,NP$7&lt;=$F45+$H45-1),2,IF(AND($C45="Milestone",NP$7&gt;=$F45,NP$7&lt;=$F45+$H45-1),1,""))</f>
        <v/>
      </c>
      <c r="NQ45" s="24" t="str">
        <f t="shared" ca="1" si="164"/>
        <v/>
      </c>
      <c r="NR45" s="24" t="str">
        <f t="shared" ca="1" si="164"/>
        <v/>
      </c>
      <c r="NS45" s="24" t="str">
        <f t="shared" ca="1" si="164"/>
        <v/>
      </c>
      <c r="NT45" s="24" t="str">
        <f t="shared" ca="1" si="164"/>
        <v/>
      </c>
      <c r="NU45" s="24" t="str">
        <f t="shared" ca="1" si="164"/>
        <v/>
      </c>
      <c r="NV45" s="24" t="str">
        <f t="shared" ca="1" si="164"/>
        <v/>
      </c>
      <c r="NW45" s="24" t="str">
        <f t="shared" ca="1" si="164"/>
        <v/>
      </c>
      <c r="NX45" s="24" t="str">
        <f t="shared" ca="1" si="164"/>
        <v/>
      </c>
      <c r="NY45" s="24" t="str">
        <f t="shared" ca="1" si="164"/>
        <v/>
      </c>
      <c r="NZ45" s="24" t="str">
        <f t="shared" ref="NZ45:OI57" ca="1" si="165">IF(AND($C45="Goal",NZ$7&gt;=$F45,NZ$7&lt;=$F45+$H45-1),2,IF(AND($C45="Milestone",NZ$7&gt;=$F45,NZ$7&lt;=$F45+$H45-1),1,""))</f>
        <v/>
      </c>
      <c r="OA45" s="24" t="str">
        <f t="shared" ca="1" si="165"/>
        <v/>
      </c>
      <c r="OB45" s="24" t="str">
        <f t="shared" ca="1" si="165"/>
        <v/>
      </c>
      <c r="OC45" s="24" t="str">
        <f t="shared" ca="1" si="165"/>
        <v/>
      </c>
      <c r="OD45" s="24" t="str">
        <f t="shared" ca="1" si="165"/>
        <v/>
      </c>
      <c r="OE45" s="24" t="str">
        <f t="shared" ca="1" si="165"/>
        <v/>
      </c>
      <c r="OF45" s="24" t="str">
        <f t="shared" ca="1" si="165"/>
        <v/>
      </c>
      <c r="OG45" s="24" t="str">
        <f t="shared" ca="1" si="165"/>
        <v/>
      </c>
      <c r="OH45" s="24" t="str">
        <f t="shared" ca="1" si="165"/>
        <v/>
      </c>
      <c r="OI45" s="24" t="str">
        <f t="shared" ca="1" si="165"/>
        <v/>
      </c>
      <c r="OJ45" s="24" t="str">
        <f t="shared" ref="OJ45:OS57" ca="1" si="166">IF(AND($C45="Goal",OJ$7&gt;=$F45,OJ$7&lt;=$F45+$H45-1),2,IF(AND($C45="Milestone",OJ$7&gt;=$F45,OJ$7&lt;=$F45+$H45-1),1,""))</f>
        <v/>
      </c>
      <c r="OK45" s="24" t="str">
        <f t="shared" ca="1" si="166"/>
        <v/>
      </c>
      <c r="OL45" s="24" t="str">
        <f t="shared" ca="1" si="166"/>
        <v/>
      </c>
      <c r="OM45" s="24" t="str">
        <f t="shared" ca="1" si="166"/>
        <v/>
      </c>
      <c r="ON45" s="24" t="str">
        <f t="shared" ca="1" si="166"/>
        <v/>
      </c>
      <c r="OO45" s="24" t="str">
        <f t="shared" ca="1" si="166"/>
        <v/>
      </c>
      <c r="OP45" s="24" t="str">
        <f t="shared" ca="1" si="166"/>
        <v/>
      </c>
      <c r="OQ45" s="24" t="str">
        <f t="shared" ca="1" si="166"/>
        <v/>
      </c>
      <c r="OR45" s="24" t="str">
        <f t="shared" ca="1" si="166"/>
        <v/>
      </c>
      <c r="OS45" s="24" t="str">
        <f t="shared" ca="1" si="166"/>
        <v/>
      </c>
      <c r="OT45" s="24" t="str">
        <f t="shared" ref="OT45:PC57" ca="1" si="167">IF(AND($C45="Goal",OT$7&gt;=$F45,OT$7&lt;=$F45+$H45-1),2,IF(AND($C45="Milestone",OT$7&gt;=$F45,OT$7&lt;=$F45+$H45-1),1,""))</f>
        <v/>
      </c>
      <c r="OU45" s="24" t="str">
        <f t="shared" ca="1" si="167"/>
        <v/>
      </c>
      <c r="OV45" s="24" t="str">
        <f t="shared" ca="1" si="167"/>
        <v/>
      </c>
      <c r="OW45" s="24" t="str">
        <f t="shared" ca="1" si="167"/>
        <v/>
      </c>
      <c r="OX45" s="24" t="str">
        <f t="shared" ca="1" si="167"/>
        <v/>
      </c>
      <c r="OY45" s="24" t="str">
        <f t="shared" ca="1" si="167"/>
        <v/>
      </c>
      <c r="OZ45" s="24" t="str">
        <f t="shared" ca="1" si="167"/>
        <v/>
      </c>
      <c r="PA45" s="24" t="str">
        <f t="shared" ca="1" si="167"/>
        <v/>
      </c>
      <c r="PB45" s="24" t="str">
        <f t="shared" ca="1" si="167"/>
        <v/>
      </c>
      <c r="PC45" s="24" t="str">
        <f t="shared" ca="1" si="167"/>
        <v/>
      </c>
      <c r="PD45" s="24" t="str">
        <f t="shared" ref="PD45:PM57" ca="1" si="168">IF(AND($C45="Goal",PD$7&gt;=$F45,PD$7&lt;=$F45+$H45-1),2,IF(AND($C45="Milestone",PD$7&gt;=$F45,PD$7&lt;=$F45+$H45-1),1,""))</f>
        <v/>
      </c>
      <c r="PE45" s="24" t="str">
        <f t="shared" ca="1" si="168"/>
        <v/>
      </c>
      <c r="PF45" s="24" t="str">
        <f t="shared" ca="1" si="168"/>
        <v/>
      </c>
      <c r="PG45" s="24" t="str">
        <f t="shared" ca="1" si="168"/>
        <v/>
      </c>
      <c r="PH45" s="24" t="str">
        <f t="shared" ca="1" si="168"/>
        <v/>
      </c>
      <c r="PI45" s="24" t="str">
        <f t="shared" ca="1" si="168"/>
        <v/>
      </c>
      <c r="PJ45" s="24" t="str">
        <f t="shared" ca="1" si="168"/>
        <v/>
      </c>
      <c r="PK45" s="24" t="str">
        <f t="shared" ca="1" si="168"/>
        <v/>
      </c>
      <c r="PL45" s="24" t="str">
        <f t="shared" ca="1" si="168"/>
        <v/>
      </c>
      <c r="PM45" s="24" t="str">
        <f t="shared" ca="1" si="168"/>
        <v/>
      </c>
      <c r="PN45" s="24" t="str">
        <f t="shared" ref="PN45:PW57" ca="1" si="169">IF(AND($C45="Goal",PN$7&gt;=$F45,PN$7&lt;=$F45+$H45-1),2,IF(AND($C45="Milestone",PN$7&gt;=$F45,PN$7&lt;=$F45+$H45-1),1,""))</f>
        <v/>
      </c>
      <c r="PO45" s="24" t="str">
        <f t="shared" ca="1" si="169"/>
        <v/>
      </c>
      <c r="PP45" s="24" t="str">
        <f t="shared" ca="1" si="169"/>
        <v/>
      </c>
      <c r="PQ45" s="24" t="str">
        <f t="shared" ca="1" si="169"/>
        <v/>
      </c>
      <c r="PR45" s="24" t="str">
        <f t="shared" ca="1" si="169"/>
        <v/>
      </c>
      <c r="PS45" s="24" t="str">
        <f t="shared" ca="1" si="169"/>
        <v/>
      </c>
      <c r="PT45" s="24" t="str">
        <f t="shared" ca="1" si="169"/>
        <v/>
      </c>
      <c r="PU45" s="24" t="str">
        <f t="shared" ca="1" si="169"/>
        <v/>
      </c>
      <c r="PV45" s="24" t="str">
        <f t="shared" ca="1" si="169"/>
        <v/>
      </c>
      <c r="PW45" s="24" t="str">
        <f t="shared" ca="1" si="169"/>
        <v/>
      </c>
      <c r="PX45" s="24" t="str">
        <f t="shared" ref="PX45:QG57" ca="1" si="170">IF(AND($C45="Goal",PX$7&gt;=$F45,PX$7&lt;=$F45+$H45-1),2,IF(AND($C45="Milestone",PX$7&gt;=$F45,PX$7&lt;=$F45+$H45-1),1,""))</f>
        <v/>
      </c>
      <c r="PY45" s="24" t="str">
        <f t="shared" ca="1" si="170"/>
        <v/>
      </c>
      <c r="PZ45" s="24" t="str">
        <f t="shared" ca="1" si="170"/>
        <v/>
      </c>
      <c r="QA45" s="24" t="str">
        <f t="shared" ca="1" si="170"/>
        <v/>
      </c>
      <c r="QB45" s="24" t="str">
        <f t="shared" ca="1" si="170"/>
        <v/>
      </c>
      <c r="QC45" s="24" t="str">
        <f t="shared" ca="1" si="170"/>
        <v/>
      </c>
      <c r="QD45" s="24" t="str">
        <f t="shared" ca="1" si="170"/>
        <v/>
      </c>
      <c r="QE45" s="24" t="str">
        <f t="shared" ca="1" si="170"/>
        <v/>
      </c>
      <c r="QF45" s="24" t="str">
        <f t="shared" ca="1" si="170"/>
        <v/>
      </c>
      <c r="QG45" s="24" t="str">
        <f t="shared" ca="1" si="170"/>
        <v/>
      </c>
      <c r="QH45" s="24" t="str">
        <f t="shared" ref="QH45:QQ57" ca="1" si="171">IF(AND($C45="Goal",QH$7&gt;=$F45,QH$7&lt;=$F45+$H45-1),2,IF(AND($C45="Milestone",QH$7&gt;=$F45,QH$7&lt;=$F45+$H45-1),1,""))</f>
        <v/>
      </c>
      <c r="QI45" s="24" t="str">
        <f t="shared" ca="1" si="171"/>
        <v/>
      </c>
      <c r="QJ45" s="24" t="str">
        <f t="shared" ca="1" si="171"/>
        <v/>
      </c>
      <c r="QK45" s="24" t="str">
        <f t="shared" ca="1" si="171"/>
        <v/>
      </c>
      <c r="QL45" s="24" t="str">
        <f t="shared" ca="1" si="171"/>
        <v/>
      </c>
      <c r="QM45" s="24" t="str">
        <f t="shared" ca="1" si="171"/>
        <v/>
      </c>
      <c r="QN45" s="24" t="str">
        <f t="shared" ca="1" si="171"/>
        <v/>
      </c>
      <c r="QO45" s="24" t="str">
        <f t="shared" ca="1" si="171"/>
        <v/>
      </c>
      <c r="QP45" s="24" t="str">
        <f t="shared" ca="1" si="171"/>
        <v/>
      </c>
      <c r="QQ45" s="24" t="str">
        <f t="shared" ca="1" si="171"/>
        <v/>
      </c>
      <c r="QR45" s="24" t="str">
        <f t="shared" ref="QR45:RA57" ca="1" si="172">IF(AND($C45="Goal",QR$7&gt;=$F45,QR$7&lt;=$F45+$H45-1),2,IF(AND($C45="Milestone",QR$7&gt;=$F45,QR$7&lt;=$F45+$H45-1),1,""))</f>
        <v/>
      </c>
      <c r="QS45" s="24" t="str">
        <f t="shared" ca="1" si="172"/>
        <v/>
      </c>
      <c r="QT45" s="24" t="str">
        <f t="shared" ca="1" si="172"/>
        <v/>
      </c>
      <c r="QU45" s="24" t="str">
        <f t="shared" ca="1" si="172"/>
        <v/>
      </c>
      <c r="QV45" s="24" t="str">
        <f t="shared" ca="1" si="172"/>
        <v/>
      </c>
      <c r="QW45" s="24" t="str">
        <f t="shared" ca="1" si="172"/>
        <v/>
      </c>
      <c r="QX45" s="24" t="str">
        <f t="shared" ca="1" si="172"/>
        <v/>
      </c>
      <c r="QY45" s="24" t="str">
        <f t="shared" ca="1" si="172"/>
        <v/>
      </c>
      <c r="QZ45" s="24" t="str">
        <f t="shared" ca="1" si="172"/>
        <v/>
      </c>
      <c r="RA45" s="24" t="str">
        <f t="shared" ca="1" si="172"/>
        <v/>
      </c>
      <c r="RB45" s="24" t="str">
        <f t="shared" ref="RB45:RK57" ca="1" si="173">IF(AND($C45="Goal",RB$7&gt;=$F45,RB$7&lt;=$F45+$H45-1),2,IF(AND($C45="Milestone",RB$7&gt;=$F45,RB$7&lt;=$F45+$H45-1),1,""))</f>
        <v/>
      </c>
      <c r="RC45" s="24" t="str">
        <f t="shared" ca="1" si="173"/>
        <v/>
      </c>
      <c r="RD45" s="24" t="str">
        <f t="shared" ca="1" si="173"/>
        <v/>
      </c>
      <c r="RE45" s="24" t="str">
        <f t="shared" ca="1" si="173"/>
        <v/>
      </c>
      <c r="RF45" s="24" t="str">
        <f t="shared" ca="1" si="173"/>
        <v/>
      </c>
      <c r="RG45" s="24" t="str">
        <f t="shared" ca="1" si="173"/>
        <v/>
      </c>
      <c r="RH45" s="24" t="str">
        <f t="shared" ca="1" si="173"/>
        <v/>
      </c>
      <c r="RI45" s="24" t="str">
        <f t="shared" ca="1" si="173"/>
        <v/>
      </c>
      <c r="RJ45" s="24" t="str">
        <f t="shared" ca="1" si="173"/>
        <v/>
      </c>
      <c r="RK45" s="24" t="str">
        <f t="shared" ca="1" si="173"/>
        <v/>
      </c>
      <c r="RL45" s="24" t="str">
        <f t="shared" ref="RL45:RU57" ca="1" si="174">IF(AND($C45="Goal",RL$7&gt;=$F45,RL$7&lt;=$F45+$H45-1),2,IF(AND($C45="Milestone",RL$7&gt;=$F45,RL$7&lt;=$F45+$H45-1),1,""))</f>
        <v/>
      </c>
      <c r="RM45" s="24" t="str">
        <f t="shared" ca="1" si="174"/>
        <v/>
      </c>
      <c r="RN45" s="24" t="str">
        <f t="shared" ca="1" si="174"/>
        <v/>
      </c>
      <c r="RO45" s="24" t="str">
        <f t="shared" ca="1" si="174"/>
        <v/>
      </c>
      <c r="RP45" s="24" t="str">
        <f t="shared" ca="1" si="174"/>
        <v/>
      </c>
      <c r="RQ45" s="24" t="str">
        <f t="shared" ca="1" si="174"/>
        <v/>
      </c>
      <c r="RR45" s="24" t="str">
        <f t="shared" ca="1" si="174"/>
        <v/>
      </c>
      <c r="RS45" s="24" t="str">
        <f t="shared" ca="1" si="174"/>
        <v/>
      </c>
      <c r="RT45" s="24" t="str">
        <f t="shared" ca="1" si="174"/>
        <v/>
      </c>
      <c r="RU45" s="24" t="str">
        <f t="shared" ca="1" si="174"/>
        <v/>
      </c>
      <c r="RV45" s="24" t="str">
        <f t="shared" ref="RV45:SE57" ca="1" si="175">IF(AND($C45="Goal",RV$7&gt;=$F45,RV$7&lt;=$F45+$H45-1),2,IF(AND($C45="Milestone",RV$7&gt;=$F45,RV$7&lt;=$F45+$H45-1),1,""))</f>
        <v/>
      </c>
      <c r="RW45" s="24" t="str">
        <f t="shared" ca="1" si="175"/>
        <v/>
      </c>
      <c r="RX45" s="24" t="str">
        <f t="shared" ca="1" si="175"/>
        <v/>
      </c>
      <c r="RY45" s="24" t="str">
        <f t="shared" ca="1" si="175"/>
        <v/>
      </c>
      <c r="RZ45" s="24" t="str">
        <f t="shared" ca="1" si="175"/>
        <v/>
      </c>
      <c r="SA45" s="24" t="str">
        <f t="shared" ca="1" si="175"/>
        <v/>
      </c>
      <c r="SB45" s="24" t="str">
        <f t="shared" ca="1" si="175"/>
        <v/>
      </c>
      <c r="SC45" s="24" t="str">
        <f t="shared" ca="1" si="175"/>
        <v/>
      </c>
      <c r="SD45" s="24" t="str">
        <f t="shared" ca="1" si="175"/>
        <v/>
      </c>
      <c r="SE45" s="24" t="str">
        <f t="shared" ca="1" si="175"/>
        <v/>
      </c>
      <c r="SF45" s="24" t="str">
        <f t="shared" ref="SF45:SO57" ca="1" si="176">IF(AND($C45="Goal",SF$7&gt;=$F45,SF$7&lt;=$F45+$H45-1),2,IF(AND($C45="Milestone",SF$7&gt;=$F45,SF$7&lt;=$F45+$H45-1),1,""))</f>
        <v/>
      </c>
      <c r="SG45" s="24" t="str">
        <f t="shared" ca="1" si="176"/>
        <v/>
      </c>
      <c r="SH45" s="24" t="str">
        <f t="shared" ca="1" si="176"/>
        <v/>
      </c>
      <c r="SI45" s="24" t="str">
        <f t="shared" ca="1" si="176"/>
        <v/>
      </c>
      <c r="SJ45" s="24" t="str">
        <f t="shared" ca="1" si="176"/>
        <v/>
      </c>
      <c r="SK45" s="24" t="str">
        <f t="shared" ca="1" si="176"/>
        <v/>
      </c>
      <c r="SL45" s="24" t="str">
        <f t="shared" ca="1" si="176"/>
        <v/>
      </c>
      <c r="SM45" s="24" t="str">
        <f t="shared" ca="1" si="176"/>
        <v/>
      </c>
      <c r="SN45" s="24" t="str">
        <f t="shared" ca="1" si="176"/>
        <v/>
      </c>
      <c r="SO45" s="24" t="str">
        <f t="shared" ca="1" si="176"/>
        <v/>
      </c>
      <c r="SP45" s="24" t="str">
        <f t="shared" ref="SP45:SY57" ca="1" si="177">IF(AND($C45="Goal",SP$7&gt;=$F45,SP$7&lt;=$F45+$H45-1),2,IF(AND($C45="Milestone",SP$7&gt;=$F45,SP$7&lt;=$F45+$H45-1),1,""))</f>
        <v/>
      </c>
      <c r="SQ45" s="24" t="str">
        <f t="shared" ca="1" si="177"/>
        <v/>
      </c>
      <c r="SR45" s="24" t="str">
        <f t="shared" ca="1" si="177"/>
        <v/>
      </c>
      <c r="SS45" s="24" t="str">
        <f t="shared" ca="1" si="177"/>
        <v/>
      </c>
      <c r="ST45" s="24" t="str">
        <f t="shared" ca="1" si="177"/>
        <v/>
      </c>
      <c r="SU45" s="24" t="str">
        <f t="shared" ca="1" si="177"/>
        <v/>
      </c>
      <c r="SV45" s="24" t="str">
        <f t="shared" ca="1" si="177"/>
        <v/>
      </c>
      <c r="SW45" s="24" t="str">
        <f t="shared" ca="1" si="177"/>
        <v/>
      </c>
      <c r="SX45" s="24" t="str">
        <f t="shared" ca="1" si="177"/>
        <v/>
      </c>
      <c r="SY45" s="24" t="str">
        <f t="shared" ca="1" si="177"/>
        <v/>
      </c>
      <c r="SZ45" s="24" t="str">
        <f t="shared" ref="SZ45:TI57" ca="1" si="178">IF(AND($C45="Goal",SZ$7&gt;=$F45,SZ$7&lt;=$F45+$H45-1),2,IF(AND($C45="Milestone",SZ$7&gt;=$F45,SZ$7&lt;=$F45+$H45-1),1,""))</f>
        <v/>
      </c>
      <c r="TA45" s="24" t="str">
        <f t="shared" ca="1" si="178"/>
        <v/>
      </c>
      <c r="TB45" s="24" t="str">
        <f t="shared" ca="1" si="178"/>
        <v/>
      </c>
      <c r="TC45" s="24" t="str">
        <f t="shared" ca="1" si="178"/>
        <v/>
      </c>
      <c r="TD45" s="24" t="str">
        <f t="shared" ca="1" si="178"/>
        <v/>
      </c>
      <c r="TE45" s="24" t="str">
        <f t="shared" ca="1" si="178"/>
        <v/>
      </c>
      <c r="TF45" s="24" t="str">
        <f t="shared" ca="1" si="178"/>
        <v/>
      </c>
      <c r="TG45" s="24" t="str">
        <f t="shared" ca="1" si="178"/>
        <v/>
      </c>
      <c r="TH45" s="24" t="str">
        <f t="shared" ca="1" si="178"/>
        <v/>
      </c>
      <c r="TI45" s="24" t="str">
        <f t="shared" ca="1" si="178"/>
        <v/>
      </c>
      <c r="TJ45" s="24" t="str">
        <f t="shared" ref="TJ45:TS57" ca="1" si="179">IF(AND($C45="Goal",TJ$7&gt;=$F45,TJ$7&lt;=$F45+$H45-1),2,IF(AND($C45="Milestone",TJ$7&gt;=$F45,TJ$7&lt;=$F45+$H45-1),1,""))</f>
        <v/>
      </c>
      <c r="TK45" s="24" t="str">
        <f t="shared" ca="1" si="179"/>
        <v/>
      </c>
      <c r="TL45" s="24" t="str">
        <f t="shared" ca="1" si="179"/>
        <v/>
      </c>
      <c r="TM45" s="24" t="str">
        <f t="shared" ca="1" si="179"/>
        <v/>
      </c>
      <c r="TN45" s="24" t="str">
        <f t="shared" ca="1" si="179"/>
        <v/>
      </c>
      <c r="TO45" s="24" t="str">
        <f t="shared" ca="1" si="179"/>
        <v/>
      </c>
      <c r="TP45" s="24" t="str">
        <f t="shared" ca="1" si="179"/>
        <v/>
      </c>
      <c r="TQ45" s="24" t="str">
        <f t="shared" ca="1" si="179"/>
        <v/>
      </c>
      <c r="TR45" s="24" t="str">
        <f t="shared" ca="1" si="179"/>
        <v/>
      </c>
      <c r="TS45" s="24" t="str">
        <f t="shared" ca="1" si="179"/>
        <v/>
      </c>
      <c r="TT45" s="24" t="str">
        <f t="shared" ref="TT45:UC57" ca="1" si="180">IF(AND($C45="Goal",TT$7&gt;=$F45,TT$7&lt;=$F45+$H45-1),2,IF(AND($C45="Milestone",TT$7&gt;=$F45,TT$7&lt;=$F45+$H45-1),1,""))</f>
        <v/>
      </c>
      <c r="TU45" s="24" t="str">
        <f t="shared" ca="1" si="180"/>
        <v/>
      </c>
      <c r="TV45" s="24" t="str">
        <f t="shared" ca="1" si="180"/>
        <v/>
      </c>
      <c r="TW45" s="24" t="str">
        <f t="shared" ca="1" si="180"/>
        <v/>
      </c>
      <c r="TX45" s="24" t="str">
        <f t="shared" ca="1" si="180"/>
        <v/>
      </c>
      <c r="TY45" s="24" t="str">
        <f t="shared" ca="1" si="180"/>
        <v/>
      </c>
      <c r="TZ45" s="24" t="str">
        <f t="shared" ca="1" si="180"/>
        <v/>
      </c>
      <c r="UA45" s="24" t="str">
        <f t="shared" ca="1" si="180"/>
        <v/>
      </c>
      <c r="UB45" s="24" t="str">
        <f t="shared" ca="1" si="180"/>
        <v/>
      </c>
      <c r="UC45" s="24" t="str">
        <f t="shared" ca="1" si="180"/>
        <v/>
      </c>
      <c r="UD45" s="24" t="str">
        <f t="shared" ref="UD45:UM57" ca="1" si="181">IF(AND($C45="Goal",UD$7&gt;=$F45,UD$7&lt;=$F45+$H45-1),2,IF(AND($C45="Milestone",UD$7&gt;=$F45,UD$7&lt;=$F45+$H45-1),1,""))</f>
        <v/>
      </c>
      <c r="UE45" s="24" t="str">
        <f t="shared" ca="1" si="181"/>
        <v/>
      </c>
      <c r="UF45" s="24" t="str">
        <f t="shared" ca="1" si="181"/>
        <v/>
      </c>
      <c r="UG45" s="24" t="str">
        <f t="shared" ca="1" si="181"/>
        <v/>
      </c>
      <c r="UH45" s="24" t="str">
        <f t="shared" ca="1" si="181"/>
        <v/>
      </c>
      <c r="UI45" s="24" t="str">
        <f t="shared" ca="1" si="181"/>
        <v/>
      </c>
      <c r="UJ45" s="24" t="str">
        <f t="shared" ca="1" si="181"/>
        <v/>
      </c>
      <c r="UK45" s="24" t="str">
        <f t="shared" ca="1" si="181"/>
        <v/>
      </c>
      <c r="UL45" s="24" t="str">
        <f t="shared" ca="1" si="181"/>
        <v/>
      </c>
      <c r="UM45" s="24" t="str">
        <f t="shared" ca="1" si="181"/>
        <v/>
      </c>
      <c r="UN45" s="24" t="str">
        <f t="shared" ref="UN45:UW57" ca="1" si="182">IF(AND($C45="Goal",UN$7&gt;=$F45,UN$7&lt;=$F45+$H45-1),2,IF(AND($C45="Milestone",UN$7&gt;=$F45,UN$7&lt;=$F45+$H45-1),1,""))</f>
        <v/>
      </c>
      <c r="UO45" s="24" t="str">
        <f t="shared" ca="1" si="182"/>
        <v/>
      </c>
      <c r="UP45" s="24" t="str">
        <f t="shared" ca="1" si="182"/>
        <v/>
      </c>
      <c r="UQ45" s="24" t="str">
        <f t="shared" ca="1" si="182"/>
        <v/>
      </c>
      <c r="UR45" s="24" t="str">
        <f t="shared" ca="1" si="182"/>
        <v/>
      </c>
      <c r="US45" s="24" t="str">
        <f t="shared" ca="1" si="182"/>
        <v/>
      </c>
      <c r="UT45" s="24" t="str">
        <f t="shared" ca="1" si="182"/>
        <v/>
      </c>
      <c r="UU45" s="24" t="str">
        <f t="shared" ca="1" si="182"/>
        <v/>
      </c>
      <c r="UV45" s="24" t="str">
        <f t="shared" ca="1" si="182"/>
        <v/>
      </c>
      <c r="UW45" s="24" t="str">
        <f t="shared" ca="1" si="182"/>
        <v/>
      </c>
      <c r="UX45" s="24" t="str">
        <f t="shared" ref="UX45:VG57" ca="1" si="183">IF(AND($C45="Goal",UX$7&gt;=$F45,UX$7&lt;=$F45+$H45-1),2,IF(AND($C45="Milestone",UX$7&gt;=$F45,UX$7&lt;=$F45+$H45-1),1,""))</f>
        <v/>
      </c>
      <c r="UY45" s="24" t="str">
        <f t="shared" ca="1" si="183"/>
        <v/>
      </c>
      <c r="UZ45" s="24" t="str">
        <f t="shared" ca="1" si="183"/>
        <v/>
      </c>
      <c r="VA45" s="24" t="str">
        <f t="shared" ca="1" si="183"/>
        <v/>
      </c>
      <c r="VB45" s="24" t="str">
        <f t="shared" ca="1" si="183"/>
        <v/>
      </c>
      <c r="VC45" s="24" t="str">
        <f t="shared" ca="1" si="183"/>
        <v/>
      </c>
      <c r="VD45" s="24" t="str">
        <f t="shared" ca="1" si="183"/>
        <v/>
      </c>
      <c r="VE45" s="24" t="str">
        <f t="shared" ca="1" si="183"/>
        <v/>
      </c>
      <c r="VF45" s="24" t="str">
        <f t="shared" ca="1" si="183"/>
        <v/>
      </c>
      <c r="VG45" s="24" t="str">
        <f t="shared" ca="1" si="183"/>
        <v/>
      </c>
      <c r="VH45" s="24" t="str">
        <f t="shared" ref="VH45:VS57" ca="1" si="184">IF(AND($C45="Goal",VH$7&gt;=$F45,VH$7&lt;=$F45+$H45-1),2,IF(AND($C45="Milestone",VH$7&gt;=$F45,VH$7&lt;=$F45+$H45-1),1,""))</f>
        <v/>
      </c>
      <c r="VI45" s="24" t="str">
        <f t="shared" ca="1" si="184"/>
        <v/>
      </c>
      <c r="VJ45" s="24" t="str">
        <f t="shared" ca="1" si="184"/>
        <v/>
      </c>
      <c r="VK45" s="24" t="str">
        <f t="shared" ca="1" si="184"/>
        <v/>
      </c>
      <c r="VL45" s="24" t="str">
        <f t="shared" ca="1" si="184"/>
        <v/>
      </c>
      <c r="VM45" s="24" t="str">
        <f t="shared" ca="1" si="184"/>
        <v/>
      </c>
      <c r="VN45" s="24" t="str">
        <f t="shared" ca="1" si="184"/>
        <v/>
      </c>
      <c r="VO45" s="24" t="str">
        <f t="shared" ca="1" si="184"/>
        <v/>
      </c>
      <c r="VP45" s="24" t="str">
        <f t="shared" ca="1" si="184"/>
        <v/>
      </c>
      <c r="VQ45" s="24" t="str">
        <f t="shared" ca="1" si="184"/>
        <v/>
      </c>
      <c r="VR45" s="24" t="str">
        <f t="shared" ca="1" si="184"/>
        <v/>
      </c>
      <c r="VS45" s="24" t="str">
        <f t="shared" ca="1" si="184"/>
        <v/>
      </c>
    </row>
    <row r="46" spans="1:591" s="17" customFormat="1" ht="21.6" customHeight="1" x14ac:dyDescent="0.3">
      <c r="A46" s="81"/>
      <c r="B46" s="56" t="str">
        <f>'CoS Tracker'!$AL$7</f>
        <v>5. Purchaser DoV Execution Deadline</v>
      </c>
      <c r="C46" s="19" t="s">
        <v>75</v>
      </c>
      <c r="D46" s="19"/>
      <c r="E46" s="27">
        <v>0.1</v>
      </c>
      <c r="F46" s="26">
        <f>G45</f>
        <v>46123</v>
      </c>
      <c r="G46" s="26">
        <f>'CoS Tracker'!AL20</f>
        <v>46137</v>
      </c>
      <c r="H46" s="25">
        <f>Milestones43524[[#This Row],[End]]-Milestones43524[[#This Row],[Start]]</f>
        <v>14</v>
      </c>
      <c r="I46" s="19"/>
      <c r="J46" s="74" t="str">
        <f t="shared" ca="1" si="127"/>
        <v/>
      </c>
      <c r="K46" s="74" t="str">
        <f t="shared" ca="1" si="127"/>
        <v/>
      </c>
      <c r="L46" s="74" t="str">
        <f t="shared" ca="1" si="127"/>
        <v/>
      </c>
      <c r="M46" s="74" t="str">
        <f t="shared" ca="1" si="127"/>
        <v/>
      </c>
      <c r="N46" s="74" t="str">
        <f t="shared" ca="1" si="127"/>
        <v/>
      </c>
      <c r="O46" s="74" t="str">
        <f t="shared" ca="1" si="127"/>
        <v/>
      </c>
      <c r="P46" s="74" t="str">
        <f t="shared" ca="1" si="127"/>
        <v/>
      </c>
      <c r="Q46" s="74" t="str">
        <f t="shared" ca="1" si="127"/>
        <v/>
      </c>
      <c r="R46" s="74" t="str">
        <f t="shared" ca="1" si="127"/>
        <v/>
      </c>
      <c r="S46" s="74" t="str">
        <f t="shared" ca="1" si="127"/>
        <v/>
      </c>
      <c r="T46" s="74" t="str">
        <f t="shared" ca="1" si="128"/>
        <v/>
      </c>
      <c r="U46" s="74" t="str">
        <f t="shared" ca="1" si="128"/>
        <v/>
      </c>
      <c r="V46" s="74" t="str">
        <f t="shared" ca="1" si="128"/>
        <v/>
      </c>
      <c r="W46" s="74" t="str">
        <f t="shared" ca="1" si="128"/>
        <v/>
      </c>
      <c r="X46" s="74" t="str">
        <f t="shared" ca="1" si="128"/>
        <v/>
      </c>
      <c r="Y46" s="74" t="str">
        <f t="shared" ca="1" si="128"/>
        <v/>
      </c>
      <c r="Z46" s="74" t="str">
        <f t="shared" ca="1" si="128"/>
        <v/>
      </c>
      <c r="AA46" s="74" t="str">
        <f t="shared" ca="1" si="128"/>
        <v/>
      </c>
      <c r="AB46" s="74" t="str">
        <f t="shared" ca="1" si="128"/>
        <v/>
      </c>
      <c r="AC46" s="74" t="str">
        <f t="shared" ca="1" si="128"/>
        <v/>
      </c>
      <c r="AD46" s="74" t="str">
        <f t="shared" ca="1" si="129"/>
        <v/>
      </c>
      <c r="AE46" s="74" t="str">
        <f t="shared" ca="1" si="129"/>
        <v/>
      </c>
      <c r="AF46" s="74" t="str">
        <f t="shared" ca="1" si="129"/>
        <v/>
      </c>
      <c r="AG46" s="74" t="str">
        <f t="shared" ca="1" si="129"/>
        <v/>
      </c>
      <c r="AH46" s="74" t="str">
        <f t="shared" ca="1" si="129"/>
        <v/>
      </c>
      <c r="AI46" s="74" t="str">
        <f t="shared" ca="1" si="129"/>
        <v/>
      </c>
      <c r="AJ46" s="74" t="str">
        <f t="shared" ca="1" si="129"/>
        <v/>
      </c>
      <c r="AK46" s="74" t="str">
        <f t="shared" ca="1" si="129"/>
        <v/>
      </c>
      <c r="AL46" s="74" t="str">
        <f t="shared" ca="1" si="129"/>
        <v/>
      </c>
      <c r="AM46" s="74" t="str">
        <f t="shared" ca="1" si="129"/>
        <v/>
      </c>
      <c r="AN46" s="74" t="str">
        <f t="shared" ca="1" si="130"/>
        <v/>
      </c>
      <c r="AO46" s="74" t="str">
        <f t="shared" ca="1" si="130"/>
        <v/>
      </c>
      <c r="AP46" s="74" t="str">
        <f t="shared" ca="1" si="130"/>
        <v/>
      </c>
      <c r="AQ46" s="74" t="str">
        <f t="shared" ca="1" si="130"/>
        <v/>
      </c>
      <c r="AR46" s="74" t="str">
        <f t="shared" ca="1" si="130"/>
        <v/>
      </c>
      <c r="AS46" s="74" t="str">
        <f t="shared" ca="1" si="130"/>
        <v/>
      </c>
      <c r="AT46" s="74" t="str">
        <f t="shared" ca="1" si="130"/>
        <v/>
      </c>
      <c r="AU46" s="74" t="str">
        <f t="shared" ca="1" si="130"/>
        <v/>
      </c>
      <c r="AV46" s="74" t="str">
        <f t="shared" ca="1" si="130"/>
        <v/>
      </c>
      <c r="AW46" s="74" t="str">
        <f t="shared" ca="1" si="130"/>
        <v/>
      </c>
      <c r="AX46" s="74" t="str">
        <f t="shared" ca="1" si="131"/>
        <v/>
      </c>
      <c r="AY46" s="74" t="str">
        <f t="shared" ca="1" si="131"/>
        <v/>
      </c>
      <c r="AZ46" s="74" t="str">
        <f t="shared" ca="1" si="131"/>
        <v/>
      </c>
      <c r="BA46" s="74" t="str">
        <f t="shared" ca="1" si="131"/>
        <v/>
      </c>
      <c r="BB46" s="74" t="str">
        <f t="shared" ca="1" si="131"/>
        <v/>
      </c>
      <c r="BC46" s="74" t="str">
        <f t="shared" ca="1" si="131"/>
        <v/>
      </c>
      <c r="BD46" s="74" t="str">
        <f t="shared" ca="1" si="131"/>
        <v/>
      </c>
      <c r="BE46" s="74" t="str">
        <f t="shared" ca="1" si="131"/>
        <v/>
      </c>
      <c r="BF46" s="74" t="str">
        <f t="shared" ca="1" si="131"/>
        <v/>
      </c>
      <c r="BG46" s="74" t="str">
        <f t="shared" ca="1" si="131"/>
        <v/>
      </c>
      <c r="BH46" s="74" t="str">
        <f t="shared" ca="1" si="132"/>
        <v/>
      </c>
      <c r="BI46" s="74" t="str">
        <f t="shared" ca="1" si="132"/>
        <v/>
      </c>
      <c r="BJ46" s="74" t="str">
        <f t="shared" ca="1" si="132"/>
        <v/>
      </c>
      <c r="BK46" s="74" t="str">
        <f t="shared" ca="1" si="132"/>
        <v/>
      </c>
      <c r="BL46" s="74" t="str">
        <f t="shared" ca="1" si="132"/>
        <v/>
      </c>
      <c r="BM46" s="74" t="str">
        <f t="shared" ca="1" si="132"/>
        <v/>
      </c>
      <c r="BN46" s="74" t="str">
        <f t="shared" ca="1" si="132"/>
        <v/>
      </c>
      <c r="BO46" s="74" t="str">
        <f t="shared" ca="1" si="132"/>
        <v/>
      </c>
      <c r="BP46" s="74" t="str">
        <f t="shared" ca="1" si="132"/>
        <v/>
      </c>
      <c r="BQ46" s="74" t="str">
        <f t="shared" ca="1" si="132"/>
        <v/>
      </c>
      <c r="BR46" s="74" t="str">
        <f t="shared" ca="1" si="133"/>
        <v/>
      </c>
      <c r="BS46" s="74" t="str">
        <f t="shared" ca="1" si="133"/>
        <v/>
      </c>
      <c r="BT46" s="74" t="str">
        <f t="shared" ca="1" si="133"/>
        <v/>
      </c>
      <c r="BU46" s="74" t="str">
        <f t="shared" ca="1" si="133"/>
        <v/>
      </c>
      <c r="BV46" s="74" t="str">
        <f t="shared" ca="1" si="133"/>
        <v/>
      </c>
      <c r="BW46" s="74" t="str">
        <f t="shared" ca="1" si="133"/>
        <v/>
      </c>
      <c r="BX46" s="74" t="str">
        <f t="shared" ca="1" si="133"/>
        <v/>
      </c>
      <c r="BY46" s="74" t="str">
        <f t="shared" ca="1" si="133"/>
        <v/>
      </c>
      <c r="BZ46" s="74" t="str">
        <f t="shared" ca="1" si="133"/>
        <v/>
      </c>
      <c r="CA46" s="74" t="str">
        <f t="shared" ca="1" si="133"/>
        <v/>
      </c>
      <c r="CB46" s="74" t="str">
        <f t="shared" ca="1" si="134"/>
        <v/>
      </c>
      <c r="CC46" s="74" t="str">
        <f t="shared" ca="1" si="134"/>
        <v/>
      </c>
      <c r="CD46" s="74" t="str">
        <f t="shared" ca="1" si="134"/>
        <v/>
      </c>
      <c r="CE46" s="74" t="str">
        <f t="shared" ca="1" si="134"/>
        <v/>
      </c>
      <c r="CF46" s="74" t="str">
        <f t="shared" ca="1" si="134"/>
        <v/>
      </c>
      <c r="CG46" s="74" t="str">
        <f t="shared" ca="1" si="134"/>
        <v/>
      </c>
      <c r="CH46" s="74" t="str">
        <f t="shared" ca="1" si="134"/>
        <v/>
      </c>
      <c r="CI46" s="74" t="str">
        <f t="shared" ca="1" si="134"/>
        <v/>
      </c>
      <c r="CJ46" s="74" t="str">
        <f t="shared" ca="1" si="134"/>
        <v/>
      </c>
      <c r="CK46" s="74" t="str">
        <f t="shared" ca="1" si="134"/>
        <v/>
      </c>
      <c r="CL46" s="74" t="str">
        <f t="shared" ca="1" si="135"/>
        <v/>
      </c>
      <c r="CM46" s="74" t="str">
        <f t="shared" ca="1" si="135"/>
        <v/>
      </c>
      <c r="CN46" s="74" t="str">
        <f t="shared" ca="1" si="135"/>
        <v/>
      </c>
      <c r="CO46" s="74" t="str">
        <f t="shared" ca="1" si="135"/>
        <v/>
      </c>
      <c r="CP46" s="74" t="str">
        <f t="shared" ca="1" si="135"/>
        <v/>
      </c>
      <c r="CQ46" s="74" t="str">
        <f t="shared" ca="1" si="135"/>
        <v/>
      </c>
      <c r="CR46" s="74" t="str">
        <f t="shared" ca="1" si="135"/>
        <v/>
      </c>
      <c r="CS46" s="74" t="str">
        <f t="shared" ca="1" si="135"/>
        <v/>
      </c>
      <c r="CT46" s="74" t="str">
        <f t="shared" ca="1" si="135"/>
        <v/>
      </c>
      <c r="CU46" s="74" t="str">
        <f t="shared" ca="1" si="135"/>
        <v/>
      </c>
      <c r="CV46" s="74" t="str">
        <f t="shared" ca="1" si="136"/>
        <v/>
      </c>
      <c r="CW46" s="74" t="str">
        <f t="shared" ca="1" si="136"/>
        <v/>
      </c>
      <c r="CX46" s="74" t="str">
        <f t="shared" ca="1" si="136"/>
        <v/>
      </c>
      <c r="CY46" s="74" t="str">
        <f t="shared" ca="1" si="136"/>
        <v/>
      </c>
      <c r="CZ46" s="74" t="str">
        <f t="shared" ca="1" si="136"/>
        <v/>
      </c>
      <c r="DA46" s="74" t="str">
        <f t="shared" ca="1" si="136"/>
        <v/>
      </c>
      <c r="DB46" s="74" t="str">
        <f t="shared" ca="1" si="136"/>
        <v/>
      </c>
      <c r="DC46" s="74" t="str">
        <f t="shared" ca="1" si="136"/>
        <v/>
      </c>
      <c r="DD46" s="74" t="str">
        <f t="shared" ca="1" si="136"/>
        <v/>
      </c>
      <c r="DE46" s="74" t="str">
        <f t="shared" ca="1" si="136"/>
        <v/>
      </c>
      <c r="DF46" s="74" t="str">
        <f t="shared" ca="1" si="137"/>
        <v/>
      </c>
      <c r="DG46" s="74" t="str">
        <f t="shared" ca="1" si="137"/>
        <v/>
      </c>
      <c r="DH46" s="74" t="str">
        <f t="shared" ca="1" si="137"/>
        <v/>
      </c>
      <c r="DI46" s="74" t="str">
        <f t="shared" ca="1" si="137"/>
        <v/>
      </c>
      <c r="DJ46" s="74" t="str">
        <f t="shared" ca="1" si="137"/>
        <v/>
      </c>
      <c r="DK46" s="74" t="str">
        <f t="shared" ca="1" si="137"/>
        <v/>
      </c>
      <c r="DL46" s="74" t="str">
        <f t="shared" ca="1" si="137"/>
        <v/>
      </c>
      <c r="DM46" s="74" t="str">
        <f t="shared" ca="1" si="137"/>
        <v/>
      </c>
      <c r="DN46" s="74" t="str">
        <f t="shared" ca="1" si="137"/>
        <v/>
      </c>
      <c r="DO46" s="74" t="str">
        <f t="shared" ca="1" si="137"/>
        <v/>
      </c>
      <c r="DP46" s="74" t="str">
        <f t="shared" ca="1" si="138"/>
        <v/>
      </c>
      <c r="DQ46" s="74" t="str">
        <f t="shared" ca="1" si="138"/>
        <v/>
      </c>
      <c r="DR46" s="74" t="str">
        <f t="shared" ca="1" si="138"/>
        <v/>
      </c>
      <c r="DS46" s="74" t="str">
        <f t="shared" ca="1" si="138"/>
        <v/>
      </c>
      <c r="DT46" s="74" t="str">
        <f t="shared" ca="1" si="138"/>
        <v/>
      </c>
      <c r="DU46" s="74" t="str">
        <f t="shared" ca="1" si="138"/>
        <v/>
      </c>
      <c r="DV46" s="74" t="str">
        <f t="shared" ca="1" si="138"/>
        <v/>
      </c>
      <c r="DW46" s="74" t="str">
        <f t="shared" ca="1" si="138"/>
        <v/>
      </c>
      <c r="DX46" s="74" t="str">
        <f t="shared" ca="1" si="138"/>
        <v/>
      </c>
      <c r="DY46" s="74" t="str">
        <f t="shared" ca="1" si="138"/>
        <v/>
      </c>
      <c r="DZ46" s="74" t="str">
        <f t="shared" ca="1" si="139"/>
        <v/>
      </c>
      <c r="EA46" s="74" t="str">
        <f t="shared" ca="1" si="139"/>
        <v/>
      </c>
      <c r="EB46" s="74" t="str">
        <f t="shared" ca="1" si="139"/>
        <v/>
      </c>
      <c r="EC46" s="74" t="str">
        <f t="shared" ca="1" si="139"/>
        <v/>
      </c>
      <c r="ED46" s="74" t="str">
        <f t="shared" ca="1" si="139"/>
        <v/>
      </c>
      <c r="EE46" s="74" t="str">
        <f t="shared" ca="1" si="139"/>
        <v/>
      </c>
      <c r="EF46" s="74" t="str">
        <f t="shared" ca="1" si="139"/>
        <v/>
      </c>
      <c r="EG46" s="74" t="str">
        <f t="shared" ca="1" si="139"/>
        <v/>
      </c>
      <c r="EH46" s="74" t="str">
        <f t="shared" ca="1" si="139"/>
        <v/>
      </c>
      <c r="EI46" s="74" t="str">
        <f t="shared" ca="1" si="139"/>
        <v/>
      </c>
      <c r="EJ46" s="74" t="str">
        <f t="shared" ca="1" si="140"/>
        <v/>
      </c>
      <c r="EK46" s="74" t="str">
        <f t="shared" ca="1" si="140"/>
        <v/>
      </c>
      <c r="EL46" s="74" t="str">
        <f t="shared" ca="1" si="140"/>
        <v/>
      </c>
      <c r="EM46" s="74" t="str">
        <f t="shared" ca="1" si="140"/>
        <v/>
      </c>
      <c r="EN46" s="74" t="str">
        <f t="shared" ca="1" si="140"/>
        <v/>
      </c>
      <c r="EO46" s="74" t="str">
        <f t="shared" ca="1" si="140"/>
        <v/>
      </c>
      <c r="EP46" s="74" t="str">
        <f t="shared" ca="1" si="140"/>
        <v/>
      </c>
      <c r="EQ46" s="74" t="str">
        <f t="shared" ca="1" si="140"/>
        <v/>
      </c>
      <c r="ER46" s="74" t="str">
        <f t="shared" ca="1" si="140"/>
        <v/>
      </c>
      <c r="ES46" s="74" t="str">
        <f t="shared" ca="1" si="140"/>
        <v/>
      </c>
      <c r="ET46" s="74" t="str">
        <f t="shared" ca="1" si="141"/>
        <v/>
      </c>
      <c r="EU46" s="74" t="str">
        <f t="shared" ca="1" si="141"/>
        <v/>
      </c>
      <c r="EV46" s="74" t="str">
        <f t="shared" ca="1" si="141"/>
        <v/>
      </c>
      <c r="EW46" s="74" t="str">
        <f t="shared" ca="1" si="141"/>
        <v/>
      </c>
      <c r="EX46" s="74" t="str">
        <f t="shared" ca="1" si="141"/>
        <v/>
      </c>
      <c r="EY46" s="74" t="str">
        <f t="shared" ca="1" si="141"/>
        <v/>
      </c>
      <c r="EZ46" s="74" t="str">
        <f t="shared" ca="1" si="141"/>
        <v/>
      </c>
      <c r="FA46" s="74" t="str">
        <f t="shared" ca="1" si="141"/>
        <v/>
      </c>
      <c r="FB46" s="74" t="str">
        <f t="shared" ca="1" si="141"/>
        <v/>
      </c>
      <c r="FC46" s="74" t="str">
        <f t="shared" ca="1" si="141"/>
        <v/>
      </c>
      <c r="FD46" s="74" t="str">
        <f t="shared" ca="1" si="142"/>
        <v/>
      </c>
      <c r="FE46" s="74" t="str">
        <f t="shared" ca="1" si="142"/>
        <v/>
      </c>
      <c r="FF46" s="74" t="str">
        <f t="shared" ca="1" si="142"/>
        <v/>
      </c>
      <c r="FG46" s="74" t="str">
        <f t="shared" ca="1" si="142"/>
        <v/>
      </c>
      <c r="FH46" s="74" t="str">
        <f t="shared" ca="1" si="142"/>
        <v/>
      </c>
      <c r="FI46" s="74" t="str">
        <f t="shared" ca="1" si="142"/>
        <v/>
      </c>
      <c r="FJ46" s="74" t="str">
        <f t="shared" ca="1" si="142"/>
        <v/>
      </c>
      <c r="FK46" s="74" t="str">
        <f t="shared" ca="1" si="142"/>
        <v/>
      </c>
      <c r="FL46" s="74" t="str">
        <f t="shared" ca="1" si="142"/>
        <v/>
      </c>
      <c r="FM46" s="74" t="str">
        <f t="shared" ca="1" si="142"/>
        <v/>
      </c>
      <c r="FN46" s="74" t="str">
        <f t="shared" ca="1" si="143"/>
        <v/>
      </c>
      <c r="FO46" s="74" t="str">
        <f t="shared" ca="1" si="143"/>
        <v/>
      </c>
      <c r="FP46" s="74" t="str">
        <f t="shared" ca="1" si="143"/>
        <v/>
      </c>
      <c r="FQ46" s="74" t="str">
        <f t="shared" ca="1" si="143"/>
        <v/>
      </c>
      <c r="FR46" s="74" t="str">
        <f t="shared" ca="1" si="143"/>
        <v/>
      </c>
      <c r="FS46" s="74" t="str">
        <f t="shared" ca="1" si="143"/>
        <v/>
      </c>
      <c r="FT46" s="74" t="str">
        <f t="shared" ca="1" si="143"/>
        <v/>
      </c>
      <c r="FU46" s="74" t="str">
        <f t="shared" ca="1" si="143"/>
        <v/>
      </c>
      <c r="FV46" s="74" t="str">
        <f t="shared" ca="1" si="143"/>
        <v/>
      </c>
      <c r="FW46" s="74" t="str">
        <f t="shared" ca="1" si="143"/>
        <v/>
      </c>
      <c r="FX46" s="74" t="str">
        <f t="shared" ca="1" si="144"/>
        <v/>
      </c>
      <c r="FY46" s="74" t="str">
        <f t="shared" ca="1" si="144"/>
        <v/>
      </c>
      <c r="FZ46" s="74" t="str">
        <f t="shared" ca="1" si="144"/>
        <v/>
      </c>
      <c r="GA46" s="74" t="str">
        <f t="shared" ca="1" si="144"/>
        <v/>
      </c>
      <c r="GB46" s="74" t="str">
        <f t="shared" ca="1" si="144"/>
        <v/>
      </c>
      <c r="GC46" s="74" t="str">
        <f t="shared" ca="1" si="144"/>
        <v/>
      </c>
      <c r="GD46" s="74" t="str">
        <f t="shared" ca="1" si="144"/>
        <v/>
      </c>
      <c r="GE46" s="74" t="str">
        <f t="shared" ca="1" si="144"/>
        <v/>
      </c>
      <c r="GF46" s="74" t="str">
        <f t="shared" ca="1" si="144"/>
        <v/>
      </c>
      <c r="GG46" s="74" t="str">
        <f t="shared" ca="1" si="144"/>
        <v/>
      </c>
      <c r="GH46" s="74" t="str">
        <f t="shared" ca="1" si="145"/>
        <v/>
      </c>
      <c r="GI46" s="74" t="str">
        <f t="shared" ca="1" si="145"/>
        <v/>
      </c>
      <c r="GJ46" s="74" t="str">
        <f t="shared" ca="1" si="145"/>
        <v/>
      </c>
      <c r="GK46" s="74" t="str">
        <f t="shared" ca="1" si="145"/>
        <v/>
      </c>
      <c r="GL46" s="74" t="str">
        <f t="shared" ca="1" si="145"/>
        <v/>
      </c>
      <c r="GM46" s="74" t="str">
        <f t="shared" ca="1" si="145"/>
        <v/>
      </c>
      <c r="GN46" s="74" t="str">
        <f t="shared" ca="1" si="145"/>
        <v/>
      </c>
      <c r="GO46" s="74" t="str">
        <f t="shared" ca="1" si="145"/>
        <v/>
      </c>
      <c r="GP46" s="74" t="str">
        <f t="shared" ca="1" si="145"/>
        <v/>
      </c>
      <c r="GQ46" s="74" t="str">
        <f t="shared" ca="1" si="145"/>
        <v/>
      </c>
      <c r="GR46" s="74" t="str">
        <f t="shared" ca="1" si="146"/>
        <v/>
      </c>
      <c r="GS46" s="74" t="str">
        <f t="shared" ca="1" si="146"/>
        <v/>
      </c>
      <c r="GT46" s="74" t="str">
        <f t="shared" ca="1" si="146"/>
        <v/>
      </c>
      <c r="GU46" s="74" t="str">
        <f t="shared" ca="1" si="146"/>
        <v/>
      </c>
      <c r="GV46" s="74" t="str">
        <f t="shared" ca="1" si="146"/>
        <v/>
      </c>
      <c r="GW46" s="74" t="str">
        <f t="shared" ca="1" si="146"/>
        <v/>
      </c>
      <c r="GX46" s="74" t="str">
        <f t="shared" ca="1" si="146"/>
        <v/>
      </c>
      <c r="GY46" s="74" t="str">
        <f t="shared" ca="1" si="146"/>
        <v/>
      </c>
      <c r="GZ46" s="74" t="str">
        <f t="shared" ca="1" si="146"/>
        <v/>
      </c>
      <c r="HA46" s="74" t="str">
        <f t="shared" ca="1" si="146"/>
        <v/>
      </c>
      <c r="HB46" s="74" t="str">
        <f t="shared" ca="1" si="147"/>
        <v/>
      </c>
      <c r="HC46" s="74" t="str">
        <f t="shared" ca="1" si="147"/>
        <v/>
      </c>
      <c r="HD46" s="74" t="str">
        <f t="shared" ca="1" si="147"/>
        <v/>
      </c>
      <c r="HE46" s="74" t="str">
        <f t="shared" ca="1" si="147"/>
        <v/>
      </c>
      <c r="HF46" s="74" t="str">
        <f t="shared" ca="1" si="147"/>
        <v/>
      </c>
      <c r="HG46" s="74" t="str">
        <f t="shared" ca="1" si="147"/>
        <v/>
      </c>
      <c r="HH46" s="74" t="str">
        <f t="shared" ca="1" si="147"/>
        <v/>
      </c>
      <c r="HI46" s="74" t="str">
        <f t="shared" ca="1" si="147"/>
        <v/>
      </c>
      <c r="HJ46" s="74" t="str">
        <f t="shared" ca="1" si="147"/>
        <v/>
      </c>
      <c r="HK46" s="74" t="str">
        <f t="shared" ca="1" si="147"/>
        <v/>
      </c>
      <c r="HL46" s="74" t="str">
        <f t="shared" ca="1" si="148"/>
        <v/>
      </c>
      <c r="HM46" s="74" t="str">
        <f t="shared" ca="1" si="148"/>
        <v/>
      </c>
      <c r="HN46" s="74" t="str">
        <f t="shared" ca="1" si="148"/>
        <v/>
      </c>
      <c r="HO46" s="74" t="str">
        <f t="shared" ca="1" si="148"/>
        <v/>
      </c>
      <c r="HP46" s="74" t="str">
        <f t="shared" ca="1" si="148"/>
        <v/>
      </c>
      <c r="HQ46" s="74" t="str">
        <f t="shared" ca="1" si="148"/>
        <v/>
      </c>
      <c r="HR46" s="74" t="str">
        <f t="shared" ca="1" si="148"/>
        <v/>
      </c>
      <c r="HS46" s="74" t="str">
        <f t="shared" ca="1" si="148"/>
        <v/>
      </c>
      <c r="HT46" s="74" t="str">
        <f t="shared" ca="1" si="148"/>
        <v/>
      </c>
      <c r="HU46" s="74" t="str">
        <f t="shared" ca="1" si="148"/>
        <v/>
      </c>
      <c r="HV46" s="74" t="str">
        <f t="shared" ca="1" si="149"/>
        <v/>
      </c>
      <c r="HW46" s="74" t="str">
        <f t="shared" ca="1" si="149"/>
        <v/>
      </c>
      <c r="HX46" s="74" t="str">
        <f t="shared" ca="1" si="149"/>
        <v/>
      </c>
      <c r="HY46" s="74" t="str">
        <f t="shared" ca="1" si="149"/>
        <v/>
      </c>
      <c r="HZ46" s="74" t="str">
        <f t="shared" ca="1" si="149"/>
        <v/>
      </c>
      <c r="IA46" s="74" t="str">
        <f t="shared" ca="1" si="149"/>
        <v/>
      </c>
      <c r="IB46" s="74" t="str">
        <f t="shared" ca="1" si="149"/>
        <v/>
      </c>
      <c r="IC46" s="74" t="str">
        <f t="shared" ca="1" si="149"/>
        <v/>
      </c>
      <c r="ID46" s="74" t="str">
        <f t="shared" ca="1" si="149"/>
        <v/>
      </c>
      <c r="IE46" s="74" t="str">
        <f t="shared" ca="1" si="149"/>
        <v/>
      </c>
      <c r="IF46" s="74" t="str">
        <f t="shared" ca="1" si="150"/>
        <v/>
      </c>
      <c r="IG46" s="74" t="str">
        <f t="shared" ca="1" si="150"/>
        <v/>
      </c>
      <c r="IH46" s="74" t="str">
        <f t="shared" ca="1" si="150"/>
        <v/>
      </c>
      <c r="II46" s="74" t="str">
        <f t="shared" ca="1" si="150"/>
        <v/>
      </c>
      <c r="IJ46" s="74" t="str">
        <f t="shared" ca="1" si="150"/>
        <v/>
      </c>
      <c r="IK46" s="74" t="str">
        <f t="shared" ca="1" si="150"/>
        <v/>
      </c>
      <c r="IL46" s="74" t="str">
        <f t="shared" ca="1" si="150"/>
        <v/>
      </c>
      <c r="IM46" s="74" t="str">
        <f t="shared" ca="1" si="150"/>
        <v/>
      </c>
      <c r="IN46" s="74" t="str">
        <f t="shared" ca="1" si="150"/>
        <v/>
      </c>
      <c r="IO46" s="74" t="str">
        <f t="shared" ca="1" si="150"/>
        <v/>
      </c>
      <c r="IP46" s="74" t="str">
        <f t="shared" ca="1" si="151"/>
        <v/>
      </c>
      <c r="IQ46" s="74" t="str">
        <f t="shared" ca="1" si="151"/>
        <v/>
      </c>
      <c r="IR46" s="74" t="str">
        <f t="shared" ca="1" si="151"/>
        <v/>
      </c>
      <c r="IS46" s="74" t="str">
        <f t="shared" ca="1" si="151"/>
        <v/>
      </c>
      <c r="IT46" s="74" t="str">
        <f t="shared" ca="1" si="151"/>
        <v/>
      </c>
      <c r="IU46" s="74" t="str">
        <f t="shared" ca="1" si="151"/>
        <v/>
      </c>
      <c r="IV46" s="74" t="str">
        <f t="shared" ca="1" si="151"/>
        <v/>
      </c>
      <c r="IW46" s="74" t="str">
        <f t="shared" ca="1" si="151"/>
        <v/>
      </c>
      <c r="IX46" s="74" t="str">
        <f t="shared" ca="1" si="151"/>
        <v/>
      </c>
      <c r="IY46" s="74" t="str">
        <f t="shared" ca="1" si="151"/>
        <v/>
      </c>
      <c r="IZ46" s="74" t="str">
        <f t="shared" ca="1" si="152"/>
        <v/>
      </c>
      <c r="JA46" s="74" t="str">
        <f t="shared" ca="1" si="152"/>
        <v/>
      </c>
      <c r="JB46" s="74" t="str">
        <f t="shared" ca="1" si="152"/>
        <v/>
      </c>
      <c r="JC46" s="74" t="str">
        <f t="shared" ca="1" si="152"/>
        <v/>
      </c>
      <c r="JD46" s="74" t="str">
        <f t="shared" ca="1" si="152"/>
        <v/>
      </c>
      <c r="JE46" s="74" t="str">
        <f t="shared" ca="1" si="152"/>
        <v/>
      </c>
      <c r="JF46" s="74" t="str">
        <f t="shared" ca="1" si="152"/>
        <v/>
      </c>
      <c r="JG46" s="74" t="str">
        <f t="shared" ca="1" si="152"/>
        <v/>
      </c>
      <c r="JH46" s="74" t="str">
        <f t="shared" ca="1" si="152"/>
        <v/>
      </c>
      <c r="JI46" s="74" t="str">
        <f t="shared" ca="1" si="152"/>
        <v/>
      </c>
      <c r="JJ46" s="74" t="str">
        <f t="shared" ca="1" si="153"/>
        <v/>
      </c>
      <c r="JK46" s="74" t="str">
        <f t="shared" ca="1" si="153"/>
        <v/>
      </c>
      <c r="JL46" s="74" t="str">
        <f t="shared" ca="1" si="153"/>
        <v/>
      </c>
      <c r="JM46" s="74" t="str">
        <f t="shared" ca="1" si="153"/>
        <v/>
      </c>
      <c r="JN46" s="74" t="str">
        <f t="shared" ca="1" si="153"/>
        <v/>
      </c>
      <c r="JO46" s="74" t="str">
        <f t="shared" ca="1" si="153"/>
        <v/>
      </c>
      <c r="JP46" s="74" t="str">
        <f t="shared" ca="1" si="153"/>
        <v/>
      </c>
      <c r="JQ46" s="74" t="str">
        <f t="shared" ca="1" si="153"/>
        <v/>
      </c>
      <c r="JR46" s="74" t="str">
        <f t="shared" ca="1" si="153"/>
        <v/>
      </c>
      <c r="JS46" s="74" t="str">
        <f t="shared" ca="1" si="153"/>
        <v/>
      </c>
      <c r="JT46" s="74" t="str">
        <f t="shared" ca="1" si="154"/>
        <v/>
      </c>
      <c r="JU46" s="74" t="str">
        <f t="shared" ca="1" si="154"/>
        <v/>
      </c>
      <c r="JV46" s="74" t="str">
        <f t="shared" ca="1" si="154"/>
        <v/>
      </c>
      <c r="JW46" s="74" t="str">
        <f t="shared" ca="1" si="154"/>
        <v/>
      </c>
      <c r="JX46" s="74" t="str">
        <f t="shared" ca="1" si="154"/>
        <v/>
      </c>
      <c r="JY46" s="74" t="str">
        <f t="shared" ca="1" si="154"/>
        <v/>
      </c>
      <c r="JZ46" s="74" t="str">
        <f t="shared" ca="1" si="154"/>
        <v/>
      </c>
      <c r="KA46" s="74" t="str">
        <f t="shared" ca="1" si="154"/>
        <v/>
      </c>
      <c r="KB46" s="74" t="str">
        <f t="shared" ca="1" si="154"/>
        <v/>
      </c>
      <c r="KC46" s="74" t="str">
        <f t="shared" ca="1" si="154"/>
        <v/>
      </c>
      <c r="KD46" s="74" t="str">
        <f t="shared" ca="1" si="155"/>
        <v/>
      </c>
      <c r="KE46" s="74" t="str">
        <f t="shared" ca="1" si="155"/>
        <v/>
      </c>
      <c r="KF46" s="74" t="str">
        <f t="shared" ca="1" si="155"/>
        <v/>
      </c>
      <c r="KG46" s="74" t="str">
        <f t="shared" ca="1" si="155"/>
        <v/>
      </c>
      <c r="KH46" s="74" t="str">
        <f t="shared" ca="1" si="155"/>
        <v/>
      </c>
      <c r="KI46" s="74" t="str">
        <f t="shared" ca="1" si="155"/>
        <v/>
      </c>
      <c r="KJ46" s="74" t="str">
        <f t="shared" ca="1" si="155"/>
        <v/>
      </c>
      <c r="KK46" s="74" t="str">
        <f t="shared" ca="1" si="155"/>
        <v/>
      </c>
      <c r="KL46" s="74" t="str">
        <f t="shared" ca="1" si="155"/>
        <v/>
      </c>
      <c r="KM46" s="74" t="str">
        <f t="shared" ca="1" si="155"/>
        <v/>
      </c>
      <c r="KN46" s="74" t="str">
        <f t="shared" ca="1" si="156"/>
        <v/>
      </c>
      <c r="KO46" s="74" t="str">
        <f t="shared" ca="1" si="156"/>
        <v/>
      </c>
      <c r="KP46" s="74" t="str">
        <f t="shared" ca="1" si="156"/>
        <v/>
      </c>
      <c r="KQ46" s="74" t="str">
        <f t="shared" ca="1" si="156"/>
        <v/>
      </c>
      <c r="KR46" s="74" t="str">
        <f t="shared" ca="1" si="156"/>
        <v/>
      </c>
      <c r="KS46" s="74" t="str">
        <f t="shared" ca="1" si="156"/>
        <v/>
      </c>
      <c r="KT46" s="74" t="str">
        <f t="shared" ca="1" si="156"/>
        <v/>
      </c>
      <c r="KU46" s="74" t="str">
        <f t="shared" ca="1" si="156"/>
        <v/>
      </c>
      <c r="KV46" s="74" t="str">
        <f t="shared" ca="1" si="156"/>
        <v/>
      </c>
      <c r="KW46" s="74" t="str">
        <f t="shared" ca="1" si="156"/>
        <v/>
      </c>
      <c r="KX46" s="74" t="str">
        <f t="shared" ca="1" si="157"/>
        <v/>
      </c>
      <c r="KY46" s="74" t="str">
        <f t="shared" ca="1" si="157"/>
        <v/>
      </c>
      <c r="KZ46" s="74" t="str">
        <f t="shared" ca="1" si="157"/>
        <v/>
      </c>
      <c r="LA46" s="74" t="str">
        <f t="shared" ca="1" si="157"/>
        <v/>
      </c>
      <c r="LB46" s="74" t="str">
        <f t="shared" ca="1" si="157"/>
        <v/>
      </c>
      <c r="LC46" s="74" t="str">
        <f t="shared" ca="1" si="157"/>
        <v/>
      </c>
      <c r="LD46" s="74" t="str">
        <f t="shared" ca="1" si="157"/>
        <v/>
      </c>
      <c r="LE46" s="74" t="str">
        <f t="shared" ca="1" si="157"/>
        <v/>
      </c>
      <c r="LF46" s="74" t="str">
        <f t="shared" ca="1" si="157"/>
        <v/>
      </c>
      <c r="LG46" s="74" t="str">
        <f t="shared" ca="1" si="157"/>
        <v/>
      </c>
      <c r="LH46" s="74" t="str">
        <f t="shared" ca="1" si="158"/>
        <v/>
      </c>
      <c r="LI46" s="74" t="str">
        <f t="shared" ca="1" si="158"/>
        <v/>
      </c>
      <c r="LJ46" s="74" t="str">
        <f t="shared" ca="1" si="158"/>
        <v/>
      </c>
      <c r="LK46" s="74" t="str">
        <f t="shared" ca="1" si="158"/>
        <v/>
      </c>
      <c r="LL46" s="74" t="str">
        <f t="shared" ca="1" si="158"/>
        <v/>
      </c>
      <c r="LM46" s="74" t="str">
        <f t="shared" ca="1" si="158"/>
        <v/>
      </c>
      <c r="LN46" s="74" t="str">
        <f t="shared" ca="1" si="158"/>
        <v/>
      </c>
      <c r="LO46" s="74" t="str">
        <f t="shared" ca="1" si="158"/>
        <v/>
      </c>
      <c r="LP46" s="74" t="str">
        <f t="shared" ca="1" si="158"/>
        <v/>
      </c>
      <c r="LQ46" s="74" t="str">
        <f t="shared" ca="1" si="158"/>
        <v/>
      </c>
      <c r="LR46" s="74" t="str">
        <f t="shared" ca="1" si="159"/>
        <v/>
      </c>
      <c r="LS46" s="74" t="str">
        <f t="shared" ca="1" si="159"/>
        <v/>
      </c>
      <c r="LT46" s="74" t="str">
        <f t="shared" ca="1" si="159"/>
        <v/>
      </c>
      <c r="LU46" s="74" t="str">
        <f t="shared" ca="1" si="159"/>
        <v/>
      </c>
      <c r="LV46" s="74" t="str">
        <f t="shared" ca="1" si="159"/>
        <v/>
      </c>
      <c r="LW46" s="74" t="str">
        <f t="shared" ca="1" si="159"/>
        <v/>
      </c>
      <c r="LX46" s="74" t="str">
        <f t="shared" ca="1" si="159"/>
        <v/>
      </c>
      <c r="LY46" s="74" t="str">
        <f t="shared" ca="1" si="159"/>
        <v/>
      </c>
      <c r="LZ46" s="74" t="str">
        <f t="shared" ca="1" si="159"/>
        <v/>
      </c>
      <c r="MA46" s="74" t="str">
        <f t="shared" ca="1" si="159"/>
        <v/>
      </c>
      <c r="MB46" s="74" t="str">
        <f t="shared" ca="1" si="160"/>
        <v/>
      </c>
      <c r="MC46" s="74" t="str">
        <f t="shared" ca="1" si="160"/>
        <v/>
      </c>
      <c r="MD46" s="74" t="str">
        <f t="shared" ca="1" si="160"/>
        <v/>
      </c>
      <c r="ME46" s="74" t="str">
        <f t="shared" ca="1" si="160"/>
        <v/>
      </c>
      <c r="MF46" s="74" t="str">
        <f t="shared" ca="1" si="160"/>
        <v/>
      </c>
      <c r="MG46" s="74" t="str">
        <f t="shared" ca="1" si="160"/>
        <v/>
      </c>
      <c r="MH46" s="74" t="str">
        <f t="shared" ca="1" si="160"/>
        <v/>
      </c>
      <c r="MI46" s="74" t="str">
        <f t="shared" ca="1" si="160"/>
        <v/>
      </c>
      <c r="MJ46" s="74" t="str">
        <f t="shared" ca="1" si="160"/>
        <v/>
      </c>
      <c r="MK46" s="74" t="str">
        <f t="shared" ca="1" si="160"/>
        <v/>
      </c>
      <c r="ML46" s="74" t="str">
        <f t="shared" ca="1" si="161"/>
        <v/>
      </c>
      <c r="MM46" s="74" t="str">
        <f t="shared" ca="1" si="161"/>
        <v/>
      </c>
      <c r="MN46" s="74" t="str">
        <f t="shared" ca="1" si="161"/>
        <v/>
      </c>
      <c r="MO46" s="74" t="str">
        <f t="shared" ca="1" si="161"/>
        <v/>
      </c>
      <c r="MP46" s="74" t="str">
        <f t="shared" ca="1" si="161"/>
        <v/>
      </c>
      <c r="MQ46" s="74" t="str">
        <f t="shared" ca="1" si="161"/>
        <v/>
      </c>
      <c r="MR46" s="74" t="str">
        <f t="shared" ca="1" si="161"/>
        <v/>
      </c>
      <c r="MS46" s="74" t="str">
        <f t="shared" ca="1" si="161"/>
        <v/>
      </c>
      <c r="MT46" s="74" t="str">
        <f t="shared" ca="1" si="161"/>
        <v/>
      </c>
      <c r="MU46" s="74" t="str">
        <f t="shared" ca="1" si="161"/>
        <v/>
      </c>
      <c r="MV46" s="74" t="str">
        <f t="shared" ca="1" si="162"/>
        <v/>
      </c>
      <c r="MW46" s="74" t="str">
        <f t="shared" ca="1" si="162"/>
        <v/>
      </c>
      <c r="MX46" s="74" t="str">
        <f t="shared" ca="1" si="162"/>
        <v/>
      </c>
      <c r="MY46" s="74" t="str">
        <f t="shared" ca="1" si="162"/>
        <v/>
      </c>
      <c r="MZ46" s="74" t="str">
        <f t="shared" ca="1" si="162"/>
        <v/>
      </c>
      <c r="NA46" s="74" t="str">
        <f t="shared" ca="1" si="162"/>
        <v/>
      </c>
      <c r="NB46" s="74" t="str">
        <f t="shared" ca="1" si="162"/>
        <v/>
      </c>
      <c r="NC46" s="74" t="str">
        <f t="shared" ca="1" si="162"/>
        <v/>
      </c>
      <c r="ND46" s="74" t="str">
        <f t="shared" ca="1" si="162"/>
        <v/>
      </c>
      <c r="NE46" s="74" t="str">
        <f t="shared" ca="1" si="162"/>
        <v/>
      </c>
      <c r="NF46" s="74" t="str">
        <f t="shared" ca="1" si="163"/>
        <v/>
      </c>
      <c r="NG46" s="74" t="str">
        <f t="shared" ca="1" si="163"/>
        <v/>
      </c>
      <c r="NH46" s="74" t="str">
        <f t="shared" ca="1" si="163"/>
        <v/>
      </c>
      <c r="NI46" s="74" t="str">
        <f t="shared" ca="1" si="163"/>
        <v/>
      </c>
      <c r="NJ46" s="74" t="str">
        <f t="shared" ca="1" si="163"/>
        <v/>
      </c>
      <c r="NK46" s="74" t="str">
        <f t="shared" ca="1" si="163"/>
        <v/>
      </c>
      <c r="NL46" s="74" t="str">
        <f t="shared" ca="1" si="163"/>
        <v/>
      </c>
      <c r="NM46" s="74" t="str">
        <f t="shared" ca="1" si="163"/>
        <v/>
      </c>
      <c r="NN46" s="74" t="str">
        <f t="shared" ca="1" si="163"/>
        <v/>
      </c>
      <c r="NO46" s="74" t="str">
        <f t="shared" ca="1" si="163"/>
        <v/>
      </c>
      <c r="NP46" s="74" t="str">
        <f t="shared" ca="1" si="164"/>
        <v/>
      </c>
      <c r="NQ46" s="74" t="str">
        <f t="shared" ca="1" si="164"/>
        <v/>
      </c>
      <c r="NR46" s="74" t="str">
        <f t="shared" ca="1" si="164"/>
        <v/>
      </c>
      <c r="NS46" s="74" t="str">
        <f t="shared" ca="1" si="164"/>
        <v/>
      </c>
      <c r="NT46" s="74" t="str">
        <f t="shared" ca="1" si="164"/>
        <v/>
      </c>
      <c r="NU46" s="74" t="str">
        <f t="shared" ca="1" si="164"/>
        <v/>
      </c>
      <c r="NV46" s="74" t="str">
        <f t="shared" ca="1" si="164"/>
        <v/>
      </c>
      <c r="NW46" s="74" t="str">
        <f t="shared" ca="1" si="164"/>
        <v/>
      </c>
      <c r="NX46" s="74" t="str">
        <f t="shared" ca="1" si="164"/>
        <v/>
      </c>
      <c r="NY46" s="74" t="str">
        <f t="shared" ca="1" si="164"/>
        <v/>
      </c>
      <c r="NZ46" s="74" t="str">
        <f t="shared" ca="1" si="165"/>
        <v/>
      </c>
      <c r="OA46" s="74" t="str">
        <f t="shared" ca="1" si="165"/>
        <v/>
      </c>
      <c r="OB46" s="74" t="str">
        <f t="shared" ca="1" si="165"/>
        <v/>
      </c>
      <c r="OC46" s="74" t="str">
        <f t="shared" ca="1" si="165"/>
        <v/>
      </c>
      <c r="OD46" s="74" t="str">
        <f t="shared" ca="1" si="165"/>
        <v/>
      </c>
      <c r="OE46" s="74" t="str">
        <f t="shared" ca="1" si="165"/>
        <v/>
      </c>
      <c r="OF46" s="74" t="str">
        <f t="shared" ca="1" si="165"/>
        <v/>
      </c>
      <c r="OG46" s="74" t="str">
        <f t="shared" ca="1" si="165"/>
        <v/>
      </c>
      <c r="OH46" s="74" t="str">
        <f t="shared" ca="1" si="165"/>
        <v/>
      </c>
      <c r="OI46" s="74" t="str">
        <f t="shared" ca="1" si="165"/>
        <v/>
      </c>
      <c r="OJ46" s="74" t="str">
        <f t="shared" ca="1" si="166"/>
        <v/>
      </c>
      <c r="OK46" s="74" t="str">
        <f t="shared" ca="1" si="166"/>
        <v/>
      </c>
      <c r="OL46" s="74" t="str">
        <f t="shared" ca="1" si="166"/>
        <v/>
      </c>
      <c r="OM46" s="74" t="str">
        <f t="shared" ca="1" si="166"/>
        <v/>
      </c>
      <c r="ON46" s="74" t="str">
        <f t="shared" ca="1" si="166"/>
        <v/>
      </c>
      <c r="OO46" s="74" t="str">
        <f t="shared" ca="1" si="166"/>
        <v/>
      </c>
      <c r="OP46" s="74" t="str">
        <f t="shared" ca="1" si="166"/>
        <v/>
      </c>
      <c r="OQ46" s="74" t="str">
        <f t="shared" ca="1" si="166"/>
        <v/>
      </c>
      <c r="OR46" s="74" t="str">
        <f t="shared" ca="1" si="166"/>
        <v/>
      </c>
      <c r="OS46" s="74" t="str">
        <f t="shared" ca="1" si="166"/>
        <v/>
      </c>
      <c r="OT46" s="74" t="str">
        <f t="shared" ca="1" si="167"/>
        <v/>
      </c>
      <c r="OU46" s="74" t="str">
        <f t="shared" ca="1" si="167"/>
        <v/>
      </c>
      <c r="OV46" s="74" t="str">
        <f t="shared" ca="1" si="167"/>
        <v/>
      </c>
      <c r="OW46" s="74" t="str">
        <f t="shared" ca="1" si="167"/>
        <v/>
      </c>
      <c r="OX46" s="74" t="str">
        <f t="shared" ca="1" si="167"/>
        <v/>
      </c>
      <c r="OY46" s="74" t="str">
        <f t="shared" ca="1" si="167"/>
        <v/>
      </c>
      <c r="OZ46" s="74" t="str">
        <f t="shared" ca="1" si="167"/>
        <v/>
      </c>
      <c r="PA46" s="74" t="str">
        <f t="shared" ca="1" si="167"/>
        <v/>
      </c>
      <c r="PB46" s="74" t="str">
        <f t="shared" ca="1" si="167"/>
        <v/>
      </c>
      <c r="PC46" s="74" t="str">
        <f t="shared" ca="1" si="167"/>
        <v/>
      </c>
      <c r="PD46" s="74" t="str">
        <f t="shared" ca="1" si="168"/>
        <v/>
      </c>
      <c r="PE46" s="74" t="str">
        <f t="shared" ca="1" si="168"/>
        <v/>
      </c>
      <c r="PF46" s="74" t="str">
        <f t="shared" ca="1" si="168"/>
        <v/>
      </c>
      <c r="PG46" s="74" t="str">
        <f t="shared" ca="1" si="168"/>
        <v/>
      </c>
      <c r="PH46" s="74" t="str">
        <f t="shared" ca="1" si="168"/>
        <v/>
      </c>
      <c r="PI46" s="74" t="str">
        <f t="shared" ca="1" si="168"/>
        <v/>
      </c>
      <c r="PJ46" s="74" t="str">
        <f t="shared" ca="1" si="168"/>
        <v/>
      </c>
      <c r="PK46" s="74" t="str">
        <f t="shared" ca="1" si="168"/>
        <v/>
      </c>
      <c r="PL46" s="74" t="str">
        <f t="shared" ca="1" si="168"/>
        <v/>
      </c>
      <c r="PM46" s="74" t="str">
        <f t="shared" ca="1" si="168"/>
        <v/>
      </c>
      <c r="PN46" s="74" t="str">
        <f t="shared" ca="1" si="169"/>
        <v/>
      </c>
      <c r="PO46" s="74" t="str">
        <f t="shared" ca="1" si="169"/>
        <v/>
      </c>
      <c r="PP46" s="74" t="str">
        <f t="shared" ca="1" si="169"/>
        <v/>
      </c>
      <c r="PQ46" s="74" t="str">
        <f t="shared" ca="1" si="169"/>
        <v/>
      </c>
      <c r="PR46" s="74" t="str">
        <f t="shared" ca="1" si="169"/>
        <v/>
      </c>
      <c r="PS46" s="74" t="str">
        <f t="shared" ca="1" si="169"/>
        <v/>
      </c>
      <c r="PT46" s="74" t="str">
        <f t="shared" ca="1" si="169"/>
        <v/>
      </c>
      <c r="PU46" s="74" t="str">
        <f t="shared" ca="1" si="169"/>
        <v/>
      </c>
      <c r="PV46" s="74" t="str">
        <f t="shared" ca="1" si="169"/>
        <v/>
      </c>
      <c r="PW46" s="74" t="str">
        <f t="shared" ca="1" si="169"/>
        <v/>
      </c>
      <c r="PX46" s="74" t="str">
        <f t="shared" ca="1" si="170"/>
        <v/>
      </c>
      <c r="PY46" s="74" t="str">
        <f t="shared" ca="1" si="170"/>
        <v/>
      </c>
      <c r="PZ46" s="74" t="str">
        <f t="shared" ca="1" si="170"/>
        <v/>
      </c>
      <c r="QA46" s="74" t="str">
        <f t="shared" ca="1" si="170"/>
        <v/>
      </c>
      <c r="QB46" s="74" t="str">
        <f t="shared" ca="1" si="170"/>
        <v/>
      </c>
      <c r="QC46" s="74" t="str">
        <f t="shared" ca="1" si="170"/>
        <v/>
      </c>
      <c r="QD46" s="74" t="str">
        <f t="shared" ca="1" si="170"/>
        <v/>
      </c>
      <c r="QE46" s="74" t="str">
        <f t="shared" ca="1" si="170"/>
        <v/>
      </c>
      <c r="QF46" s="74" t="str">
        <f t="shared" ca="1" si="170"/>
        <v/>
      </c>
      <c r="QG46" s="74" t="str">
        <f t="shared" ca="1" si="170"/>
        <v/>
      </c>
      <c r="QH46" s="74" t="str">
        <f t="shared" ca="1" si="171"/>
        <v/>
      </c>
      <c r="QI46" s="74" t="str">
        <f t="shared" ca="1" si="171"/>
        <v/>
      </c>
      <c r="QJ46" s="74" t="str">
        <f t="shared" ca="1" si="171"/>
        <v/>
      </c>
      <c r="QK46" s="74" t="str">
        <f t="shared" ca="1" si="171"/>
        <v/>
      </c>
      <c r="QL46" s="74" t="str">
        <f t="shared" ca="1" si="171"/>
        <v/>
      </c>
      <c r="QM46" s="74" t="str">
        <f t="shared" ca="1" si="171"/>
        <v/>
      </c>
      <c r="QN46" s="74" t="str">
        <f t="shared" ca="1" si="171"/>
        <v/>
      </c>
      <c r="QO46" s="74" t="str">
        <f t="shared" ca="1" si="171"/>
        <v/>
      </c>
      <c r="QP46" s="74" t="str">
        <f t="shared" ca="1" si="171"/>
        <v/>
      </c>
      <c r="QQ46" s="74" t="str">
        <f t="shared" ca="1" si="171"/>
        <v/>
      </c>
      <c r="QR46" s="74" t="str">
        <f t="shared" ca="1" si="172"/>
        <v/>
      </c>
      <c r="QS46" s="74" t="str">
        <f t="shared" ca="1" si="172"/>
        <v/>
      </c>
      <c r="QT46" s="74" t="str">
        <f t="shared" ca="1" si="172"/>
        <v/>
      </c>
      <c r="QU46" s="74" t="str">
        <f t="shared" ca="1" si="172"/>
        <v/>
      </c>
      <c r="QV46" s="74" t="str">
        <f t="shared" ca="1" si="172"/>
        <v/>
      </c>
      <c r="QW46" s="74" t="str">
        <f t="shared" ca="1" si="172"/>
        <v/>
      </c>
      <c r="QX46" s="74" t="str">
        <f t="shared" ca="1" si="172"/>
        <v/>
      </c>
      <c r="QY46" s="74" t="str">
        <f t="shared" ca="1" si="172"/>
        <v/>
      </c>
      <c r="QZ46" s="74" t="str">
        <f t="shared" ca="1" si="172"/>
        <v/>
      </c>
      <c r="RA46" s="74" t="str">
        <f t="shared" ca="1" si="172"/>
        <v/>
      </c>
      <c r="RB46" s="74" t="str">
        <f t="shared" ca="1" si="173"/>
        <v/>
      </c>
      <c r="RC46" s="74" t="str">
        <f t="shared" ca="1" si="173"/>
        <v/>
      </c>
      <c r="RD46" s="74" t="str">
        <f t="shared" ca="1" si="173"/>
        <v/>
      </c>
      <c r="RE46" s="74" t="str">
        <f t="shared" ca="1" si="173"/>
        <v/>
      </c>
      <c r="RF46" s="74" t="str">
        <f t="shared" ca="1" si="173"/>
        <v/>
      </c>
      <c r="RG46" s="74" t="str">
        <f t="shared" ca="1" si="173"/>
        <v/>
      </c>
      <c r="RH46" s="74" t="str">
        <f t="shared" ca="1" si="173"/>
        <v/>
      </c>
      <c r="RI46" s="74" t="str">
        <f t="shared" ca="1" si="173"/>
        <v/>
      </c>
      <c r="RJ46" s="74" t="str">
        <f t="shared" ca="1" si="173"/>
        <v/>
      </c>
      <c r="RK46" s="74" t="str">
        <f t="shared" ca="1" si="173"/>
        <v/>
      </c>
      <c r="RL46" s="74" t="str">
        <f t="shared" ca="1" si="174"/>
        <v/>
      </c>
      <c r="RM46" s="74" t="str">
        <f t="shared" ca="1" si="174"/>
        <v/>
      </c>
      <c r="RN46" s="74" t="str">
        <f t="shared" ca="1" si="174"/>
        <v/>
      </c>
      <c r="RO46" s="74" t="str">
        <f t="shared" ca="1" si="174"/>
        <v/>
      </c>
      <c r="RP46" s="74" t="str">
        <f t="shared" ca="1" si="174"/>
        <v/>
      </c>
      <c r="RQ46" s="74" t="str">
        <f t="shared" ca="1" si="174"/>
        <v/>
      </c>
      <c r="RR46" s="74" t="str">
        <f t="shared" ca="1" si="174"/>
        <v/>
      </c>
      <c r="RS46" s="74" t="str">
        <f t="shared" ca="1" si="174"/>
        <v/>
      </c>
      <c r="RT46" s="74" t="str">
        <f t="shared" ca="1" si="174"/>
        <v/>
      </c>
      <c r="RU46" s="74" t="str">
        <f t="shared" ca="1" si="174"/>
        <v/>
      </c>
      <c r="RV46" s="74" t="str">
        <f t="shared" ca="1" si="175"/>
        <v/>
      </c>
      <c r="RW46" s="74" t="str">
        <f t="shared" ca="1" si="175"/>
        <v/>
      </c>
      <c r="RX46" s="74" t="str">
        <f t="shared" ca="1" si="175"/>
        <v/>
      </c>
      <c r="RY46" s="74" t="str">
        <f t="shared" ca="1" si="175"/>
        <v/>
      </c>
      <c r="RZ46" s="74" t="str">
        <f t="shared" ca="1" si="175"/>
        <v/>
      </c>
      <c r="SA46" s="74" t="str">
        <f t="shared" ca="1" si="175"/>
        <v/>
      </c>
      <c r="SB46" s="74" t="str">
        <f t="shared" ca="1" si="175"/>
        <v/>
      </c>
      <c r="SC46" s="74" t="str">
        <f t="shared" ca="1" si="175"/>
        <v/>
      </c>
      <c r="SD46" s="74" t="str">
        <f t="shared" ca="1" si="175"/>
        <v/>
      </c>
      <c r="SE46" s="74" t="str">
        <f t="shared" ca="1" si="175"/>
        <v/>
      </c>
      <c r="SF46" s="74" t="str">
        <f t="shared" ca="1" si="176"/>
        <v/>
      </c>
      <c r="SG46" s="74" t="str">
        <f t="shared" ca="1" si="176"/>
        <v/>
      </c>
      <c r="SH46" s="74" t="str">
        <f t="shared" ca="1" si="176"/>
        <v/>
      </c>
      <c r="SI46" s="74" t="str">
        <f t="shared" ca="1" si="176"/>
        <v/>
      </c>
      <c r="SJ46" s="74" t="str">
        <f t="shared" ca="1" si="176"/>
        <v/>
      </c>
      <c r="SK46" s="74" t="str">
        <f t="shared" ca="1" si="176"/>
        <v/>
      </c>
      <c r="SL46" s="74" t="str">
        <f t="shared" ca="1" si="176"/>
        <v/>
      </c>
      <c r="SM46" s="74" t="str">
        <f t="shared" ca="1" si="176"/>
        <v/>
      </c>
      <c r="SN46" s="74" t="str">
        <f t="shared" ca="1" si="176"/>
        <v/>
      </c>
      <c r="SO46" s="74" t="str">
        <f t="shared" ca="1" si="176"/>
        <v/>
      </c>
      <c r="SP46" s="74" t="str">
        <f t="shared" ca="1" si="177"/>
        <v/>
      </c>
      <c r="SQ46" s="74" t="str">
        <f t="shared" ca="1" si="177"/>
        <v/>
      </c>
      <c r="SR46" s="74" t="str">
        <f t="shared" ca="1" si="177"/>
        <v/>
      </c>
      <c r="SS46" s="74" t="str">
        <f t="shared" ca="1" si="177"/>
        <v/>
      </c>
      <c r="ST46" s="74" t="str">
        <f t="shared" ca="1" si="177"/>
        <v/>
      </c>
      <c r="SU46" s="74" t="str">
        <f t="shared" ca="1" si="177"/>
        <v/>
      </c>
      <c r="SV46" s="74" t="str">
        <f t="shared" ca="1" si="177"/>
        <v/>
      </c>
      <c r="SW46" s="74" t="str">
        <f t="shared" ca="1" si="177"/>
        <v/>
      </c>
      <c r="SX46" s="74" t="str">
        <f t="shared" ca="1" si="177"/>
        <v/>
      </c>
      <c r="SY46" s="74" t="str">
        <f t="shared" ca="1" si="177"/>
        <v/>
      </c>
      <c r="SZ46" s="74" t="str">
        <f t="shared" ca="1" si="178"/>
        <v/>
      </c>
      <c r="TA46" s="74" t="str">
        <f t="shared" ca="1" si="178"/>
        <v/>
      </c>
      <c r="TB46" s="74" t="str">
        <f t="shared" ca="1" si="178"/>
        <v/>
      </c>
      <c r="TC46" s="74" t="str">
        <f t="shared" ca="1" si="178"/>
        <v/>
      </c>
      <c r="TD46" s="74" t="str">
        <f t="shared" ca="1" si="178"/>
        <v/>
      </c>
      <c r="TE46" s="74" t="str">
        <f t="shared" ca="1" si="178"/>
        <v/>
      </c>
      <c r="TF46" s="74" t="str">
        <f t="shared" ca="1" si="178"/>
        <v/>
      </c>
      <c r="TG46" s="74" t="str">
        <f t="shared" ca="1" si="178"/>
        <v/>
      </c>
      <c r="TH46" s="74" t="str">
        <f t="shared" ca="1" si="178"/>
        <v/>
      </c>
      <c r="TI46" s="74" t="str">
        <f t="shared" ca="1" si="178"/>
        <v/>
      </c>
      <c r="TJ46" s="74" t="str">
        <f t="shared" ca="1" si="179"/>
        <v/>
      </c>
      <c r="TK46" s="74" t="str">
        <f t="shared" ca="1" si="179"/>
        <v/>
      </c>
      <c r="TL46" s="74" t="str">
        <f t="shared" ca="1" si="179"/>
        <v/>
      </c>
      <c r="TM46" s="74" t="str">
        <f t="shared" ca="1" si="179"/>
        <v/>
      </c>
      <c r="TN46" s="74" t="str">
        <f t="shared" ca="1" si="179"/>
        <v/>
      </c>
      <c r="TO46" s="74" t="str">
        <f t="shared" ca="1" si="179"/>
        <v/>
      </c>
      <c r="TP46" s="74" t="str">
        <f t="shared" ca="1" si="179"/>
        <v/>
      </c>
      <c r="TQ46" s="74" t="str">
        <f t="shared" ca="1" si="179"/>
        <v/>
      </c>
      <c r="TR46" s="74" t="str">
        <f t="shared" ca="1" si="179"/>
        <v/>
      </c>
      <c r="TS46" s="74" t="str">
        <f t="shared" ca="1" si="179"/>
        <v/>
      </c>
      <c r="TT46" s="74" t="str">
        <f t="shared" ca="1" si="180"/>
        <v/>
      </c>
      <c r="TU46" s="74" t="str">
        <f t="shared" ca="1" si="180"/>
        <v/>
      </c>
      <c r="TV46" s="74" t="str">
        <f t="shared" ca="1" si="180"/>
        <v/>
      </c>
      <c r="TW46" s="74" t="str">
        <f t="shared" ca="1" si="180"/>
        <v/>
      </c>
      <c r="TX46" s="74" t="str">
        <f t="shared" ca="1" si="180"/>
        <v/>
      </c>
      <c r="TY46" s="74" t="str">
        <f t="shared" ca="1" si="180"/>
        <v/>
      </c>
      <c r="TZ46" s="74" t="str">
        <f t="shared" ca="1" si="180"/>
        <v/>
      </c>
      <c r="UA46" s="74" t="str">
        <f t="shared" ca="1" si="180"/>
        <v/>
      </c>
      <c r="UB46" s="74" t="str">
        <f t="shared" ca="1" si="180"/>
        <v/>
      </c>
      <c r="UC46" s="74" t="str">
        <f t="shared" ca="1" si="180"/>
        <v/>
      </c>
      <c r="UD46" s="74" t="str">
        <f t="shared" ca="1" si="181"/>
        <v/>
      </c>
      <c r="UE46" s="74" t="str">
        <f t="shared" ca="1" si="181"/>
        <v/>
      </c>
      <c r="UF46" s="74" t="str">
        <f t="shared" ca="1" si="181"/>
        <v/>
      </c>
      <c r="UG46" s="74" t="str">
        <f t="shared" ca="1" si="181"/>
        <v/>
      </c>
      <c r="UH46" s="74" t="str">
        <f t="shared" ca="1" si="181"/>
        <v/>
      </c>
      <c r="UI46" s="74" t="str">
        <f t="shared" ca="1" si="181"/>
        <v/>
      </c>
      <c r="UJ46" s="74" t="str">
        <f t="shared" ca="1" si="181"/>
        <v/>
      </c>
      <c r="UK46" s="74" t="str">
        <f t="shared" ca="1" si="181"/>
        <v/>
      </c>
      <c r="UL46" s="74" t="str">
        <f t="shared" ca="1" si="181"/>
        <v/>
      </c>
      <c r="UM46" s="74" t="str">
        <f t="shared" ca="1" si="181"/>
        <v/>
      </c>
      <c r="UN46" s="74" t="str">
        <f t="shared" ca="1" si="182"/>
        <v/>
      </c>
      <c r="UO46" s="74" t="str">
        <f t="shared" ca="1" si="182"/>
        <v/>
      </c>
      <c r="UP46" s="74" t="str">
        <f t="shared" ca="1" si="182"/>
        <v/>
      </c>
      <c r="UQ46" s="74" t="str">
        <f t="shared" ca="1" si="182"/>
        <v/>
      </c>
      <c r="UR46" s="74" t="str">
        <f t="shared" ca="1" si="182"/>
        <v/>
      </c>
      <c r="US46" s="74" t="str">
        <f t="shared" ca="1" si="182"/>
        <v/>
      </c>
      <c r="UT46" s="74" t="str">
        <f t="shared" ca="1" si="182"/>
        <v/>
      </c>
      <c r="UU46" s="74" t="str">
        <f t="shared" ca="1" si="182"/>
        <v/>
      </c>
      <c r="UV46" s="74" t="str">
        <f t="shared" ca="1" si="182"/>
        <v/>
      </c>
      <c r="UW46" s="74" t="str">
        <f t="shared" ca="1" si="182"/>
        <v/>
      </c>
      <c r="UX46" s="74" t="str">
        <f t="shared" ca="1" si="183"/>
        <v/>
      </c>
      <c r="UY46" s="74" t="str">
        <f t="shared" ca="1" si="183"/>
        <v/>
      </c>
      <c r="UZ46" s="74" t="str">
        <f t="shared" ca="1" si="183"/>
        <v/>
      </c>
      <c r="VA46" s="74" t="str">
        <f t="shared" ca="1" si="183"/>
        <v/>
      </c>
      <c r="VB46" s="74" t="str">
        <f t="shared" ca="1" si="183"/>
        <v/>
      </c>
      <c r="VC46" s="74" t="str">
        <f t="shared" ca="1" si="183"/>
        <v/>
      </c>
      <c r="VD46" s="74" t="str">
        <f t="shared" ca="1" si="183"/>
        <v/>
      </c>
      <c r="VE46" s="74" t="str">
        <f t="shared" ca="1" si="183"/>
        <v/>
      </c>
      <c r="VF46" s="74" t="str">
        <f t="shared" ca="1" si="183"/>
        <v/>
      </c>
      <c r="VG46" s="74" t="str">
        <f t="shared" ca="1" si="183"/>
        <v/>
      </c>
      <c r="VH46" s="74" t="str">
        <f t="shared" ca="1" si="184"/>
        <v/>
      </c>
      <c r="VI46" s="74" t="str">
        <f t="shared" ca="1" si="184"/>
        <v/>
      </c>
      <c r="VJ46" s="74" t="str">
        <f t="shared" ca="1" si="184"/>
        <v/>
      </c>
      <c r="VK46" s="74" t="str">
        <f t="shared" ca="1" si="184"/>
        <v/>
      </c>
      <c r="VL46" s="74" t="str">
        <f t="shared" ca="1" si="184"/>
        <v/>
      </c>
      <c r="VM46" s="74" t="str">
        <f t="shared" ca="1" si="184"/>
        <v/>
      </c>
      <c r="VN46" s="74" t="str">
        <f t="shared" ca="1" si="184"/>
        <v/>
      </c>
      <c r="VO46" s="74" t="str">
        <f t="shared" ca="1" si="184"/>
        <v/>
      </c>
      <c r="VP46" s="74" t="str">
        <f t="shared" ca="1" si="184"/>
        <v/>
      </c>
      <c r="VQ46" s="74" t="str">
        <f t="shared" ca="1" si="184"/>
        <v/>
      </c>
      <c r="VR46" s="74" t="str">
        <f t="shared" ca="1" si="184"/>
        <v/>
      </c>
      <c r="VS46" s="74" t="str">
        <f t="shared" ca="1" si="184"/>
        <v/>
      </c>
    </row>
    <row r="47" spans="1:591" s="17" customFormat="1" ht="21.6" customHeight="1" x14ac:dyDescent="0.3">
      <c r="A47" s="81"/>
      <c r="B47" s="56" t="str">
        <f>'CoS Tracker'!$AM$7</f>
        <v>6. Instructed to Hickory</v>
      </c>
      <c r="C47" s="19" t="s">
        <v>75</v>
      </c>
      <c r="D47" s="19"/>
      <c r="E47" s="27">
        <v>0.1</v>
      </c>
      <c r="F47" s="26">
        <f>'CoS Tracker'!AM20</f>
        <v>0</v>
      </c>
      <c r="G47" s="26">
        <f>'CoS Tracker'!AM20</f>
        <v>0</v>
      </c>
      <c r="H47" s="25">
        <f>Milestones43524[[#This Row],[End]]-Milestones43524[[#This Row],[Start]]</f>
        <v>0</v>
      </c>
      <c r="I47" s="19"/>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c r="KM47" s="18"/>
      <c r="KN47" s="18"/>
      <c r="KO47" s="18"/>
      <c r="KP47" s="18"/>
      <c r="KQ47" s="18"/>
      <c r="KR47" s="18"/>
      <c r="KS47" s="18"/>
      <c r="KT47" s="18"/>
      <c r="KU47" s="18"/>
      <c r="KV47" s="18"/>
      <c r="KW47" s="18"/>
      <c r="KX47" s="18"/>
      <c r="KY47" s="18"/>
      <c r="KZ47" s="18"/>
      <c r="LA47" s="18"/>
      <c r="LB47" s="18"/>
      <c r="LC47" s="18"/>
      <c r="LD47" s="18"/>
      <c r="LE47" s="18"/>
      <c r="LF47" s="18"/>
      <c r="LG47" s="18"/>
      <c r="LH47" s="18"/>
      <c r="LI47" s="18"/>
      <c r="LJ47" s="18"/>
      <c r="LK47" s="18"/>
      <c r="LL47" s="18"/>
      <c r="LM47" s="18"/>
      <c r="LN47" s="18"/>
      <c r="LO47" s="18"/>
      <c r="LP47" s="18"/>
      <c r="LQ47" s="18"/>
      <c r="LR47" s="18"/>
      <c r="LS47" s="18"/>
      <c r="LT47" s="18"/>
      <c r="LU47" s="18"/>
      <c r="LV47" s="18"/>
      <c r="LW47" s="18"/>
      <c r="LX47" s="18"/>
      <c r="LY47" s="18"/>
      <c r="LZ47" s="18"/>
      <c r="MA47" s="18"/>
      <c r="MB47" s="18"/>
      <c r="MC47" s="18"/>
      <c r="MD47" s="18"/>
      <c r="ME47" s="18"/>
      <c r="MF47" s="18"/>
      <c r="MG47" s="18"/>
      <c r="MH47" s="18"/>
      <c r="MI47" s="18"/>
      <c r="MJ47" s="18"/>
      <c r="MK47" s="18"/>
      <c r="ML47" s="18"/>
      <c r="MM47" s="18"/>
      <c r="MN47" s="18"/>
      <c r="MO47" s="18"/>
      <c r="MP47" s="18"/>
      <c r="MQ47" s="18"/>
      <c r="MR47" s="18"/>
      <c r="MS47" s="18"/>
      <c r="MT47" s="18"/>
      <c r="MU47" s="18"/>
      <c r="MV47" s="18"/>
      <c r="MW47" s="18"/>
      <c r="MX47" s="18"/>
      <c r="MY47" s="18"/>
      <c r="MZ47" s="18"/>
      <c r="NA47" s="18"/>
      <c r="NB47" s="18"/>
      <c r="NC47" s="18"/>
      <c r="ND47" s="18"/>
      <c r="NE47" s="18"/>
      <c r="NF47" s="18"/>
      <c r="NG47" s="18"/>
      <c r="NH47" s="18"/>
      <c r="NI47" s="18"/>
      <c r="NJ47" s="18"/>
      <c r="NK47" s="18"/>
      <c r="NL47" s="18"/>
      <c r="NM47" s="18"/>
      <c r="NN47" s="18"/>
      <c r="NO47" s="18"/>
      <c r="NP47" s="18"/>
      <c r="NQ47" s="18"/>
      <c r="NR47" s="18"/>
      <c r="NS47" s="18"/>
      <c r="NT47" s="18"/>
      <c r="NU47" s="18"/>
      <c r="NV47" s="18"/>
      <c r="NW47" s="18"/>
      <c r="NX47" s="18"/>
      <c r="NY47" s="18"/>
      <c r="NZ47" s="18"/>
      <c r="OA47" s="18"/>
      <c r="OB47" s="18"/>
      <c r="OC47" s="18"/>
      <c r="OD47" s="18"/>
      <c r="OE47" s="18"/>
      <c r="OF47" s="18"/>
      <c r="OG47" s="18"/>
      <c r="OH47" s="18"/>
      <c r="OI47" s="18"/>
      <c r="OJ47" s="18"/>
      <c r="OK47" s="18"/>
      <c r="OL47" s="18"/>
      <c r="OM47" s="18"/>
      <c r="ON47" s="18"/>
      <c r="OO47" s="18"/>
      <c r="OP47" s="18"/>
      <c r="OQ47" s="18"/>
      <c r="OR47" s="18"/>
      <c r="OS47" s="18"/>
      <c r="OT47" s="18"/>
      <c r="OU47" s="18"/>
      <c r="OV47" s="18"/>
      <c r="OW47" s="18"/>
      <c r="OX47" s="18"/>
      <c r="OY47" s="18"/>
      <c r="OZ47" s="18"/>
      <c r="PA47" s="18"/>
      <c r="PB47" s="18"/>
      <c r="PC47" s="18"/>
      <c r="PD47" s="18"/>
      <c r="PE47" s="18"/>
      <c r="PF47" s="18"/>
      <c r="PG47" s="18"/>
      <c r="PH47" s="18"/>
      <c r="PI47" s="18"/>
      <c r="PJ47" s="18"/>
      <c r="PK47" s="18"/>
      <c r="PL47" s="18"/>
      <c r="PM47" s="18"/>
      <c r="PN47" s="18"/>
      <c r="PO47" s="18"/>
      <c r="PP47" s="18"/>
      <c r="PQ47" s="18"/>
      <c r="PR47" s="18"/>
      <c r="PS47" s="18"/>
      <c r="PT47" s="18"/>
      <c r="PU47" s="18"/>
      <c r="PV47" s="18"/>
      <c r="PW47" s="18"/>
      <c r="PX47" s="18"/>
      <c r="PY47" s="18"/>
      <c r="PZ47" s="18"/>
      <c r="QA47" s="18"/>
      <c r="QB47" s="18"/>
      <c r="QC47" s="18"/>
      <c r="QD47" s="18"/>
      <c r="QE47" s="18"/>
      <c r="QF47" s="18"/>
      <c r="QG47" s="18"/>
      <c r="QH47" s="18"/>
      <c r="QI47" s="18"/>
      <c r="QJ47" s="18"/>
      <c r="QK47" s="18"/>
      <c r="QL47" s="18"/>
      <c r="QM47" s="18"/>
      <c r="QN47" s="18"/>
      <c r="QO47" s="18"/>
      <c r="QP47" s="18"/>
      <c r="QQ47" s="18"/>
      <c r="QR47" s="18"/>
      <c r="QS47" s="18"/>
      <c r="QT47" s="18"/>
      <c r="QU47" s="18"/>
      <c r="QV47" s="18"/>
      <c r="QW47" s="18"/>
      <c r="QX47" s="18"/>
      <c r="QY47" s="18"/>
      <c r="QZ47" s="18"/>
      <c r="RA47" s="18"/>
      <c r="RB47" s="18"/>
      <c r="RC47" s="18"/>
      <c r="RD47" s="18"/>
      <c r="RE47" s="18"/>
      <c r="RF47" s="18"/>
      <c r="RG47" s="18"/>
      <c r="RH47" s="18"/>
      <c r="RI47" s="18"/>
      <c r="RJ47" s="18"/>
      <c r="RK47" s="18"/>
      <c r="RL47" s="18"/>
      <c r="RM47" s="18"/>
      <c r="RN47" s="18"/>
      <c r="RO47" s="18"/>
      <c r="RP47" s="18"/>
      <c r="RQ47" s="18"/>
      <c r="RR47" s="18"/>
      <c r="RS47" s="18"/>
      <c r="RT47" s="18"/>
      <c r="RU47" s="18"/>
      <c r="RV47" s="18"/>
      <c r="RW47" s="18"/>
      <c r="RX47" s="18"/>
      <c r="RY47" s="18"/>
      <c r="RZ47" s="18"/>
      <c r="SA47" s="18"/>
      <c r="SB47" s="18"/>
      <c r="SC47" s="18"/>
      <c r="SD47" s="18"/>
      <c r="SE47" s="18"/>
      <c r="SF47" s="18"/>
      <c r="SG47" s="18"/>
      <c r="SH47" s="18"/>
      <c r="SI47" s="18"/>
      <c r="SJ47" s="18"/>
      <c r="SK47" s="18"/>
      <c r="SL47" s="18"/>
      <c r="SM47" s="18"/>
      <c r="SN47" s="18"/>
      <c r="SO47" s="18"/>
      <c r="SP47" s="18"/>
      <c r="SQ47" s="18"/>
      <c r="SR47" s="18"/>
      <c r="SS47" s="18"/>
      <c r="ST47" s="18"/>
      <c r="SU47" s="18"/>
      <c r="SV47" s="18"/>
      <c r="SW47" s="18"/>
      <c r="SX47" s="18"/>
      <c r="SY47" s="18"/>
      <c r="SZ47" s="18"/>
      <c r="TA47" s="18"/>
      <c r="TB47" s="18"/>
      <c r="TC47" s="18"/>
      <c r="TD47" s="18"/>
      <c r="TE47" s="18"/>
      <c r="TF47" s="18"/>
      <c r="TG47" s="18"/>
      <c r="TH47" s="18"/>
      <c r="TI47" s="18"/>
      <c r="TJ47" s="18"/>
      <c r="TK47" s="18"/>
      <c r="TL47" s="18"/>
      <c r="TM47" s="18"/>
      <c r="TN47" s="18"/>
      <c r="TO47" s="18"/>
      <c r="TP47" s="18"/>
      <c r="TQ47" s="18"/>
      <c r="TR47" s="18"/>
      <c r="TS47" s="18"/>
      <c r="TT47" s="18"/>
      <c r="TU47" s="18"/>
      <c r="TV47" s="18"/>
      <c r="TW47" s="18"/>
      <c r="TX47" s="18"/>
      <c r="TY47" s="18"/>
      <c r="TZ47" s="18"/>
      <c r="UA47" s="18"/>
      <c r="UB47" s="18"/>
      <c r="UC47" s="18"/>
      <c r="UD47" s="18"/>
      <c r="UE47" s="18"/>
      <c r="UF47" s="18"/>
      <c r="UG47" s="18"/>
      <c r="UH47" s="18"/>
      <c r="UI47" s="18"/>
      <c r="UJ47" s="18"/>
      <c r="UK47" s="18"/>
      <c r="UL47" s="18"/>
      <c r="UM47" s="18"/>
      <c r="UN47" s="18"/>
      <c r="UO47" s="18"/>
      <c r="UP47" s="18"/>
      <c r="UQ47" s="18"/>
      <c r="UR47" s="18"/>
      <c r="US47" s="18"/>
      <c r="UT47" s="18"/>
      <c r="UU47" s="18"/>
      <c r="UV47" s="18"/>
      <c r="UW47" s="18"/>
      <c r="UX47" s="18"/>
      <c r="UY47" s="18"/>
      <c r="UZ47" s="18"/>
      <c r="VA47" s="18"/>
      <c r="VB47" s="18"/>
      <c r="VC47" s="18"/>
      <c r="VD47" s="18"/>
      <c r="VE47" s="18"/>
      <c r="VF47" s="18"/>
      <c r="VG47" s="18"/>
      <c r="VH47" s="18"/>
      <c r="VI47" s="18"/>
      <c r="VJ47" s="18"/>
      <c r="VK47" s="18"/>
      <c r="VL47" s="18"/>
      <c r="VM47" s="18"/>
      <c r="VN47" s="18"/>
      <c r="VO47" s="18"/>
      <c r="VP47" s="18"/>
      <c r="VQ47" s="18"/>
      <c r="VR47" s="18"/>
      <c r="VS47" s="18"/>
    </row>
    <row r="48" spans="1:591" s="17" customFormat="1" ht="21.6" customHeight="1" x14ac:dyDescent="0.3">
      <c r="A48" s="81"/>
      <c r="B48" s="56" t="str">
        <f>'CoS Tracker'!$AN$7</f>
        <v>7. Recommended Planning Submission Date</v>
      </c>
      <c r="C48" s="19" t="s">
        <v>75</v>
      </c>
      <c r="D48" s="19"/>
      <c r="E48" s="27">
        <v>0.1</v>
      </c>
      <c r="F48" s="26">
        <f>'CoS Tracker'!AN20</f>
        <v>46197</v>
      </c>
      <c r="G48" s="26">
        <f>'CoS Tracker'!AN20</f>
        <v>46197</v>
      </c>
      <c r="H48" s="25">
        <f>Milestones43524[[#This Row],[End]]-Milestones43524[[#This Row],[Start]]</f>
        <v>0</v>
      </c>
      <c r="I48" s="19"/>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c r="KM48" s="18"/>
      <c r="KN48" s="18"/>
      <c r="KO48" s="18"/>
      <c r="KP48" s="18"/>
      <c r="KQ48" s="18"/>
      <c r="KR48" s="18"/>
      <c r="KS48" s="18"/>
      <c r="KT48" s="18"/>
      <c r="KU48" s="18"/>
      <c r="KV48" s="18"/>
      <c r="KW48" s="18"/>
      <c r="KX48" s="18"/>
      <c r="KY48" s="18"/>
      <c r="KZ48" s="18"/>
      <c r="LA48" s="18"/>
      <c r="LB48" s="18"/>
      <c r="LC48" s="18"/>
      <c r="LD48" s="18"/>
      <c r="LE48" s="18"/>
      <c r="LF48" s="18"/>
      <c r="LG48" s="18"/>
      <c r="LH48" s="18"/>
      <c r="LI48" s="18"/>
      <c r="LJ48" s="18"/>
      <c r="LK48" s="18"/>
      <c r="LL48" s="18"/>
      <c r="LM48" s="18"/>
      <c r="LN48" s="18"/>
      <c r="LO48" s="18"/>
      <c r="LP48" s="18"/>
      <c r="LQ48" s="18"/>
      <c r="LR48" s="18"/>
      <c r="LS48" s="18"/>
      <c r="LT48" s="18"/>
      <c r="LU48" s="18"/>
      <c r="LV48" s="18"/>
      <c r="LW48" s="18"/>
      <c r="LX48" s="18"/>
      <c r="LY48" s="18"/>
      <c r="LZ48" s="18"/>
      <c r="MA48" s="18"/>
      <c r="MB48" s="18"/>
      <c r="MC48" s="18"/>
      <c r="MD48" s="18"/>
      <c r="ME48" s="18"/>
      <c r="MF48" s="18"/>
      <c r="MG48" s="18"/>
      <c r="MH48" s="18"/>
      <c r="MI48" s="18"/>
      <c r="MJ48" s="18"/>
      <c r="MK48" s="18"/>
      <c r="ML48" s="18"/>
      <c r="MM48" s="18"/>
      <c r="MN48" s="18"/>
      <c r="MO48" s="18"/>
      <c r="MP48" s="18"/>
      <c r="MQ48" s="18"/>
      <c r="MR48" s="18"/>
      <c r="MS48" s="18"/>
      <c r="MT48" s="18"/>
      <c r="MU48" s="18"/>
      <c r="MV48" s="18"/>
      <c r="MW48" s="18"/>
      <c r="MX48" s="18"/>
      <c r="MY48" s="18"/>
      <c r="MZ48" s="18"/>
      <c r="NA48" s="18"/>
      <c r="NB48" s="18"/>
      <c r="NC48" s="18"/>
      <c r="ND48" s="18"/>
      <c r="NE48" s="18"/>
      <c r="NF48" s="18"/>
      <c r="NG48" s="18"/>
      <c r="NH48" s="18"/>
      <c r="NI48" s="18"/>
      <c r="NJ48" s="18"/>
      <c r="NK48" s="18"/>
      <c r="NL48" s="18"/>
      <c r="NM48" s="18"/>
      <c r="NN48" s="18"/>
      <c r="NO48" s="18"/>
      <c r="NP48" s="18"/>
      <c r="NQ48" s="18"/>
      <c r="NR48" s="18"/>
      <c r="NS48" s="18"/>
      <c r="NT48" s="18"/>
      <c r="NU48" s="18"/>
      <c r="NV48" s="18"/>
      <c r="NW48" s="18"/>
      <c r="NX48" s="18"/>
      <c r="NY48" s="18"/>
      <c r="NZ48" s="18"/>
      <c r="OA48" s="18"/>
      <c r="OB48" s="18"/>
      <c r="OC48" s="18"/>
      <c r="OD48" s="18"/>
      <c r="OE48" s="18"/>
      <c r="OF48" s="18"/>
      <c r="OG48" s="18"/>
      <c r="OH48" s="18"/>
      <c r="OI48" s="18"/>
      <c r="OJ48" s="18"/>
      <c r="OK48" s="18"/>
      <c r="OL48" s="18"/>
      <c r="OM48" s="18"/>
      <c r="ON48" s="18"/>
      <c r="OO48" s="18"/>
      <c r="OP48" s="18"/>
      <c r="OQ48" s="18"/>
      <c r="OR48" s="18"/>
      <c r="OS48" s="18"/>
      <c r="OT48" s="18"/>
      <c r="OU48" s="18"/>
      <c r="OV48" s="18"/>
      <c r="OW48" s="18"/>
      <c r="OX48" s="18"/>
      <c r="OY48" s="18"/>
      <c r="OZ48" s="18"/>
      <c r="PA48" s="18"/>
      <c r="PB48" s="18"/>
      <c r="PC48" s="18"/>
      <c r="PD48" s="18"/>
      <c r="PE48" s="18"/>
      <c r="PF48" s="18"/>
      <c r="PG48" s="18"/>
      <c r="PH48" s="18"/>
      <c r="PI48" s="18"/>
      <c r="PJ48" s="18"/>
      <c r="PK48" s="18"/>
      <c r="PL48" s="18"/>
      <c r="PM48" s="18"/>
      <c r="PN48" s="18"/>
      <c r="PO48" s="18"/>
      <c r="PP48" s="18"/>
      <c r="PQ48" s="18"/>
      <c r="PR48" s="18"/>
      <c r="PS48" s="18"/>
      <c r="PT48" s="18"/>
      <c r="PU48" s="18"/>
      <c r="PV48" s="18"/>
      <c r="PW48" s="18"/>
      <c r="PX48" s="18"/>
      <c r="PY48" s="18"/>
      <c r="PZ48" s="18"/>
      <c r="QA48" s="18"/>
      <c r="QB48" s="18"/>
      <c r="QC48" s="18"/>
      <c r="QD48" s="18"/>
      <c r="QE48" s="18"/>
      <c r="QF48" s="18"/>
      <c r="QG48" s="18"/>
      <c r="QH48" s="18"/>
      <c r="QI48" s="18"/>
      <c r="QJ48" s="18"/>
      <c r="QK48" s="18"/>
      <c r="QL48" s="18"/>
      <c r="QM48" s="18"/>
      <c r="QN48" s="18"/>
      <c r="QO48" s="18"/>
      <c r="QP48" s="18"/>
      <c r="QQ48" s="18"/>
      <c r="QR48" s="18"/>
      <c r="QS48" s="18"/>
      <c r="QT48" s="18"/>
      <c r="QU48" s="18"/>
      <c r="QV48" s="18"/>
      <c r="QW48" s="18"/>
      <c r="QX48" s="18"/>
      <c r="QY48" s="18"/>
      <c r="QZ48" s="18"/>
      <c r="RA48" s="18"/>
      <c r="RB48" s="18"/>
      <c r="RC48" s="18"/>
      <c r="RD48" s="18"/>
      <c r="RE48" s="18"/>
      <c r="RF48" s="18"/>
      <c r="RG48" s="18"/>
      <c r="RH48" s="18"/>
      <c r="RI48" s="18"/>
      <c r="RJ48" s="18"/>
      <c r="RK48" s="18"/>
      <c r="RL48" s="18"/>
      <c r="RM48" s="18"/>
      <c r="RN48" s="18"/>
      <c r="RO48" s="18"/>
      <c r="RP48" s="18"/>
      <c r="RQ48" s="18"/>
      <c r="RR48" s="18"/>
      <c r="RS48" s="18"/>
      <c r="RT48" s="18"/>
      <c r="RU48" s="18"/>
      <c r="RV48" s="18"/>
      <c r="RW48" s="18"/>
      <c r="RX48" s="18"/>
      <c r="RY48" s="18"/>
      <c r="RZ48" s="18"/>
      <c r="SA48" s="18"/>
      <c r="SB48" s="18"/>
      <c r="SC48" s="18"/>
      <c r="SD48" s="18"/>
      <c r="SE48" s="18"/>
      <c r="SF48" s="18"/>
      <c r="SG48" s="18"/>
      <c r="SH48" s="18"/>
      <c r="SI48" s="18"/>
      <c r="SJ48" s="18"/>
      <c r="SK48" s="18"/>
      <c r="SL48" s="18"/>
      <c r="SM48" s="18"/>
      <c r="SN48" s="18"/>
      <c r="SO48" s="18"/>
      <c r="SP48" s="18"/>
      <c r="SQ48" s="18"/>
      <c r="SR48" s="18"/>
      <c r="SS48" s="18"/>
      <c r="ST48" s="18"/>
      <c r="SU48" s="18"/>
      <c r="SV48" s="18"/>
      <c r="SW48" s="18"/>
      <c r="SX48" s="18"/>
      <c r="SY48" s="18"/>
      <c r="SZ48" s="18"/>
      <c r="TA48" s="18"/>
      <c r="TB48" s="18"/>
      <c r="TC48" s="18"/>
      <c r="TD48" s="18"/>
      <c r="TE48" s="18"/>
      <c r="TF48" s="18"/>
      <c r="TG48" s="18"/>
      <c r="TH48" s="18"/>
      <c r="TI48" s="18"/>
      <c r="TJ48" s="18"/>
      <c r="TK48" s="18"/>
      <c r="TL48" s="18"/>
      <c r="TM48" s="18"/>
      <c r="TN48" s="18"/>
      <c r="TO48" s="18"/>
      <c r="TP48" s="18"/>
      <c r="TQ48" s="18"/>
      <c r="TR48" s="18"/>
      <c r="TS48" s="18"/>
      <c r="TT48" s="18"/>
      <c r="TU48" s="18"/>
      <c r="TV48" s="18"/>
      <c r="TW48" s="18"/>
      <c r="TX48" s="18"/>
      <c r="TY48" s="18"/>
      <c r="TZ48" s="18"/>
      <c r="UA48" s="18"/>
      <c r="UB48" s="18"/>
      <c r="UC48" s="18"/>
      <c r="UD48" s="18"/>
      <c r="UE48" s="18"/>
      <c r="UF48" s="18"/>
      <c r="UG48" s="18"/>
      <c r="UH48" s="18"/>
      <c r="UI48" s="18"/>
      <c r="UJ48" s="18"/>
      <c r="UK48" s="18"/>
      <c r="UL48" s="18"/>
      <c r="UM48" s="18"/>
      <c r="UN48" s="18"/>
      <c r="UO48" s="18"/>
      <c r="UP48" s="18"/>
      <c r="UQ48" s="18"/>
      <c r="UR48" s="18"/>
      <c r="US48" s="18"/>
      <c r="UT48" s="18"/>
      <c r="UU48" s="18"/>
      <c r="UV48" s="18"/>
      <c r="UW48" s="18"/>
      <c r="UX48" s="18"/>
      <c r="UY48" s="18"/>
      <c r="UZ48" s="18"/>
      <c r="VA48" s="18"/>
      <c r="VB48" s="18"/>
      <c r="VC48" s="18"/>
      <c r="VD48" s="18"/>
      <c r="VE48" s="18"/>
      <c r="VF48" s="18"/>
      <c r="VG48" s="18"/>
      <c r="VH48" s="18"/>
      <c r="VI48" s="18"/>
      <c r="VJ48" s="18"/>
      <c r="VK48" s="18"/>
      <c r="VL48" s="18"/>
      <c r="VM48" s="18"/>
      <c r="VN48" s="18"/>
      <c r="VO48" s="18"/>
      <c r="VP48" s="18"/>
      <c r="VQ48" s="18"/>
      <c r="VR48" s="18"/>
      <c r="VS48" s="18"/>
    </row>
    <row r="49" spans="1:591" s="17" customFormat="1" ht="21.6" customHeight="1" x14ac:dyDescent="0.3">
      <c r="A49" s="81"/>
      <c r="B49" s="56" t="str">
        <f>'CoS Tracker'!$AO$7</f>
        <v>8. Modification Approval Deadline</v>
      </c>
      <c r="C49" s="19" t="s">
        <v>75</v>
      </c>
      <c r="D49" s="19"/>
      <c r="E49" s="27">
        <v>0.1</v>
      </c>
      <c r="F49" s="26">
        <f>'CoS Tracker'!AO20</f>
        <v>46934</v>
      </c>
      <c r="G49" s="26">
        <f>'CoS Tracker'!AO20</f>
        <v>46934</v>
      </c>
      <c r="H49" s="25">
        <f>Milestones43524[[#This Row],[End]]-G48</f>
        <v>737</v>
      </c>
      <c r="I49" s="19"/>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c r="KM49" s="18"/>
      <c r="KN49" s="18"/>
      <c r="KO49" s="18"/>
      <c r="KP49" s="18"/>
      <c r="KQ49" s="18"/>
      <c r="KR49" s="18"/>
      <c r="KS49" s="18"/>
      <c r="KT49" s="18"/>
      <c r="KU49" s="18"/>
      <c r="KV49" s="18"/>
      <c r="KW49" s="18"/>
      <c r="KX49" s="18"/>
      <c r="KY49" s="18"/>
      <c r="KZ49" s="18"/>
      <c r="LA49" s="18"/>
      <c r="LB49" s="18"/>
      <c r="LC49" s="18"/>
      <c r="LD49" s="18"/>
      <c r="LE49" s="18"/>
      <c r="LF49" s="18"/>
      <c r="LG49" s="18"/>
      <c r="LH49" s="18"/>
      <c r="LI49" s="18"/>
      <c r="LJ49" s="18"/>
      <c r="LK49" s="18"/>
      <c r="LL49" s="18"/>
      <c r="LM49" s="18"/>
      <c r="LN49" s="18"/>
      <c r="LO49" s="18"/>
      <c r="LP49" s="18"/>
      <c r="LQ49" s="18"/>
      <c r="LR49" s="18"/>
      <c r="LS49" s="18"/>
      <c r="LT49" s="18"/>
      <c r="LU49" s="18"/>
      <c r="LV49" s="18"/>
      <c r="LW49" s="18"/>
      <c r="LX49" s="18"/>
      <c r="LY49" s="18"/>
      <c r="LZ49" s="18"/>
      <c r="MA49" s="18"/>
      <c r="MB49" s="18"/>
      <c r="MC49" s="18"/>
      <c r="MD49" s="18"/>
      <c r="ME49" s="18"/>
      <c r="MF49" s="18"/>
      <c r="MG49" s="18"/>
      <c r="MH49" s="18"/>
      <c r="MI49" s="18"/>
      <c r="MJ49" s="18"/>
      <c r="MK49" s="18"/>
      <c r="ML49" s="18"/>
      <c r="MM49" s="18"/>
      <c r="MN49" s="18"/>
      <c r="MO49" s="18"/>
      <c r="MP49" s="18"/>
      <c r="MQ49" s="18"/>
      <c r="MR49" s="18"/>
      <c r="MS49" s="18"/>
      <c r="MT49" s="18"/>
      <c r="MU49" s="18"/>
      <c r="MV49" s="18"/>
      <c r="MW49" s="18"/>
      <c r="MX49" s="18"/>
      <c r="MY49" s="18"/>
      <c r="MZ49" s="18"/>
      <c r="NA49" s="18"/>
      <c r="NB49" s="18"/>
      <c r="NC49" s="18"/>
      <c r="ND49" s="18"/>
      <c r="NE49" s="18"/>
      <c r="NF49" s="18"/>
      <c r="NG49" s="18"/>
      <c r="NH49" s="18"/>
      <c r="NI49" s="18"/>
      <c r="NJ49" s="18"/>
      <c r="NK49" s="18"/>
      <c r="NL49" s="18"/>
      <c r="NM49" s="18"/>
      <c r="NN49" s="18"/>
      <c r="NO49" s="18"/>
      <c r="NP49" s="18"/>
      <c r="NQ49" s="18"/>
      <c r="NR49" s="18"/>
      <c r="NS49" s="18"/>
      <c r="NT49" s="18"/>
      <c r="NU49" s="18"/>
      <c r="NV49" s="18"/>
      <c r="NW49" s="18"/>
      <c r="NX49" s="18"/>
      <c r="NY49" s="18"/>
      <c r="NZ49" s="18"/>
      <c r="OA49" s="18"/>
      <c r="OB49" s="18"/>
      <c r="OC49" s="18"/>
      <c r="OD49" s="18"/>
      <c r="OE49" s="18"/>
      <c r="OF49" s="18"/>
      <c r="OG49" s="18"/>
      <c r="OH49" s="18"/>
      <c r="OI49" s="18"/>
      <c r="OJ49" s="18"/>
      <c r="OK49" s="18"/>
      <c r="OL49" s="18"/>
      <c r="OM49" s="18"/>
      <c r="ON49" s="18"/>
      <c r="OO49" s="18"/>
      <c r="OP49" s="18"/>
      <c r="OQ49" s="18"/>
      <c r="OR49" s="18"/>
      <c r="OS49" s="18"/>
      <c r="OT49" s="18"/>
      <c r="OU49" s="18"/>
      <c r="OV49" s="18"/>
      <c r="OW49" s="18"/>
      <c r="OX49" s="18"/>
      <c r="OY49" s="18"/>
      <c r="OZ49" s="18"/>
      <c r="PA49" s="18"/>
      <c r="PB49" s="18"/>
      <c r="PC49" s="18"/>
      <c r="PD49" s="18"/>
      <c r="PE49" s="18"/>
      <c r="PF49" s="18"/>
      <c r="PG49" s="18"/>
      <c r="PH49" s="18"/>
      <c r="PI49" s="18"/>
      <c r="PJ49" s="18"/>
      <c r="PK49" s="18"/>
      <c r="PL49" s="18"/>
      <c r="PM49" s="18"/>
      <c r="PN49" s="18"/>
      <c r="PO49" s="18"/>
      <c r="PP49" s="18"/>
      <c r="PQ49" s="18"/>
      <c r="PR49" s="18"/>
      <c r="PS49" s="18"/>
      <c r="PT49" s="18"/>
      <c r="PU49" s="18"/>
      <c r="PV49" s="18"/>
      <c r="PW49" s="18"/>
      <c r="PX49" s="18"/>
      <c r="PY49" s="18"/>
      <c r="PZ49" s="18"/>
      <c r="QA49" s="18"/>
      <c r="QB49" s="18"/>
      <c r="QC49" s="18"/>
      <c r="QD49" s="18"/>
      <c r="QE49" s="18"/>
      <c r="QF49" s="18"/>
      <c r="QG49" s="18"/>
      <c r="QH49" s="18"/>
      <c r="QI49" s="18"/>
      <c r="QJ49" s="18"/>
      <c r="QK49" s="18"/>
      <c r="QL49" s="18"/>
      <c r="QM49" s="18"/>
      <c r="QN49" s="18"/>
      <c r="QO49" s="18"/>
      <c r="QP49" s="18"/>
      <c r="QQ49" s="18"/>
      <c r="QR49" s="18"/>
      <c r="QS49" s="18"/>
      <c r="QT49" s="18"/>
      <c r="QU49" s="18"/>
      <c r="QV49" s="18"/>
      <c r="QW49" s="18"/>
      <c r="QX49" s="18"/>
      <c r="QY49" s="18"/>
      <c r="QZ49" s="18"/>
      <c r="RA49" s="18"/>
      <c r="RB49" s="18"/>
      <c r="RC49" s="18"/>
      <c r="RD49" s="18"/>
      <c r="RE49" s="18"/>
      <c r="RF49" s="18"/>
      <c r="RG49" s="18"/>
      <c r="RH49" s="18"/>
      <c r="RI49" s="18"/>
      <c r="RJ49" s="18"/>
      <c r="RK49" s="18"/>
      <c r="RL49" s="18"/>
      <c r="RM49" s="18"/>
      <c r="RN49" s="18"/>
      <c r="RO49" s="18"/>
      <c r="RP49" s="18"/>
      <c r="RQ49" s="18"/>
      <c r="RR49" s="18"/>
      <c r="RS49" s="18"/>
      <c r="RT49" s="18"/>
      <c r="RU49" s="18"/>
      <c r="RV49" s="18"/>
      <c r="RW49" s="18"/>
      <c r="RX49" s="18"/>
      <c r="RY49" s="18"/>
      <c r="RZ49" s="18"/>
      <c r="SA49" s="18"/>
      <c r="SB49" s="18"/>
      <c r="SC49" s="18"/>
      <c r="SD49" s="18"/>
      <c r="SE49" s="18"/>
      <c r="SF49" s="18"/>
      <c r="SG49" s="18"/>
      <c r="SH49" s="18"/>
      <c r="SI49" s="18"/>
      <c r="SJ49" s="18"/>
      <c r="SK49" s="18"/>
      <c r="SL49" s="18"/>
      <c r="SM49" s="18"/>
      <c r="SN49" s="18"/>
      <c r="SO49" s="18"/>
      <c r="SP49" s="18"/>
      <c r="SQ49" s="18"/>
      <c r="SR49" s="18"/>
      <c r="SS49" s="18"/>
      <c r="ST49" s="18"/>
      <c r="SU49" s="18"/>
      <c r="SV49" s="18"/>
      <c r="SW49" s="18"/>
      <c r="SX49" s="18"/>
      <c r="SY49" s="18"/>
      <c r="SZ49" s="18"/>
      <c r="TA49" s="18"/>
      <c r="TB49" s="18"/>
      <c r="TC49" s="18"/>
      <c r="TD49" s="18"/>
      <c r="TE49" s="18"/>
      <c r="TF49" s="18"/>
      <c r="TG49" s="18"/>
      <c r="TH49" s="18"/>
      <c r="TI49" s="18"/>
      <c r="TJ49" s="18"/>
      <c r="TK49" s="18"/>
      <c r="TL49" s="18"/>
      <c r="TM49" s="18"/>
      <c r="TN49" s="18"/>
      <c r="TO49" s="18"/>
      <c r="TP49" s="18"/>
      <c r="TQ49" s="18"/>
      <c r="TR49" s="18"/>
      <c r="TS49" s="18"/>
      <c r="TT49" s="18"/>
      <c r="TU49" s="18"/>
      <c r="TV49" s="18"/>
      <c r="TW49" s="18"/>
      <c r="TX49" s="18"/>
      <c r="TY49" s="18"/>
      <c r="TZ49" s="18"/>
      <c r="UA49" s="18"/>
      <c r="UB49" s="18"/>
      <c r="UC49" s="18"/>
      <c r="UD49" s="18"/>
      <c r="UE49" s="18"/>
      <c r="UF49" s="18"/>
      <c r="UG49" s="18"/>
      <c r="UH49" s="18"/>
      <c r="UI49" s="18"/>
      <c r="UJ49" s="18"/>
      <c r="UK49" s="18"/>
      <c r="UL49" s="18"/>
      <c r="UM49" s="18"/>
      <c r="UN49" s="18"/>
      <c r="UO49" s="18"/>
      <c r="UP49" s="18"/>
      <c r="UQ49" s="18"/>
      <c r="UR49" s="18"/>
      <c r="US49" s="18"/>
      <c r="UT49" s="18"/>
      <c r="UU49" s="18"/>
      <c r="UV49" s="18"/>
      <c r="UW49" s="18"/>
      <c r="UX49" s="18"/>
      <c r="UY49" s="18"/>
      <c r="UZ49" s="18"/>
      <c r="VA49" s="18"/>
      <c r="VB49" s="18"/>
      <c r="VC49" s="18"/>
      <c r="VD49" s="18"/>
      <c r="VE49" s="18"/>
      <c r="VF49" s="18"/>
      <c r="VG49" s="18"/>
      <c r="VH49" s="18"/>
      <c r="VI49" s="18"/>
      <c r="VJ49" s="18"/>
      <c r="VK49" s="18"/>
      <c r="VL49" s="18"/>
      <c r="VM49" s="18"/>
      <c r="VN49" s="18"/>
      <c r="VO49" s="18"/>
      <c r="VP49" s="18"/>
      <c r="VQ49" s="18"/>
      <c r="VR49" s="18"/>
      <c r="VS49" s="18"/>
    </row>
    <row r="50" spans="1:591" s="80" customFormat="1" ht="21.6" customHeight="1" x14ac:dyDescent="0.3">
      <c r="A50" s="82"/>
      <c r="B50" s="117" t="str">
        <f>'CoS Tracker'!B17</f>
        <v>1901/1902S</v>
      </c>
      <c r="C50" s="76"/>
      <c r="D50" s="76"/>
      <c r="E50" s="77"/>
      <c r="F50" s="78"/>
      <c r="G50" s="78"/>
      <c r="H50" s="79"/>
      <c r="I50" s="76"/>
      <c r="J50" s="76" t="str">
        <f t="shared" ca="1" si="127"/>
        <v/>
      </c>
      <c r="K50" s="76" t="str">
        <f t="shared" ca="1" si="127"/>
        <v/>
      </c>
      <c r="L50" s="76" t="str">
        <f t="shared" ca="1" si="127"/>
        <v/>
      </c>
      <c r="M50" s="76" t="str">
        <f t="shared" ca="1" si="127"/>
        <v/>
      </c>
      <c r="N50" s="76" t="str">
        <f t="shared" ca="1" si="127"/>
        <v/>
      </c>
      <c r="O50" s="76" t="str">
        <f t="shared" ca="1" si="127"/>
        <v/>
      </c>
      <c r="P50" s="76" t="str">
        <f t="shared" ca="1" si="127"/>
        <v/>
      </c>
      <c r="Q50" s="76" t="str">
        <f t="shared" ca="1" si="127"/>
        <v/>
      </c>
      <c r="R50" s="76" t="str">
        <f t="shared" ca="1" si="127"/>
        <v/>
      </c>
      <c r="S50" s="76" t="str">
        <f t="shared" ca="1" si="127"/>
        <v/>
      </c>
      <c r="T50" s="76" t="str">
        <f t="shared" ca="1" si="128"/>
        <v/>
      </c>
      <c r="U50" s="76" t="str">
        <f t="shared" ca="1" si="128"/>
        <v/>
      </c>
      <c r="V50" s="76" t="str">
        <f t="shared" ca="1" si="128"/>
        <v/>
      </c>
      <c r="W50" s="76" t="str">
        <f t="shared" ca="1" si="128"/>
        <v/>
      </c>
      <c r="X50" s="76" t="str">
        <f t="shared" ca="1" si="128"/>
        <v/>
      </c>
      <c r="Y50" s="76" t="str">
        <f t="shared" ca="1" si="128"/>
        <v/>
      </c>
      <c r="Z50" s="76" t="str">
        <f t="shared" ca="1" si="128"/>
        <v/>
      </c>
      <c r="AA50" s="76" t="str">
        <f t="shared" ca="1" si="128"/>
        <v/>
      </c>
      <c r="AB50" s="76" t="str">
        <f t="shared" ca="1" si="128"/>
        <v/>
      </c>
      <c r="AC50" s="76" t="str">
        <f t="shared" ca="1" si="128"/>
        <v/>
      </c>
      <c r="AD50" s="76" t="str">
        <f t="shared" ca="1" si="129"/>
        <v/>
      </c>
      <c r="AE50" s="76" t="str">
        <f t="shared" ca="1" si="129"/>
        <v/>
      </c>
      <c r="AF50" s="76" t="str">
        <f t="shared" ca="1" si="129"/>
        <v/>
      </c>
      <c r="AG50" s="76" t="str">
        <f t="shared" ca="1" si="129"/>
        <v/>
      </c>
      <c r="AH50" s="76" t="str">
        <f t="shared" ca="1" si="129"/>
        <v/>
      </c>
      <c r="AI50" s="76" t="str">
        <f t="shared" ca="1" si="129"/>
        <v/>
      </c>
      <c r="AJ50" s="76" t="str">
        <f t="shared" ca="1" si="129"/>
        <v/>
      </c>
      <c r="AK50" s="76" t="str">
        <f t="shared" ca="1" si="129"/>
        <v/>
      </c>
      <c r="AL50" s="76" t="str">
        <f t="shared" ca="1" si="129"/>
        <v/>
      </c>
      <c r="AM50" s="76" t="str">
        <f t="shared" ca="1" si="129"/>
        <v/>
      </c>
      <c r="AN50" s="76" t="str">
        <f t="shared" ca="1" si="130"/>
        <v/>
      </c>
      <c r="AO50" s="76" t="str">
        <f t="shared" ca="1" si="130"/>
        <v/>
      </c>
      <c r="AP50" s="76" t="str">
        <f t="shared" ca="1" si="130"/>
        <v/>
      </c>
      <c r="AQ50" s="76" t="str">
        <f t="shared" ca="1" si="130"/>
        <v/>
      </c>
      <c r="AR50" s="76" t="str">
        <f t="shared" ca="1" si="130"/>
        <v/>
      </c>
      <c r="AS50" s="76" t="str">
        <f t="shared" ca="1" si="130"/>
        <v/>
      </c>
      <c r="AT50" s="76" t="str">
        <f t="shared" ca="1" si="130"/>
        <v/>
      </c>
      <c r="AU50" s="76" t="str">
        <f t="shared" ca="1" si="130"/>
        <v/>
      </c>
      <c r="AV50" s="76" t="str">
        <f t="shared" ca="1" si="130"/>
        <v/>
      </c>
      <c r="AW50" s="76" t="str">
        <f t="shared" ca="1" si="130"/>
        <v/>
      </c>
      <c r="AX50" s="76" t="str">
        <f t="shared" ca="1" si="131"/>
        <v/>
      </c>
      <c r="AY50" s="76" t="str">
        <f t="shared" ca="1" si="131"/>
        <v/>
      </c>
      <c r="AZ50" s="76" t="str">
        <f t="shared" ca="1" si="131"/>
        <v/>
      </c>
      <c r="BA50" s="76" t="str">
        <f t="shared" ca="1" si="131"/>
        <v/>
      </c>
      <c r="BB50" s="76" t="str">
        <f t="shared" ca="1" si="131"/>
        <v/>
      </c>
      <c r="BC50" s="76" t="str">
        <f t="shared" ca="1" si="131"/>
        <v/>
      </c>
      <c r="BD50" s="76" t="str">
        <f t="shared" ca="1" si="131"/>
        <v/>
      </c>
      <c r="BE50" s="76" t="str">
        <f t="shared" ca="1" si="131"/>
        <v/>
      </c>
      <c r="BF50" s="76" t="str">
        <f t="shared" ca="1" si="131"/>
        <v/>
      </c>
      <c r="BG50" s="76" t="str">
        <f t="shared" ca="1" si="131"/>
        <v/>
      </c>
      <c r="BH50" s="76" t="str">
        <f t="shared" ca="1" si="132"/>
        <v/>
      </c>
      <c r="BI50" s="76" t="str">
        <f t="shared" ca="1" si="132"/>
        <v/>
      </c>
      <c r="BJ50" s="76" t="str">
        <f t="shared" ca="1" si="132"/>
        <v/>
      </c>
      <c r="BK50" s="76" t="str">
        <f t="shared" ca="1" si="132"/>
        <v/>
      </c>
      <c r="BL50" s="76" t="str">
        <f t="shared" ca="1" si="132"/>
        <v/>
      </c>
      <c r="BM50" s="76" t="str">
        <f t="shared" ca="1" si="132"/>
        <v/>
      </c>
      <c r="BN50" s="76" t="str">
        <f t="shared" ca="1" si="132"/>
        <v/>
      </c>
      <c r="BO50" s="76" t="str">
        <f t="shared" ca="1" si="132"/>
        <v/>
      </c>
      <c r="BP50" s="76" t="str">
        <f t="shared" ca="1" si="132"/>
        <v/>
      </c>
      <c r="BQ50" s="76" t="str">
        <f t="shared" ca="1" si="132"/>
        <v/>
      </c>
      <c r="BR50" s="76" t="str">
        <f t="shared" ca="1" si="133"/>
        <v/>
      </c>
      <c r="BS50" s="76" t="str">
        <f t="shared" ca="1" si="133"/>
        <v/>
      </c>
      <c r="BT50" s="76" t="str">
        <f t="shared" ca="1" si="133"/>
        <v/>
      </c>
      <c r="BU50" s="76" t="str">
        <f t="shared" ca="1" si="133"/>
        <v/>
      </c>
      <c r="BV50" s="76" t="str">
        <f t="shared" ca="1" si="133"/>
        <v/>
      </c>
      <c r="BW50" s="76" t="str">
        <f t="shared" ca="1" si="133"/>
        <v/>
      </c>
      <c r="BX50" s="76" t="str">
        <f t="shared" ca="1" si="133"/>
        <v/>
      </c>
      <c r="BY50" s="76" t="str">
        <f t="shared" ca="1" si="133"/>
        <v/>
      </c>
      <c r="BZ50" s="76" t="str">
        <f t="shared" ca="1" si="133"/>
        <v/>
      </c>
      <c r="CA50" s="76" t="str">
        <f t="shared" ca="1" si="133"/>
        <v/>
      </c>
      <c r="CB50" s="76" t="str">
        <f t="shared" ca="1" si="134"/>
        <v/>
      </c>
      <c r="CC50" s="76" t="str">
        <f t="shared" ca="1" si="134"/>
        <v/>
      </c>
      <c r="CD50" s="76" t="str">
        <f t="shared" ca="1" si="134"/>
        <v/>
      </c>
      <c r="CE50" s="76" t="str">
        <f t="shared" ca="1" si="134"/>
        <v/>
      </c>
      <c r="CF50" s="76" t="str">
        <f t="shared" ca="1" si="134"/>
        <v/>
      </c>
      <c r="CG50" s="76" t="str">
        <f t="shared" ca="1" si="134"/>
        <v/>
      </c>
      <c r="CH50" s="76" t="str">
        <f t="shared" ca="1" si="134"/>
        <v/>
      </c>
      <c r="CI50" s="76" t="str">
        <f t="shared" ca="1" si="134"/>
        <v/>
      </c>
      <c r="CJ50" s="76" t="str">
        <f t="shared" ca="1" si="134"/>
        <v/>
      </c>
      <c r="CK50" s="76" t="str">
        <f t="shared" ca="1" si="134"/>
        <v/>
      </c>
      <c r="CL50" s="76" t="str">
        <f t="shared" ca="1" si="135"/>
        <v/>
      </c>
      <c r="CM50" s="76" t="str">
        <f t="shared" ca="1" si="135"/>
        <v/>
      </c>
      <c r="CN50" s="76" t="str">
        <f t="shared" ca="1" si="135"/>
        <v/>
      </c>
      <c r="CO50" s="76" t="str">
        <f t="shared" ca="1" si="135"/>
        <v/>
      </c>
      <c r="CP50" s="76" t="str">
        <f t="shared" ca="1" si="135"/>
        <v/>
      </c>
      <c r="CQ50" s="76" t="str">
        <f t="shared" ca="1" si="135"/>
        <v/>
      </c>
      <c r="CR50" s="76" t="str">
        <f t="shared" ca="1" si="135"/>
        <v/>
      </c>
      <c r="CS50" s="76" t="str">
        <f t="shared" ca="1" si="135"/>
        <v/>
      </c>
      <c r="CT50" s="76" t="str">
        <f t="shared" ca="1" si="135"/>
        <v/>
      </c>
      <c r="CU50" s="76" t="str">
        <f t="shared" ca="1" si="135"/>
        <v/>
      </c>
      <c r="CV50" s="76" t="str">
        <f t="shared" ca="1" si="136"/>
        <v/>
      </c>
      <c r="CW50" s="76" t="str">
        <f t="shared" ca="1" si="136"/>
        <v/>
      </c>
      <c r="CX50" s="76" t="str">
        <f t="shared" ca="1" si="136"/>
        <v/>
      </c>
      <c r="CY50" s="76" t="str">
        <f t="shared" ca="1" si="136"/>
        <v/>
      </c>
      <c r="CZ50" s="76" t="str">
        <f t="shared" ca="1" si="136"/>
        <v/>
      </c>
      <c r="DA50" s="76" t="str">
        <f t="shared" ca="1" si="136"/>
        <v/>
      </c>
      <c r="DB50" s="76" t="str">
        <f t="shared" ca="1" si="136"/>
        <v/>
      </c>
      <c r="DC50" s="76" t="str">
        <f t="shared" ca="1" si="136"/>
        <v/>
      </c>
      <c r="DD50" s="76" t="str">
        <f t="shared" ca="1" si="136"/>
        <v/>
      </c>
      <c r="DE50" s="76" t="str">
        <f t="shared" ca="1" si="136"/>
        <v/>
      </c>
      <c r="DF50" s="76" t="str">
        <f t="shared" ca="1" si="137"/>
        <v/>
      </c>
      <c r="DG50" s="76" t="str">
        <f t="shared" ca="1" si="137"/>
        <v/>
      </c>
      <c r="DH50" s="76" t="str">
        <f t="shared" ca="1" si="137"/>
        <v/>
      </c>
      <c r="DI50" s="76" t="str">
        <f t="shared" ca="1" si="137"/>
        <v/>
      </c>
      <c r="DJ50" s="76" t="str">
        <f t="shared" ca="1" si="137"/>
        <v/>
      </c>
      <c r="DK50" s="76" t="str">
        <f t="shared" ca="1" si="137"/>
        <v/>
      </c>
      <c r="DL50" s="76" t="str">
        <f t="shared" ca="1" si="137"/>
        <v/>
      </c>
      <c r="DM50" s="76" t="str">
        <f t="shared" ca="1" si="137"/>
        <v/>
      </c>
      <c r="DN50" s="76" t="str">
        <f t="shared" ca="1" si="137"/>
        <v/>
      </c>
      <c r="DO50" s="76" t="str">
        <f t="shared" ca="1" si="137"/>
        <v/>
      </c>
      <c r="DP50" s="76" t="str">
        <f t="shared" ca="1" si="138"/>
        <v/>
      </c>
      <c r="DQ50" s="76" t="str">
        <f t="shared" ca="1" si="138"/>
        <v/>
      </c>
      <c r="DR50" s="76" t="str">
        <f t="shared" ca="1" si="138"/>
        <v/>
      </c>
      <c r="DS50" s="76" t="str">
        <f t="shared" ca="1" si="138"/>
        <v/>
      </c>
      <c r="DT50" s="76" t="str">
        <f t="shared" ca="1" si="138"/>
        <v/>
      </c>
      <c r="DU50" s="76" t="str">
        <f t="shared" ca="1" si="138"/>
        <v/>
      </c>
      <c r="DV50" s="76" t="str">
        <f t="shared" ca="1" si="138"/>
        <v/>
      </c>
      <c r="DW50" s="76" t="str">
        <f t="shared" ca="1" si="138"/>
        <v/>
      </c>
      <c r="DX50" s="76" t="str">
        <f t="shared" ca="1" si="138"/>
        <v/>
      </c>
      <c r="DY50" s="76" t="str">
        <f t="shared" ca="1" si="138"/>
        <v/>
      </c>
      <c r="DZ50" s="76" t="str">
        <f t="shared" ca="1" si="139"/>
        <v/>
      </c>
      <c r="EA50" s="76" t="str">
        <f t="shared" ca="1" si="139"/>
        <v/>
      </c>
      <c r="EB50" s="76" t="str">
        <f t="shared" ca="1" si="139"/>
        <v/>
      </c>
      <c r="EC50" s="76" t="str">
        <f t="shared" ca="1" si="139"/>
        <v/>
      </c>
      <c r="ED50" s="76" t="str">
        <f t="shared" ca="1" si="139"/>
        <v/>
      </c>
      <c r="EE50" s="76" t="str">
        <f t="shared" ca="1" si="139"/>
        <v/>
      </c>
      <c r="EF50" s="76" t="str">
        <f t="shared" ca="1" si="139"/>
        <v/>
      </c>
      <c r="EG50" s="76" t="str">
        <f t="shared" ca="1" si="139"/>
        <v/>
      </c>
      <c r="EH50" s="76" t="str">
        <f t="shared" ca="1" si="139"/>
        <v/>
      </c>
      <c r="EI50" s="76" t="str">
        <f t="shared" ca="1" si="139"/>
        <v/>
      </c>
      <c r="EJ50" s="76" t="str">
        <f t="shared" ca="1" si="140"/>
        <v/>
      </c>
      <c r="EK50" s="76" t="str">
        <f t="shared" ca="1" si="140"/>
        <v/>
      </c>
      <c r="EL50" s="76" t="str">
        <f t="shared" ca="1" si="140"/>
        <v/>
      </c>
      <c r="EM50" s="76" t="str">
        <f t="shared" ca="1" si="140"/>
        <v/>
      </c>
      <c r="EN50" s="76" t="str">
        <f t="shared" ca="1" si="140"/>
        <v/>
      </c>
      <c r="EO50" s="76" t="str">
        <f t="shared" ca="1" si="140"/>
        <v/>
      </c>
      <c r="EP50" s="76" t="str">
        <f t="shared" ca="1" si="140"/>
        <v/>
      </c>
      <c r="EQ50" s="76" t="str">
        <f t="shared" ca="1" si="140"/>
        <v/>
      </c>
      <c r="ER50" s="76" t="str">
        <f t="shared" ca="1" si="140"/>
        <v/>
      </c>
      <c r="ES50" s="76" t="str">
        <f t="shared" ca="1" si="140"/>
        <v/>
      </c>
      <c r="ET50" s="76" t="str">
        <f t="shared" ca="1" si="141"/>
        <v/>
      </c>
      <c r="EU50" s="76" t="str">
        <f t="shared" ca="1" si="141"/>
        <v/>
      </c>
      <c r="EV50" s="76" t="str">
        <f t="shared" ca="1" si="141"/>
        <v/>
      </c>
      <c r="EW50" s="76" t="str">
        <f t="shared" ca="1" si="141"/>
        <v/>
      </c>
      <c r="EX50" s="76" t="str">
        <f t="shared" ca="1" si="141"/>
        <v/>
      </c>
      <c r="EY50" s="76" t="str">
        <f t="shared" ca="1" si="141"/>
        <v/>
      </c>
      <c r="EZ50" s="76" t="str">
        <f t="shared" ca="1" si="141"/>
        <v/>
      </c>
      <c r="FA50" s="76" t="str">
        <f t="shared" ca="1" si="141"/>
        <v/>
      </c>
      <c r="FB50" s="76" t="str">
        <f t="shared" ca="1" si="141"/>
        <v/>
      </c>
      <c r="FC50" s="76" t="str">
        <f t="shared" ca="1" si="141"/>
        <v/>
      </c>
      <c r="FD50" s="76" t="str">
        <f t="shared" ca="1" si="142"/>
        <v/>
      </c>
      <c r="FE50" s="76" t="str">
        <f t="shared" ca="1" si="142"/>
        <v/>
      </c>
      <c r="FF50" s="76" t="str">
        <f t="shared" ca="1" si="142"/>
        <v/>
      </c>
      <c r="FG50" s="76" t="str">
        <f t="shared" ca="1" si="142"/>
        <v/>
      </c>
      <c r="FH50" s="76" t="str">
        <f t="shared" ca="1" si="142"/>
        <v/>
      </c>
      <c r="FI50" s="76" t="str">
        <f t="shared" ca="1" si="142"/>
        <v/>
      </c>
      <c r="FJ50" s="76" t="str">
        <f t="shared" ca="1" si="142"/>
        <v/>
      </c>
      <c r="FK50" s="76" t="str">
        <f t="shared" ca="1" si="142"/>
        <v/>
      </c>
      <c r="FL50" s="76" t="str">
        <f t="shared" ca="1" si="142"/>
        <v/>
      </c>
      <c r="FM50" s="76" t="str">
        <f t="shared" ca="1" si="142"/>
        <v/>
      </c>
      <c r="FN50" s="76" t="str">
        <f t="shared" ca="1" si="143"/>
        <v/>
      </c>
      <c r="FO50" s="76" t="str">
        <f t="shared" ca="1" si="143"/>
        <v/>
      </c>
      <c r="FP50" s="76" t="str">
        <f t="shared" ca="1" si="143"/>
        <v/>
      </c>
      <c r="FQ50" s="76" t="str">
        <f t="shared" ca="1" si="143"/>
        <v/>
      </c>
      <c r="FR50" s="76" t="str">
        <f t="shared" ca="1" si="143"/>
        <v/>
      </c>
      <c r="FS50" s="76" t="str">
        <f t="shared" ca="1" si="143"/>
        <v/>
      </c>
      <c r="FT50" s="76" t="str">
        <f t="shared" ca="1" si="143"/>
        <v/>
      </c>
      <c r="FU50" s="76" t="str">
        <f t="shared" ca="1" si="143"/>
        <v/>
      </c>
      <c r="FV50" s="76" t="str">
        <f t="shared" ca="1" si="143"/>
        <v/>
      </c>
      <c r="FW50" s="76" t="str">
        <f t="shared" ca="1" si="143"/>
        <v/>
      </c>
      <c r="FX50" s="76" t="str">
        <f t="shared" ca="1" si="144"/>
        <v/>
      </c>
      <c r="FY50" s="76" t="str">
        <f t="shared" ca="1" si="144"/>
        <v/>
      </c>
      <c r="FZ50" s="76" t="str">
        <f t="shared" ca="1" si="144"/>
        <v/>
      </c>
      <c r="GA50" s="76" t="str">
        <f t="shared" ca="1" si="144"/>
        <v/>
      </c>
      <c r="GB50" s="76" t="str">
        <f t="shared" ca="1" si="144"/>
        <v/>
      </c>
      <c r="GC50" s="76" t="str">
        <f t="shared" ca="1" si="144"/>
        <v/>
      </c>
      <c r="GD50" s="76" t="str">
        <f t="shared" ca="1" si="144"/>
        <v/>
      </c>
      <c r="GE50" s="76" t="str">
        <f t="shared" ca="1" si="144"/>
        <v/>
      </c>
      <c r="GF50" s="76" t="str">
        <f t="shared" ca="1" si="144"/>
        <v/>
      </c>
      <c r="GG50" s="76" t="str">
        <f t="shared" ca="1" si="144"/>
        <v/>
      </c>
      <c r="GH50" s="76" t="str">
        <f t="shared" ca="1" si="145"/>
        <v/>
      </c>
      <c r="GI50" s="76" t="str">
        <f t="shared" ca="1" si="145"/>
        <v/>
      </c>
      <c r="GJ50" s="76" t="str">
        <f t="shared" ca="1" si="145"/>
        <v/>
      </c>
      <c r="GK50" s="76" t="str">
        <f t="shared" ca="1" si="145"/>
        <v/>
      </c>
      <c r="GL50" s="76" t="str">
        <f t="shared" ca="1" si="145"/>
        <v/>
      </c>
      <c r="GM50" s="76" t="str">
        <f t="shared" ca="1" si="145"/>
        <v/>
      </c>
      <c r="GN50" s="76" t="str">
        <f t="shared" ca="1" si="145"/>
        <v/>
      </c>
      <c r="GO50" s="76" t="str">
        <f t="shared" ca="1" si="145"/>
        <v/>
      </c>
      <c r="GP50" s="76" t="str">
        <f t="shared" ca="1" si="145"/>
        <v/>
      </c>
      <c r="GQ50" s="76" t="str">
        <f t="shared" ca="1" si="145"/>
        <v/>
      </c>
      <c r="GR50" s="76" t="str">
        <f t="shared" ca="1" si="146"/>
        <v/>
      </c>
      <c r="GS50" s="76" t="str">
        <f t="shared" ca="1" si="146"/>
        <v/>
      </c>
      <c r="GT50" s="76" t="str">
        <f t="shared" ca="1" si="146"/>
        <v/>
      </c>
      <c r="GU50" s="76" t="str">
        <f t="shared" ca="1" si="146"/>
        <v/>
      </c>
      <c r="GV50" s="76" t="str">
        <f t="shared" ca="1" si="146"/>
        <v/>
      </c>
      <c r="GW50" s="76" t="str">
        <f t="shared" ca="1" si="146"/>
        <v/>
      </c>
      <c r="GX50" s="76" t="str">
        <f t="shared" ca="1" si="146"/>
        <v/>
      </c>
      <c r="GY50" s="76" t="str">
        <f t="shared" ca="1" si="146"/>
        <v/>
      </c>
      <c r="GZ50" s="76" t="str">
        <f t="shared" ca="1" si="146"/>
        <v/>
      </c>
      <c r="HA50" s="76" t="str">
        <f t="shared" ca="1" si="146"/>
        <v/>
      </c>
      <c r="HB50" s="76" t="str">
        <f t="shared" ca="1" si="147"/>
        <v/>
      </c>
      <c r="HC50" s="76" t="str">
        <f t="shared" ca="1" si="147"/>
        <v/>
      </c>
      <c r="HD50" s="76" t="str">
        <f t="shared" ca="1" si="147"/>
        <v/>
      </c>
      <c r="HE50" s="76" t="str">
        <f t="shared" ca="1" si="147"/>
        <v/>
      </c>
      <c r="HF50" s="76" t="str">
        <f t="shared" ca="1" si="147"/>
        <v/>
      </c>
      <c r="HG50" s="76" t="str">
        <f t="shared" ca="1" si="147"/>
        <v/>
      </c>
      <c r="HH50" s="76" t="str">
        <f t="shared" ca="1" si="147"/>
        <v/>
      </c>
      <c r="HI50" s="76" t="str">
        <f t="shared" ca="1" si="147"/>
        <v/>
      </c>
      <c r="HJ50" s="76" t="str">
        <f t="shared" ca="1" si="147"/>
        <v/>
      </c>
      <c r="HK50" s="76" t="str">
        <f t="shared" ca="1" si="147"/>
        <v/>
      </c>
      <c r="HL50" s="76" t="str">
        <f t="shared" ca="1" si="148"/>
        <v/>
      </c>
      <c r="HM50" s="76" t="str">
        <f t="shared" ca="1" si="148"/>
        <v/>
      </c>
      <c r="HN50" s="76" t="str">
        <f t="shared" ca="1" si="148"/>
        <v/>
      </c>
      <c r="HO50" s="76" t="str">
        <f t="shared" ca="1" si="148"/>
        <v/>
      </c>
      <c r="HP50" s="76" t="str">
        <f t="shared" ca="1" si="148"/>
        <v/>
      </c>
      <c r="HQ50" s="76" t="str">
        <f t="shared" ca="1" si="148"/>
        <v/>
      </c>
      <c r="HR50" s="76" t="str">
        <f t="shared" ca="1" si="148"/>
        <v/>
      </c>
      <c r="HS50" s="76" t="str">
        <f t="shared" ca="1" si="148"/>
        <v/>
      </c>
      <c r="HT50" s="76" t="str">
        <f t="shared" ca="1" si="148"/>
        <v/>
      </c>
      <c r="HU50" s="76" t="str">
        <f t="shared" ca="1" si="148"/>
        <v/>
      </c>
      <c r="HV50" s="76" t="str">
        <f t="shared" ca="1" si="149"/>
        <v/>
      </c>
      <c r="HW50" s="76" t="str">
        <f t="shared" ca="1" si="149"/>
        <v/>
      </c>
      <c r="HX50" s="76" t="str">
        <f t="shared" ca="1" si="149"/>
        <v/>
      </c>
      <c r="HY50" s="76" t="str">
        <f t="shared" ca="1" si="149"/>
        <v/>
      </c>
      <c r="HZ50" s="76" t="str">
        <f t="shared" ca="1" si="149"/>
        <v/>
      </c>
      <c r="IA50" s="76" t="str">
        <f t="shared" ca="1" si="149"/>
        <v/>
      </c>
      <c r="IB50" s="76" t="str">
        <f t="shared" ca="1" si="149"/>
        <v/>
      </c>
      <c r="IC50" s="76" t="str">
        <f t="shared" ca="1" si="149"/>
        <v/>
      </c>
      <c r="ID50" s="76" t="str">
        <f t="shared" ca="1" si="149"/>
        <v/>
      </c>
      <c r="IE50" s="76" t="str">
        <f t="shared" ca="1" si="149"/>
        <v/>
      </c>
      <c r="IF50" s="76" t="str">
        <f t="shared" ca="1" si="150"/>
        <v/>
      </c>
      <c r="IG50" s="76" t="str">
        <f t="shared" ca="1" si="150"/>
        <v/>
      </c>
      <c r="IH50" s="76" t="str">
        <f t="shared" ca="1" si="150"/>
        <v/>
      </c>
      <c r="II50" s="76" t="str">
        <f t="shared" ca="1" si="150"/>
        <v/>
      </c>
      <c r="IJ50" s="76" t="str">
        <f t="shared" ca="1" si="150"/>
        <v/>
      </c>
      <c r="IK50" s="76" t="str">
        <f t="shared" ca="1" si="150"/>
        <v/>
      </c>
      <c r="IL50" s="76" t="str">
        <f t="shared" ca="1" si="150"/>
        <v/>
      </c>
      <c r="IM50" s="76" t="str">
        <f t="shared" ca="1" si="150"/>
        <v/>
      </c>
      <c r="IN50" s="76" t="str">
        <f t="shared" ca="1" si="150"/>
        <v/>
      </c>
      <c r="IO50" s="76" t="str">
        <f t="shared" ca="1" si="150"/>
        <v/>
      </c>
      <c r="IP50" s="76" t="str">
        <f t="shared" ca="1" si="151"/>
        <v/>
      </c>
      <c r="IQ50" s="76" t="str">
        <f t="shared" ca="1" si="151"/>
        <v/>
      </c>
      <c r="IR50" s="76" t="str">
        <f t="shared" ca="1" si="151"/>
        <v/>
      </c>
      <c r="IS50" s="76" t="str">
        <f t="shared" ca="1" si="151"/>
        <v/>
      </c>
      <c r="IT50" s="76" t="str">
        <f t="shared" ca="1" si="151"/>
        <v/>
      </c>
      <c r="IU50" s="76" t="str">
        <f t="shared" ca="1" si="151"/>
        <v/>
      </c>
      <c r="IV50" s="76" t="str">
        <f t="shared" ca="1" si="151"/>
        <v/>
      </c>
      <c r="IW50" s="76" t="str">
        <f t="shared" ca="1" si="151"/>
        <v/>
      </c>
      <c r="IX50" s="76" t="str">
        <f t="shared" ca="1" si="151"/>
        <v/>
      </c>
      <c r="IY50" s="76" t="str">
        <f t="shared" ca="1" si="151"/>
        <v/>
      </c>
      <c r="IZ50" s="76" t="str">
        <f t="shared" ca="1" si="152"/>
        <v/>
      </c>
      <c r="JA50" s="76" t="str">
        <f t="shared" ca="1" si="152"/>
        <v/>
      </c>
      <c r="JB50" s="76" t="str">
        <f t="shared" ca="1" si="152"/>
        <v/>
      </c>
      <c r="JC50" s="76" t="str">
        <f t="shared" ca="1" si="152"/>
        <v/>
      </c>
      <c r="JD50" s="76" t="str">
        <f t="shared" ca="1" si="152"/>
        <v/>
      </c>
      <c r="JE50" s="76" t="str">
        <f t="shared" ca="1" si="152"/>
        <v/>
      </c>
      <c r="JF50" s="76" t="str">
        <f t="shared" ca="1" si="152"/>
        <v/>
      </c>
      <c r="JG50" s="76" t="str">
        <f t="shared" ca="1" si="152"/>
        <v/>
      </c>
      <c r="JH50" s="76" t="str">
        <f t="shared" ca="1" si="152"/>
        <v/>
      </c>
      <c r="JI50" s="76" t="str">
        <f t="shared" ca="1" si="152"/>
        <v/>
      </c>
      <c r="JJ50" s="76" t="str">
        <f t="shared" ca="1" si="153"/>
        <v/>
      </c>
      <c r="JK50" s="76" t="str">
        <f t="shared" ca="1" si="153"/>
        <v/>
      </c>
      <c r="JL50" s="76" t="str">
        <f t="shared" ca="1" si="153"/>
        <v/>
      </c>
      <c r="JM50" s="76" t="str">
        <f t="shared" ca="1" si="153"/>
        <v/>
      </c>
      <c r="JN50" s="76" t="str">
        <f t="shared" ca="1" si="153"/>
        <v/>
      </c>
      <c r="JO50" s="76" t="str">
        <f t="shared" ca="1" si="153"/>
        <v/>
      </c>
      <c r="JP50" s="76" t="str">
        <f t="shared" ca="1" si="153"/>
        <v/>
      </c>
      <c r="JQ50" s="76" t="str">
        <f t="shared" ca="1" si="153"/>
        <v/>
      </c>
      <c r="JR50" s="76" t="str">
        <f t="shared" ca="1" si="153"/>
        <v/>
      </c>
      <c r="JS50" s="76" t="str">
        <f t="shared" ca="1" si="153"/>
        <v/>
      </c>
      <c r="JT50" s="76" t="str">
        <f t="shared" ca="1" si="154"/>
        <v/>
      </c>
      <c r="JU50" s="76" t="str">
        <f t="shared" ca="1" si="154"/>
        <v/>
      </c>
      <c r="JV50" s="76" t="str">
        <f t="shared" ca="1" si="154"/>
        <v/>
      </c>
      <c r="JW50" s="76" t="str">
        <f t="shared" ca="1" si="154"/>
        <v/>
      </c>
      <c r="JX50" s="76" t="str">
        <f t="shared" ca="1" si="154"/>
        <v/>
      </c>
      <c r="JY50" s="76" t="str">
        <f t="shared" ca="1" si="154"/>
        <v/>
      </c>
      <c r="JZ50" s="76" t="str">
        <f t="shared" ca="1" si="154"/>
        <v/>
      </c>
      <c r="KA50" s="76" t="str">
        <f t="shared" ca="1" si="154"/>
        <v/>
      </c>
      <c r="KB50" s="76" t="str">
        <f t="shared" ca="1" si="154"/>
        <v/>
      </c>
      <c r="KC50" s="76" t="str">
        <f t="shared" ca="1" si="154"/>
        <v/>
      </c>
      <c r="KD50" s="76" t="str">
        <f t="shared" ca="1" si="155"/>
        <v/>
      </c>
      <c r="KE50" s="76" t="str">
        <f t="shared" ca="1" si="155"/>
        <v/>
      </c>
      <c r="KF50" s="76" t="str">
        <f t="shared" ca="1" si="155"/>
        <v/>
      </c>
      <c r="KG50" s="76" t="str">
        <f t="shared" ca="1" si="155"/>
        <v/>
      </c>
      <c r="KH50" s="76" t="str">
        <f t="shared" ca="1" si="155"/>
        <v/>
      </c>
      <c r="KI50" s="76" t="str">
        <f t="shared" ca="1" si="155"/>
        <v/>
      </c>
      <c r="KJ50" s="76" t="str">
        <f t="shared" ca="1" si="155"/>
        <v/>
      </c>
      <c r="KK50" s="76" t="str">
        <f t="shared" ca="1" si="155"/>
        <v/>
      </c>
      <c r="KL50" s="76" t="str">
        <f t="shared" ca="1" si="155"/>
        <v/>
      </c>
      <c r="KM50" s="76" t="str">
        <f t="shared" ca="1" si="155"/>
        <v/>
      </c>
      <c r="KN50" s="76" t="str">
        <f t="shared" ca="1" si="156"/>
        <v/>
      </c>
      <c r="KO50" s="76" t="str">
        <f t="shared" ca="1" si="156"/>
        <v/>
      </c>
      <c r="KP50" s="76" t="str">
        <f t="shared" ca="1" si="156"/>
        <v/>
      </c>
      <c r="KQ50" s="76" t="str">
        <f t="shared" ca="1" si="156"/>
        <v/>
      </c>
      <c r="KR50" s="76" t="str">
        <f t="shared" ca="1" si="156"/>
        <v/>
      </c>
      <c r="KS50" s="76" t="str">
        <f t="shared" ca="1" si="156"/>
        <v/>
      </c>
      <c r="KT50" s="76" t="str">
        <f t="shared" ca="1" si="156"/>
        <v/>
      </c>
      <c r="KU50" s="76" t="str">
        <f t="shared" ca="1" si="156"/>
        <v/>
      </c>
      <c r="KV50" s="76" t="str">
        <f t="shared" ca="1" si="156"/>
        <v/>
      </c>
      <c r="KW50" s="76" t="str">
        <f t="shared" ca="1" si="156"/>
        <v/>
      </c>
      <c r="KX50" s="76" t="str">
        <f t="shared" ca="1" si="157"/>
        <v/>
      </c>
      <c r="KY50" s="76" t="str">
        <f t="shared" ca="1" si="157"/>
        <v/>
      </c>
      <c r="KZ50" s="76" t="str">
        <f t="shared" ca="1" si="157"/>
        <v/>
      </c>
      <c r="LA50" s="76" t="str">
        <f t="shared" ca="1" si="157"/>
        <v/>
      </c>
      <c r="LB50" s="76" t="str">
        <f t="shared" ca="1" si="157"/>
        <v/>
      </c>
      <c r="LC50" s="76" t="str">
        <f t="shared" ca="1" si="157"/>
        <v/>
      </c>
      <c r="LD50" s="76" t="str">
        <f t="shared" ca="1" si="157"/>
        <v/>
      </c>
      <c r="LE50" s="76" t="str">
        <f t="shared" ca="1" si="157"/>
        <v/>
      </c>
      <c r="LF50" s="76" t="str">
        <f t="shared" ca="1" si="157"/>
        <v/>
      </c>
      <c r="LG50" s="76" t="str">
        <f t="shared" ca="1" si="157"/>
        <v/>
      </c>
      <c r="LH50" s="76" t="str">
        <f t="shared" ca="1" si="158"/>
        <v/>
      </c>
      <c r="LI50" s="76" t="str">
        <f t="shared" ca="1" si="158"/>
        <v/>
      </c>
      <c r="LJ50" s="76" t="str">
        <f t="shared" ca="1" si="158"/>
        <v/>
      </c>
      <c r="LK50" s="76" t="str">
        <f t="shared" ca="1" si="158"/>
        <v/>
      </c>
      <c r="LL50" s="76" t="str">
        <f t="shared" ca="1" si="158"/>
        <v/>
      </c>
      <c r="LM50" s="76" t="str">
        <f t="shared" ca="1" si="158"/>
        <v/>
      </c>
      <c r="LN50" s="76" t="str">
        <f t="shared" ca="1" si="158"/>
        <v/>
      </c>
      <c r="LO50" s="76" t="str">
        <f t="shared" ca="1" si="158"/>
        <v/>
      </c>
      <c r="LP50" s="76" t="str">
        <f t="shared" ca="1" si="158"/>
        <v/>
      </c>
      <c r="LQ50" s="76" t="str">
        <f t="shared" ca="1" si="158"/>
        <v/>
      </c>
      <c r="LR50" s="76" t="str">
        <f t="shared" ca="1" si="159"/>
        <v/>
      </c>
      <c r="LS50" s="76" t="str">
        <f t="shared" ca="1" si="159"/>
        <v/>
      </c>
      <c r="LT50" s="76" t="str">
        <f t="shared" ca="1" si="159"/>
        <v/>
      </c>
      <c r="LU50" s="76" t="str">
        <f t="shared" ca="1" si="159"/>
        <v/>
      </c>
      <c r="LV50" s="76" t="str">
        <f t="shared" ca="1" si="159"/>
        <v/>
      </c>
      <c r="LW50" s="76" t="str">
        <f t="shared" ca="1" si="159"/>
        <v/>
      </c>
      <c r="LX50" s="76" t="str">
        <f t="shared" ca="1" si="159"/>
        <v/>
      </c>
      <c r="LY50" s="76" t="str">
        <f t="shared" ca="1" si="159"/>
        <v/>
      </c>
      <c r="LZ50" s="76" t="str">
        <f t="shared" ca="1" si="159"/>
        <v/>
      </c>
      <c r="MA50" s="76" t="str">
        <f t="shared" ca="1" si="159"/>
        <v/>
      </c>
      <c r="MB50" s="76" t="str">
        <f t="shared" ca="1" si="160"/>
        <v/>
      </c>
      <c r="MC50" s="76" t="str">
        <f t="shared" ca="1" si="160"/>
        <v/>
      </c>
      <c r="MD50" s="76" t="str">
        <f t="shared" ca="1" si="160"/>
        <v/>
      </c>
      <c r="ME50" s="76" t="str">
        <f t="shared" ca="1" si="160"/>
        <v/>
      </c>
      <c r="MF50" s="76" t="str">
        <f t="shared" ca="1" si="160"/>
        <v/>
      </c>
      <c r="MG50" s="76" t="str">
        <f t="shared" ca="1" si="160"/>
        <v/>
      </c>
      <c r="MH50" s="76" t="str">
        <f t="shared" ca="1" si="160"/>
        <v/>
      </c>
      <c r="MI50" s="76" t="str">
        <f t="shared" ca="1" si="160"/>
        <v/>
      </c>
      <c r="MJ50" s="76" t="str">
        <f t="shared" ca="1" si="160"/>
        <v/>
      </c>
      <c r="MK50" s="76" t="str">
        <f t="shared" ca="1" si="160"/>
        <v/>
      </c>
      <c r="ML50" s="76" t="str">
        <f t="shared" ca="1" si="161"/>
        <v/>
      </c>
      <c r="MM50" s="76" t="str">
        <f t="shared" ca="1" si="161"/>
        <v/>
      </c>
      <c r="MN50" s="76" t="str">
        <f t="shared" ca="1" si="161"/>
        <v/>
      </c>
      <c r="MO50" s="76" t="str">
        <f t="shared" ca="1" si="161"/>
        <v/>
      </c>
      <c r="MP50" s="76" t="str">
        <f t="shared" ca="1" si="161"/>
        <v/>
      </c>
      <c r="MQ50" s="76" t="str">
        <f t="shared" ca="1" si="161"/>
        <v/>
      </c>
      <c r="MR50" s="76" t="str">
        <f t="shared" ca="1" si="161"/>
        <v/>
      </c>
      <c r="MS50" s="76" t="str">
        <f t="shared" ca="1" si="161"/>
        <v/>
      </c>
      <c r="MT50" s="76" t="str">
        <f t="shared" ca="1" si="161"/>
        <v/>
      </c>
      <c r="MU50" s="76" t="str">
        <f t="shared" ca="1" si="161"/>
        <v/>
      </c>
      <c r="MV50" s="76" t="str">
        <f t="shared" ca="1" si="162"/>
        <v/>
      </c>
      <c r="MW50" s="76" t="str">
        <f t="shared" ca="1" si="162"/>
        <v/>
      </c>
      <c r="MX50" s="76" t="str">
        <f t="shared" ca="1" si="162"/>
        <v/>
      </c>
      <c r="MY50" s="76" t="str">
        <f t="shared" ca="1" si="162"/>
        <v/>
      </c>
      <c r="MZ50" s="76" t="str">
        <f t="shared" ca="1" si="162"/>
        <v/>
      </c>
      <c r="NA50" s="76" t="str">
        <f t="shared" ca="1" si="162"/>
        <v/>
      </c>
      <c r="NB50" s="76" t="str">
        <f t="shared" ca="1" si="162"/>
        <v/>
      </c>
      <c r="NC50" s="76" t="str">
        <f t="shared" ca="1" si="162"/>
        <v/>
      </c>
      <c r="ND50" s="76" t="str">
        <f t="shared" ca="1" si="162"/>
        <v/>
      </c>
      <c r="NE50" s="76" t="str">
        <f t="shared" ca="1" si="162"/>
        <v/>
      </c>
      <c r="NF50" s="76" t="str">
        <f t="shared" ca="1" si="163"/>
        <v/>
      </c>
      <c r="NG50" s="76" t="str">
        <f t="shared" ca="1" si="163"/>
        <v/>
      </c>
      <c r="NH50" s="76" t="str">
        <f t="shared" ca="1" si="163"/>
        <v/>
      </c>
      <c r="NI50" s="76" t="str">
        <f t="shared" ca="1" si="163"/>
        <v/>
      </c>
      <c r="NJ50" s="76" t="str">
        <f t="shared" ca="1" si="163"/>
        <v/>
      </c>
      <c r="NK50" s="76" t="str">
        <f t="shared" ca="1" si="163"/>
        <v/>
      </c>
      <c r="NL50" s="76" t="str">
        <f t="shared" ca="1" si="163"/>
        <v/>
      </c>
      <c r="NM50" s="76" t="str">
        <f t="shared" ca="1" si="163"/>
        <v/>
      </c>
      <c r="NN50" s="76" t="str">
        <f t="shared" ca="1" si="163"/>
        <v/>
      </c>
      <c r="NO50" s="76" t="str">
        <f t="shared" ca="1" si="163"/>
        <v/>
      </c>
      <c r="NP50" s="76" t="str">
        <f t="shared" ca="1" si="164"/>
        <v/>
      </c>
      <c r="NQ50" s="76" t="str">
        <f t="shared" ca="1" si="164"/>
        <v/>
      </c>
      <c r="NR50" s="76" t="str">
        <f t="shared" ca="1" si="164"/>
        <v/>
      </c>
      <c r="NS50" s="76" t="str">
        <f t="shared" ca="1" si="164"/>
        <v/>
      </c>
      <c r="NT50" s="76" t="str">
        <f t="shared" ca="1" si="164"/>
        <v/>
      </c>
      <c r="NU50" s="76" t="str">
        <f t="shared" ca="1" si="164"/>
        <v/>
      </c>
      <c r="NV50" s="76" t="str">
        <f t="shared" ca="1" si="164"/>
        <v/>
      </c>
      <c r="NW50" s="76" t="str">
        <f t="shared" ca="1" si="164"/>
        <v/>
      </c>
      <c r="NX50" s="76" t="str">
        <f t="shared" ca="1" si="164"/>
        <v/>
      </c>
      <c r="NY50" s="76" t="str">
        <f t="shared" ca="1" si="164"/>
        <v/>
      </c>
      <c r="NZ50" s="76" t="str">
        <f t="shared" ca="1" si="165"/>
        <v/>
      </c>
      <c r="OA50" s="76" t="str">
        <f t="shared" ca="1" si="165"/>
        <v/>
      </c>
      <c r="OB50" s="76" t="str">
        <f t="shared" ca="1" si="165"/>
        <v/>
      </c>
      <c r="OC50" s="76" t="str">
        <f t="shared" ca="1" si="165"/>
        <v/>
      </c>
      <c r="OD50" s="76" t="str">
        <f t="shared" ca="1" si="165"/>
        <v/>
      </c>
      <c r="OE50" s="76" t="str">
        <f t="shared" ca="1" si="165"/>
        <v/>
      </c>
      <c r="OF50" s="76" t="str">
        <f t="shared" ca="1" si="165"/>
        <v/>
      </c>
      <c r="OG50" s="76" t="str">
        <f t="shared" ca="1" si="165"/>
        <v/>
      </c>
      <c r="OH50" s="76" t="str">
        <f t="shared" ca="1" si="165"/>
        <v/>
      </c>
      <c r="OI50" s="76" t="str">
        <f t="shared" ca="1" si="165"/>
        <v/>
      </c>
      <c r="OJ50" s="76" t="str">
        <f t="shared" ca="1" si="166"/>
        <v/>
      </c>
      <c r="OK50" s="76" t="str">
        <f t="shared" ca="1" si="166"/>
        <v/>
      </c>
      <c r="OL50" s="76" t="str">
        <f t="shared" ca="1" si="166"/>
        <v/>
      </c>
      <c r="OM50" s="76" t="str">
        <f t="shared" ca="1" si="166"/>
        <v/>
      </c>
      <c r="ON50" s="76" t="str">
        <f t="shared" ca="1" si="166"/>
        <v/>
      </c>
      <c r="OO50" s="76" t="str">
        <f t="shared" ca="1" si="166"/>
        <v/>
      </c>
      <c r="OP50" s="76" t="str">
        <f t="shared" ca="1" si="166"/>
        <v/>
      </c>
      <c r="OQ50" s="76" t="str">
        <f t="shared" ca="1" si="166"/>
        <v/>
      </c>
      <c r="OR50" s="76" t="str">
        <f t="shared" ca="1" si="166"/>
        <v/>
      </c>
      <c r="OS50" s="76" t="str">
        <f t="shared" ca="1" si="166"/>
        <v/>
      </c>
      <c r="OT50" s="76" t="str">
        <f t="shared" ca="1" si="167"/>
        <v/>
      </c>
      <c r="OU50" s="76" t="str">
        <f t="shared" ca="1" si="167"/>
        <v/>
      </c>
      <c r="OV50" s="76" t="str">
        <f t="shared" ca="1" si="167"/>
        <v/>
      </c>
      <c r="OW50" s="76" t="str">
        <f t="shared" ca="1" si="167"/>
        <v/>
      </c>
      <c r="OX50" s="76" t="str">
        <f t="shared" ca="1" si="167"/>
        <v/>
      </c>
      <c r="OY50" s="76" t="str">
        <f t="shared" ca="1" si="167"/>
        <v/>
      </c>
      <c r="OZ50" s="76" t="str">
        <f t="shared" ca="1" si="167"/>
        <v/>
      </c>
      <c r="PA50" s="76" t="str">
        <f t="shared" ca="1" si="167"/>
        <v/>
      </c>
      <c r="PB50" s="76" t="str">
        <f t="shared" ca="1" si="167"/>
        <v/>
      </c>
      <c r="PC50" s="76" t="str">
        <f t="shared" ca="1" si="167"/>
        <v/>
      </c>
      <c r="PD50" s="76" t="str">
        <f t="shared" ca="1" si="168"/>
        <v/>
      </c>
      <c r="PE50" s="76" t="str">
        <f t="shared" ca="1" si="168"/>
        <v/>
      </c>
      <c r="PF50" s="76" t="str">
        <f t="shared" ca="1" si="168"/>
        <v/>
      </c>
      <c r="PG50" s="76" t="str">
        <f t="shared" ca="1" si="168"/>
        <v/>
      </c>
      <c r="PH50" s="76" t="str">
        <f t="shared" ca="1" si="168"/>
        <v/>
      </c>
      <c r="PI50" s="76" t="str">
        <f t="shared" ca="1" si="168"/>
        <v/>
      </c>
      <c r="PJ50" s="76" t="str">
        <f t="shared" ca="1" si="168"/>
        <v/>
      </c>
      <c r="PK50" s="76" t="str">
        <f t="shared" ca="1" si="168"/>
        <v/>
      </c>
      <c r="PL50" s="76" t="str">
        <f t="shared" ca="1" si="168"/>
        <v/>
      </c>
      <c r="PM50" s="76" t="str">
        <f t="shared" ca="1" si="168"/>
        <v/>
      </c>
      <c r="PN50" s="76" t="str">
        <f t="shared" ca="1" si="169"/>
        <v/>
      </c>
      <c r="PO50" s="76" t="str">
        <f t="shared" ca="1" si="169"/>
        <v/>
      </c>
      <c r="PP50" s="76" t="str">
        <f t="shared" ca="1" si="169"/>
        <v/>
      </c>
      <c r="PQ50" s="76" t="str">
        <f t="shared" ca="1" si="169"/>
        <v/>
      </c>
      <c r="PR50" s="76" t="str">
        <f t="shared" ca="1" si="169"/>
        <v/>
      </c>
      <c r="PS50" s="76" t="str">
        <f t="shared" ca="1" si="169"/>
        <v/>
      </c>
      <c r="PT50" s="76" t="str">
        <f t="shared" ca="1" si="169"/>
        <v/>
      </c>
      <c r="PU50" s="76" t="str">
        <f t="shared" ca="1" si="169"/>
        <v/>
      </c>
      <c r="PV50" s="76" t="str">
        <f t="shared" ca="1" si="169"/>
        <v/>
      </c>
      <c r="PW50" s="76" t="str">
        <f t="shared" ca="1" si="169"/>
        <v/>
      </c>
      <c r="PX50" s="76" t="str">
        <f t="shared" ca="1" si="170"/>
        <v/>
      </c>
      <c r="PY50" s="76" t="str">
        <f t="shared" ca="1" si="170"/>
        <v/>
      </c>
      <c r="PZ50" s="76" t="str">
        <f t="shared" ca="1" si="170"/>
        <v/>
      </c>
      <c r="QA50" s="76" t="str">
        <f t="shared" ca="1" si="170"/>
        <v/>
      </c>
      <c r="QB50" s="76" t="str">
        <f t="shared" ca="1" si="170"/>
        <v/>
      </c>
      <c r="QC50" s="76" t="str">
        <f t="shared" ca="1" si="170"/>
        <v/>
      </c>
      <c r="QD50" s="76" t="str">
        <f t="shared" ca="1" si="170"/>
        <v/>
      </c>
      <c r="QE50" s="76" t="str">
        <f t="shared" ca="1" si="170"/>
        <v/>
      </c>
      <c r="QF50" s="76" t="str">
        <f t="shared" ca="1" si="170"/>
        <v/>
      </c>
      <c r="QG50" s="76" t="str">
        <f t="shared" ca="1" si="170"/>
        <v/>
      </c>
      <c r="QH50" s="76" t="str">
        <f t="shared" ca="1" si="171"/>
        <v/>
      </c>
      <c r="QI50" s="76" t="str">
        <f t="shared" ca="1" si="171"/>
        <v/>
      </c>
      <c r="QJ50" s="76" t="str">
        <f t="shared" ca="1" si="171"/>
        <v/>
      </c>
      <c r="QK50" s="76" t="str">
        <f t="shared" ca="1" si="171"/>
        <v/>
      </c>
      <c r="QL50" s="76" t="str">
        <f t="shared" ca="1" si="171"/>
        <v/>
      </c>
      <c r="QM50" s="76" t="str">
        <f t="shared" ca="1" si="171"/>
        <v/>
      </c>
      <c r="QN50" s="76" t="str">
        <f t="shared" ca="1" si="171"/>
        <v/>
      </c>
      <c r="QO50" s="76" t="str">
        <f t="shared" ca="1" si="171"/>
        <v/>
      </c>
      <c r="QP50" s="76" t="str">
        <f t="shared" ca="1" si="171"/>
        <v/>
      </c>
      <c r="QQ50" s="76" t="str">
        <f t="shared" ca="1" si="171"/>
        <v/>
      </c>
      <c r="QR50" s="76" t="str">
        <f t="shared" ca="1" si="172"/>
        <v/>
      </c>
      <c r="QS50" s="76" t="str">
        <f t="shared" ca="1" si="172"/>
        <v/>
      </c>
      <c r="QT50" s="76" t="str">
        <f t="shared" ca="1" si="172"/>
        <v/>
      </c>
      <c r="QU50" s="76" t="str">
        <f t="shared" ca="1" si="172"/>
        <v/>
      </c>
      <c r="QV50" s="76" t="str">
        <f t="shared" ca="1" si="172"/>
        <v/>
      </c>
      <c r="QW50" s="76" t="str">
        <f t="shared" ca="1" si="172"/>
        <v/>
      </c>
      <c r="QX50" s="76" t="str">
        <f t="shared" ca="1" si="172"/>
        <v/>
      </c>
      <c r="QY50" s="76" t="str">
        <f t="shared" ca="1" si="172"/>
        <v/>
      </c>
      <c r="QZ50" s="76" t="str">
        <f t="shared" ca="1" si="172"/>
        <v/>
      </c>
      <c r="RA50" s="76" t="str">
        <f t="shared" ca="1" si="172"/>
        <v/>
      </c>
      <c r="RB50" s="76" t="str">
        <f t="shared" ca="1" si="173"/>
        <v/>
      </c>
      <c r="RC50" s="76" t="str">
        <f t="shared" ca="1" si="173"/>
        <v/>
      </c>
      <c r="RD50" s="76" t="str">
        <f t="shared" ca="1" si="173"/>
        <v/>
      </c>
      <c r="RE50" s="76" t="str">
        <f t="shared" ca="1" si="173"/>
        <v/>
      </c>
      <c r="RF50" s="76" t="str">
        <f t="shared" ca="1" si="173"/>
        <v/>
      </c>
      <c r="RG50" s="76" t="str">
        <f t="shared" ca="1" si="173"/>
        <v/>
      </c>
      <c r="RH50" s="76" t="str">
        <f t="shared" ca="1" si="173"/>
        <v/>
      </c>
      <c r="RI50" s="76" t="str">
        <f t="shared" ca="1" si="173"/>
        <v/>
      </c>
      <c r="RJ50" s="76" t="str">
        <f t="shared" ca="1" si="173"/>
        <v/>
      </c>
      <c r="RK50" s="76" t="str">
        <f t="shared" ca="1" si="173"/>
        <v/>
      </c>
      <c r="RL50" s="76" t="str">
        <f t="shared" ca="1" si="174"/>
        <v/>
      </c>
      <c r="RM50" s="76" t="str">
        <f t="shared" ca="1" si="174"/>
        <v/>
      </c>
      <c r="RN50" s="76" t="str">
        <f t="shared" ca="1" si="174"/>
        <v/>
      </c>
      <c r="RO50" s="76" t="str">
        <f t="shared" ca="1" si="174"/>
        <v/>
      </c>
      <c r="RP50" s="76" t="str">
        <f t="shared" ca="1" si="174"/>
        <v/>
      </c>
      <c r="RQ50" s="76" t="str">
        <f t="shared" ca="1" si="174"/>
        <v/>
      </c>
      <c r="RR50" s="76" t="str">
        <f t="shared" ca="1" si="174"/>
        <v/>
      </c>
      <c r="RS50" s="76" t="str">
        <f t="shared" ca="1" si="174"/>
        <v/>
      </c>
      <c r="RT50" s="76" t="str">
        <f t="shared" ca="1" si="174"/>
        <v/>
      </c>
      <c r="RU50" s="76" t="str">
        <f t="shared" ca="1" si="174"/>
        <v/>
      </c>
      <c r="RV50" s="76" t="str">
        <f t="shared" ca="1" si="175"/>
        <v/>
      </c>
      <c r="RW50" s="76" t="str">
        <f t="shared" ca="1" si="175"/>
        <v/>
      </c>
      <c r="RX50" s="76" t="str">
        <f t="shared" ca="1" si="175"/>
        <v/>
      </c>
      <c r="RY50" s="76" t="str">
        <f t="shared" ca="1" si="175"/>
        <v/>
      </c>
      <c r="RZ50" s="76" t="str">
        <f t="shared" ca="1" si="175"/>
        <v/>
      </c>
      <c r="SA50" s="76" t="str">
        <f t="shared" ca="1" si="175"/>
        <v/>
      </c>
      <c r="SB50" s="76" t="str">
        <f t="shared" ca="1" si="175"/>
        <v/>
      </c>
      <c r="SC50" s="76" t="str">
        <f t="shared" ca="1" si="175"/>
        <v/>
      </c>
      <c r="SD50" s="76" t="str">
        <f t="shared" ca="1" si="175"/>
        <v/>
      </c>
      <c r="SE50" s="76" t="str">
        <f t="shared" ca="1" si="175"/>
        <v/>
      </c>
      <c r="SF50" s="76" t="str">
        <f t="shared" ca="1" si="176"/>
        <v/>
      </c>
      <c r="SG50" s="76" t="str">
        <f t="shared" ca="1" si="176"/>
        <v/>
      </c>
      <c r="SH50" s="76" t="str">
        <f t="shared" ca="1" si="176"/>
        <v/>
      </c>
      <c r="SI50" s="76" t="str">
        <f t="shared" ca="1" si="176"/>
        <v/>
      </c>
      <c r="SJ50" s="76" t="str">
        <f t="shared" ca="1" si="176"/>
        <v/>
      </c>
      <c r="SK50" s="76" t="str">
        <f t="shared" ca="1" si="176"/>
        <v/>
      </c>
      <c r="SL50" s="76" t="str">
        <f t="shared" ca="1" si="176"/>
        <v/>
      </c>
      <c r="SM50" s="76" t="str">
        <f t="shared" ca="1" si="176"/>
        <v/>
      </c>
      <c r="SN50" s="76" t="str">
        <f t="shared" ca="1" si="176"/>
        <v/>
      </c>
      <c r="SO50" s="76" t="str">
        <f t="shared" ca="1" si="176"/>
        <v/>
      </c>
      <c r="SP50" s="76" t="str">
        <f t="shared" ca="1" si="177"/>
        <v/>
      </c>
      <c r="SQ50" s="76" t="str">
        <f t="shared" ca="1" si="177"/>
        <v/>
      </c>
      <c r="SR50" s="76" t="str">
        <f t="shared" ca="1" si="177"/>
        <v/>
      </c>
      <c r="SS50" s="76" t="str">
        <f t="shared" ca="1" si="177"/>
        <v/>
      </c>
      <c r="ST50" s="76" t="str">
        <f t="shared" ca="1" si="177"/>
        <v/>
      </c>
      <c r="SU50" s="76" t="str">
        <f t="shared" ca="1" si="177"/>
        <v/>
      </c>
      <c r="SV50" s="76" t="str">
        <f t="shared" ca="1" si="177"/>
        <v/>
      </c>
      <c r="SW50" s="76" t="str">
        <f t="shared" ca="1" si="177"/>
        <v/>
      </c>
      <c r="SX50" s="76" t="str">
        <f t="shared" ca="1" si="177"/>
        <v/>
      </c>
      <c r="SY50" s="76" t="str">
        <f t="shared" ca="1" si="177"/>
        <v/>
      </c>
      <c r="SZ50" s="76" t="str">
        <f t="shared" ca="1" si="178"/>
        <v/>
      </c>
      <c r="TA50" s="76" t="str">
        <f t="shared" ca="1" si="178"/>
        <v/>
      </c>
      <c r="TB50" s="76" t="str">
        <f t="shared" ca="1" si="178"/>
        <v/>
      </c>
      <c r="TC50" s="76" t="str">
        <f t="shared" ca="1" si="178"/>
        <v/>
      </c>
      <c r="TD50" s="76" t="str">
        <f t="shared" ca="1" si="178"/>
        <v/>
      </c>
      <c r="TE50" s="76" t="str">
        <f t="shared" ca="1" si="178"/>
        <v/>
      </c>
      <c r="TF50" s="76" t="str">
        <f t="shared" ca="1" si="178"/>
        <v/>
      </c>
      <c r="TG50" s="76" t="str">
        <f t="shared" ca="1" si="178"/>
        <v/>
      </c>
      <c r="TH50" s="76" t="str">
        <f t="shared" ca="1" si="178"/>
        <v/>
      </c>
      <c r="TI50" s="76" t="str">
        <f t="shared" ca="1" si="178"/>
        <v/>
      </c>
      <c r="TJ50" s="76" t="str">
        <f t="shared" ca="1" si="179"/>
        <v/>
      </c>
      <c r="TK50" s="76" t="str">
        <f t="shared" ca="1" si="179"/>
        <v/>
      </c>
      <c r="TL50" s="76" t="str">
        <f t="shared" ca="1" si="179"/>
        <v/>
      </c>
      <c r="TM50" s="76" t="str">
        <f t="shared" ca="1" si="179"/>
        <v/>
      </c>
      <c r="TN50" s="76" t="str">
        <f t="shared" ca="1" si="179"/>
        <v/>
      </c>
      <c r="TO50" s="76" t="str">
        <f t="shared" ca="1" si="179"/>
        <v/>
      </c>
      <c r="TP50" s="76" t="str">
        <f t="shared" ca="1" si="179"/>
        <v/>
      </c>
      <c r="TQ50" s="76" t="str">
        <f t="shared" ca="1" si="179"/>
        <v/>
      </c>
      <c r="TR50" s="76" t="str">
        <f t="shared" ca="1" si="179"/>
        <v/>
      </c>
      <c r="TS50" s="76" t="str">
        <f t="shared" ca="1" si="179"/>
        <v/>
      </c>
      <c r="TT50" s="76" t="str">
        <f t="shared" ca="1" si="180"/>
        <v/>
      </c>
      <c r="TU50" s="76" t="str">
        <f t="shared" ca="1" si="180"/>
        <v/>
      </c>
      <c r="TV50" s="76" t="str">
        <f t="shared" ca="1" si="180"/>
        <v/>
      </c>
      <c r="TW50" s="76" t="str">
        <f t="shared" ca="1" si="180"/>
        <v/>
      </c>
      <c r="TX50" s="76" t="str">
        <f t="shared" ca="1" si="180"/>
        <v/>
      </c>
      <c r="TY50" s="76" t="str">
        <f t="shared" ca="1" si="180"/>
        <v/>
      </c>
      <c r="TZ50" s="76" t="str">
        <f t="shared" ca="1" si="180"/>
        <v/>
      </c>
      <c r="UA50" s="76" t="str">
        <f t="shared" ca="1" si="180"/>
        <v/>
      </c>
      <c r="UB50" s="76" t="str">
        <f t="shared" ca="1" si="180"/>
        <v/>
      </c>
      <c r="UC50" s="76" t="str">
        <f t="shared" ca="1" si="180"/>
        <v/>
      </c>
      <c r="UD50" s="76" t="str">
        <f t="shared" ca="1" si="181"/>
        <v/>
      </c>
      <c r="UE50" s="76" t="str">
        <f t="shared" ca="1" si="181"/>
        <v/>
      </c>
      <c r="UF50" s="76" t="str">
        <f t="shared" ca="1" si="181"/>
        <v/>
      </c>
      <c r="UG50" s="76" t="str">
        <f t="shared" ca="1" si="181"/>
        <v/>
      </c>
      <c r="UH50" s="76" t="str">
        <f t="shared" ca="1" si="181"/>
        <v/>
      </c>
      <c r="UI50" s="76" t="str">
        <f t="shared" ca="1" si="181"/>
        <v/>
      </c>
      <c r="UJ50" s="76" t="str">
        <f t="shared" ca="1" si="181"/>
        <v/>
      </c>
      <c r="UK50" s="76" t="str">
        <f t="shared" ca="1" si="181"/>
        <v/>
      </c>
      <c r="UL50" s="76" t="str">
        <f t="shared" ca="1" si="181"/>
        <v/>
      </c>
      <c r="UM50" s="76" t="str">
        <f t="shared" ca="1" si="181"/>
        <v/>
      </c>
      <c r="UN50" s="76" t="str">
        <f t="shared" ca="1" si="182"/>
        <v/>
      </c>
      <c r="UO50" s="76" t="str">
        <f t="shared" ca="1" si="182"/>
        <v/>
      </c>
      <c r="UP50" s="76" t="str">
        <f t="shared" ca="1" si="182"/>
        <v/>
      </c>
      <c r="UQ50" s="76" t="str">
        <f t="shared" ca="1" si="182"/>
        <v/>
      </c>
      <c r="UR50" s="76" t="str">
        <f t="shared" ca="1" si="182"/>
        <v/>
      </c>
      <c r="US50" s="76" t="str">
        <f t="shared" ca="1" si="182"/>
        <v/>
      </c>
      <c r="UT50" s="76" t="str">
        <f t="shared" ca="1" si="182"/>
        <v/>
      </c>
      <c r="UU50" s="76" t="str">
        <f t="shared" ca="1" si="182"/>
        <v/>
      </c>
      <c r="UV50" s="76" t="str">
        <f t="shared" ca="1" si="182"/>
        <v/>
      </c>
      <c r="UW50" s="76" t="str">
        <f t="shared" ca="1" si="182"/>
        <v/>
      </c>
      <c r="UX50" s="76" t="str">
        <f t="shared" ca="1" si="183"/>
        <v/>
      </c>
      <c r="UY50" s="76" t="str">
        <f t="shared" ca="1" si="183"/>
        <v/>
      </c>
      <c r="UZ50" s="76" t="str">
        <f t="shared" ca="1" si="183"/>
        <v/>
      </c>
      <c r="VA50" s="76" t="str">
        <f t="shared" ca="1" si="183"/>
        <v/>
      </c>
      <c r="VB50" s="76" t="str">
        <f t="shared" ca="1" si="183"/>
        <v/>
      </c>
      <c r="VC50" s="76" t="str">
        <f t="shared" ca="1" si="183"/>
        <v/>
      </c>
      <c r="VD50" s="76" t="str">
        <f t="shared" ca="1" si="183"/>
        <v/>
      </c>
      <c r="VE50" s="76" t="str">
        <f t="shared" ca="1" si="183"/>
        <v/>
      </c>
      <c r="VF50" s="76" t="str">
        <f t="shared" ca="1" si="183"/>
        <v/>
      </c>
      <c r="VG50" s="76" t="str">
        <f t="shared" ca="1" si="183"/>
        <v/>
      </c>
      <c r="VH50" s="76" t="str">
        <f t="shared" ca="1" si="184"/>
        <v/>
      </c>
      <c r="VI50" s="76" t="str">
        <f t="shared" ca="1" si="184"/>
        <v/>
      </c>
      <c r="VJ50" s="76" t="str">
        <f t="shared" ca="1" si="184"/>
        <v/>
      </c>
      <c r="VK50" s="76" t="str">
        <f t="shared" ca="1" si="184"/>
        <v/>
      </c>
      <c r="VL50" s="76" t="str">
        <f t="shared" ca="1" si="184"/>
        <v/>
      </c>
      <c r="VM50" s="76" t="str">
        <f t="shared" ca="1" si="184"/>
        <v/>
      </c>
      <c r="VN50" s="76" t="str">
        <f t="shared" ca="1" si="184"/>
        <v/>
      </c>
      <c r="VO50" s="76" t="str">
        <f t="shared" ca="1" si="184"/>
        <v/>
      </c>
      <c r="VP50" s="76" t="str">
        <f t="shared" ca="1" si="184"/>
        <v/>
      </c>
      <c r="VQ50" s="76" t="str">
        <f t="shared" ca="1" si="184"/>
        <v/>
      </c>
      <c r="VR50" s="76" t="str">
        <f t="shared" ca="1" si="184"/>
        <v/>
      </c>
      <c r="VS50" s="76" t="str">
        <f t="shared" ca="1" si="184"/>
        <v/>
      </c>
    </row>
    <row r="51" spans="1:591" s="17" customFormat="1" ht="21.6" customHeight="1" x14ac:dyDescent="0.3">
      <c r="A51" s="82"/>
      <c r="B51" s="42" t="str">
        <f>'CoS Tracker'!$H$7</f>
        <v>0. DATE EXCHANGED
(Contract Date)</v>
      </c>
      <c r="C51" s="19" t="s">
        <v>76</v>
      </c>
      <c r="D51" s="19"/>
      <c r="E51" s="27">
        <v>0.6</v>
      </c>
      <c r="F51" s="26">
        <f>F41+6</f>
        <v>46001</v>
      </c>
      <c r="G51" s="26">
        <f>Milestones43524[[#This Row],[Start]]+Milestones43524[[#This Row],[Days]]</f>
        <v>46014</v>
      </c>
      <c r="H51" s="25">
        <v>13</v>
      </c>
      <c r="I51" s="19"/>
      <c r="J51" s="75" t="str">
        <f t="shared" ca="1" si="127"/>
        <v/>
      </c>
      <c r="K51" s="75" t="str">
        <f t="shared" ca="1" si="127"/>
        <v/>
      </c>
      <c r="L51" s="75" t="str">
        <f t="shared" ca="1" si="127"/>
        <v/>
      </c>
      <c r="M51" s="75" t="str">
        <f t="shared" ca="1" si="127"/>
        <v/>
      </c>
      <c r="N51" s="75" t="str">
        <f t="shared" ca="1" si="127"/>
        <v/>
      </c>
      <c r="O51" s="75" t="str">
        <f t="shared" ca="1" si="127"/>
        <v/>
      </c>
      <c r="P51" s="75" t="str">
        <f t="shared" ca="1" si="127"/>
        <v/>
      </c>
      <c r="Q51" s="75" t="str">
        <f t="shared" ca="1" si="127"/>
        <v/>
      </c>
      <c r="R51" s="75" t="str">
        <f t="shared" ca="1" si="127"/>
        <v/>
      </c>
      <c r="S51" s="75" t="str">
        <f t="shared" ca="1" si="127"/>
        <v/>
      </c>
      <c r="T51" s="75" t="str">
        <f t="shared" ca="1" si="128"/>
        <v/>
      </c>
      <c r="U51" s="75" t="str">
        <f t="shared" ca="1" si="128"/>
        <v/>
      </c>
      <c r="V51" s="75" t="str">
        <f t="shared" ca="1" si="128"/>
        <v/>
      </c>
      <c r="W51" s="75" t="str">
        <f t="shared" ca="1" si="128"/>
        <v/>
      </c>
      <c r="X51" s="75" t="str">
        <f t="shared" ca="1" si="128"/>
        <v/>
      </c>
      <c r="Y51" s="75" t="str">
        <f t="shared" ca="1" si="128"/>
        <v/>
      </c>
      <c r="Z51" s="75" t="str">
        <f t="shared" ca="1" si="128"/>
        <v/>
      </c>
      <c r="AA51" s="75" t="str">
        <f t="shared" ca="1" si="128"/>
        <v/>
      </c>
      <c r="AB51" s="75" t="str">
        <f t="shared" ca="1" si="128"/>
        <v/>
      </c>
      <c r="AC51" s="75" t="str">
        <f t="shared" ca="1" si="128"/>
        <v/>
      </c>
      <c r="AD51" s="75" t="str">
        <f t="shared" ca="1" si="129"/>
        <v/>
      </c>
      <c r="AE51" s="75" t="str">
        <f t="shared" ca="1" si="129"/>
        <v/>
      </c>
      <c r="AF51" s="75" t="str">
        <f t="shared" ca="1" si="129"/>
        <v/>
      </c>
      <c r="AG51" s="75" t="str">
        <f t="shared" ca="1" si="129"/>
        <v/>
      </c>
      <c r="AH51" s="75" t="str">
        <f t="shared" ca="1" si="129"/>
        <v/>
      </c>
      <c r="AI51" s="75" t="str">
        <f t="shared" ca="1" si="129"/>
        <v/>
      </c>
      <c r="AJ51" s="75" t="str">
        <f t="shared" ca="1" si="129"/>
        <v/>
      </c>
      <c r="AK51" s="75" t="str">
        <f t="shared" ca="1" si="129"/>
        <v/>
      </c>
      <c r="AL51" s="75" t="str">
        <f t="shared" ca="1" si="129"/>
        <v/>
      </c>
      <c r="AM51" s="75" t="str">
        <f t="shared" ca="1" si="129"/>
        <v/>
      </c>
      <c r="AN51" s="75" t="str">
        <f t="shared" ca="1" si="130"/>
        <v/>
      </c>
      <c r="AO51" s="75" t="str">
        <f t="shared" ca="1" si="130"/>
        <v/>
      </c>
      <c r="AP51" s="75" t="str">
        <f t="shared" ca="1" si="130"/>
        <v/>
      </c>
      <c r="AQ51" s="75" t="str">
        <f t="shared" ca="1" si="130"/>
        <v/>
      </c>
      <c r="AR51" s="75" t="str">
        <f t="shared" ca="1" si="130"/>
        <v/>
      </c>
      <c r="AS51" s="75" t="str">
        <f t="shared" ca="1" si="130"/>
        <v/>
      </c>
      <c r="AT51" s="75" t="str">
        <f t="shared" ca="1" si="130"/>
        <v/>
      </c>
      <c r="AU51" s="75" t="str">
        <f t="shared" ca="1" si="130"/>
        <v/>
      </c>
      <c r="AV51" s="75" t="str">
        <f t="shared" ca="1" si="130"/>
        <v/>
      </c>
      <c r="AW51" s="75" t="str">
        <f t="shared" ca="1" si="130"/>
        <v/>
      </c>
      <c r="AX51" s="75" t="str">
        <f t="shared" ca="1" si="131"/>
        <v/>
      </c>
      <c r="AY51" s="75" t="str">
        <f t="shared" ca="1" si="131"/>
        <v/>
      </c>
      <c r="AZ51" s="75" t="str">
        <f t="shared" ca="1" si="131"/>
        <v/>
      </c>
      <c r="BA51" s="75" t="str">
        <f t="shared" ca="1" si="131"/>
        <v/>
      </c>
      <c r="BB51" s="75" t="str">
        <f t="shared" ca="1" si="131"/>
        <v/>
      </c>
      <c r="BC51" s="75" t="str">
        <f t="shared" ca="1" si="131"/>
        <v/>
      </c>
      <c r="BD51" s="75" t="str">
        <f t="shared" ca="1" si="131"/>
        <v/>
      </c>
      <c r="BE51" s="75" t="str">
        <f t="shared" ca="1" si="131"/>
        <v/>
      </c>
      <c r="BF51" s="75" t="str">
        <f t="shared" ca="1" si="131"/>
        <v/>
      </c>
      <c r="BG51" s="75" t="str">
        <f t="shared" ca="1" si="131"/>
        <v/>
      </c>
      <c r="BH51" s="75" t="str">
        <f t="shared" ca="1" si="132"/>
        <v/>
      </c>
      <c r="BI51" s="75" t="str">
        <f t="shared" ca="1" si="132"/>
        <v/>
      </c>
      <c r="BJ51" s="75" t="str">
        <f t="shared" ca="1" si="132"/>
        <v/>
      </c>
      <c r="BK51" s="75" t="str">
        <f t="shared" ca="1" si="132"/>
        <v/>
      </c>
      <c r="BL51" s="75" t="str">
        <f t="shared" ca="1" si="132"/>
        <v/>
      </c>
      <c r="BM51" s="75" t="str">
        <f t="shared" ca="1" si="132"/>
        <v/>
      </c>
      <c r="BN51" s="75" t="str">
        <f t="shared" ca="1" si="132"/>
        <v/>
      </c>
      <c r="BO51" s="75" t="str">
        <f t="shared" ca="1" si="132"/>
        <v/>
      </c>
      <c r="BP51" s="75" t="str">
        <f t="shared" ca="1" si="132"/>
        <v/>
      </c>
      <c r="BQ51" s="75" t="str">
        <f t="shared" ca="1" si="132"/>
        <v/>
      </c>
      <c r="BR51" s="75" t="str">
        <f t="shared" ca="1" si="133"/>
        <v/>
      </c>
      <c r="BS51" s="75" t="str">
        <f t="shared" ca="1" si="133"/>
        <v/>
      </c>
      <c r="BT51" s="75" t="str">
        <f t="shared" ca="1" si="133"/>
        <v/>
      </c>
      <c r="BU51" s="75" t="str">
        <f t="shared" ca="1" si="133"/>
        <v/>
      </c>
      <c r="BV51" s="75" t="str">
        <f t="shared" ca="1" si="133"/>
        <v/>
      </c>
      <c r="BW51" s="75" t="str">
        <f t="shared" ca="1" si="133"/>
        <v/>
      </c>
      <c r="BX51" s="75" t="str">
        <f t="shared" ca="1" si="133"/>
        <v/>
      </c>
      <c r="BY51" s="75" t="str">
        <f t="shared" ca="1" si="133"/>
        <v/>
      </c>
      <c r="BZ51" s="75" t="str">
        <f t="shared" ca="1" si="133"/>
        <v/>
      </c>
      <c r="CA51" s="75" t="str">
        <f t="shared" ca="1" si="133"/>
        <v/>
      </c>
      <c r="CB51" s="75" t="str">
        <f t="shared" ca="1" si="134"/>
        <v/>
      </c>
      <c r="CC51" s="75" t="str">
        <f t="shared" ca="1" si="134"/>
        <v/>
      </c>
      <c r="CD51" s="75" t="str">
        <f t="shared" ca="1" si="134"/>
        <v/>
      </c>
      <c r="CE51" s="75" t="str">
        <f t="shared" ca="1" si="134"/>
        <v/>
      </c>
      <c r="CF51" s="75" t="str">
        <f t="shared" ca="1" si="134"/>
        <v/>
      </c>
      <c r="CG51" s="75" t="str">
        <f t="shared" ca="1" si="134"/>
        <v/>
      </c>
      <c r="CH51" s="75" t="str">
        <f t="shared" ca="1" si="134"/>
        <v/>
      </c>
      <c r="CI51" s="75" t="str">
        <f t="shared" ca="1" si="134"/>
        <v/>
      </c>
      <c r="CJ51" s="75" t="str">
        <f t="shared" ca="1" si="134"/>
        <v/>
      </c>
      <c r="CK51" s="75" t="str">
        <f t="shared" ca="1" si="134"/>
        <v/>
      </c>
      <c r="CL51" s="75" t="str">
        <f t="shared" ca="1" si="135"/>
        <v/>
      </c>
      <c r="CM51" s="75" t="str">
        <f t="shared" ca="1" si="135"/>
        <v/>
      </c>
      <c r="CN51" s="75" t="str">
        <f t="shared" ca="1" si="135"/>
        <v/>
      </c>
      <c r="CO51" s="75" t="str">
        <f t="shared" ca="1" si="135"/>
        <v/>
      </c>
      <c r="CP51" s="75" t="str">
        <f t="shared" ca="1" si="135"/>
        <v/>
      </c>
      <c r="CQ51" s="75" t="str">
        <f t="shared" ca="1" si="135"/>
        <v/>
      </c>
      <c r="CR51" s="75" t="str">
        <f t="shared" ca="1" si="135"/>
        <v/>
      </c>
      <c r="CS51" s="75" t="str">
        <f t="shared" ca="1" si="135"/>
        <v/>
      </c>
      <c r="CT51" s="75" t="str">
        <f t="shared" ca="1" si="135"/>
        <v/>
      </c>
      <c r="CU51" s="75" t="str">
        <f t="shared" ca="1" si="135"/>
        <v/>
      </c>
      <c r="CV51" s="75" t="str">
        <f t="shared" ca="1" si="136"/>
        <v/>
      </c>
      <c r="CW51" s="75" t="str">
        <f t="shared" ca="1" si="136"/>
        <v/>
      </c>
      <c r="CX51" s="75" t="str">
        <f t="shared" ca="1" si="136"/>
        <v/>
      </c>
      <c r="CY51" s="75" t="str">
        <f t="shared" ca="1" si="136"/>
        <v/>
      </c>
      <c r="CZ51" s="75" t="str">
        <f t="shared" ca="1" si="136"/>
        <v/>
      </c>
      <c r="DA51" s="75" t="str">
        <f t="shared" ca="1" si="136"/>
        <v/>
      </c>
      <c r="DB51" s="75" t="str">
        <f t="shared" ca="1" si="136"/>
        <v/>
      </c>
      <c r="DC51" s="75" t="str">
        <f t="shared" ca="1" si="136"/>
        <v/>
      </c>
      <c r="DD51" s="75" t="str">
        <f t="shared" ca="1" si="136"/>
        <v/>
      </c>
      <c r="DE51" s="75" t="str">
        <f t="shared" ca="1" si="136"/>
        <v/>
      </c>
      <c r="DF51" s="75" t="str">
        <f t="shared" ca="1" si="137"/>
        <v/>
      </c>
      <c r="DG51" s="75" t="str">
        <f t="shared" ca="1" si="137"/>
        <v/>
      </c>
      <c r="DH51" s="75" t="str">
        <f t="shared" ca="1" si="137"/>
        <v/>
      </c>
      <c r="DI51" s="75" t="str">
        <f t="shared" ca="1" si="137"/>
        <v/>
      </c>
      <c r="DJ51" s="75" t="str">
        <f t="shared" ca="1" si="137"/>
        <v/>
      </c>
      <c r="DK51" s="75" t="str">
        <f t="shared" ca="1" si="137"/>
        <v/>
      </c>
      <c r="DL51" s="75" t="str">
        <f t="shared" ca="1" si="137"/>
        <v/>
      </c>
      <c r="DM51" s="75" t="str">
        <f t="shared" ca="1" si="137"/>
        <v/>
      </c>
      <c r="DN51" s="75" t="str">
        <f t="shared" ca="1" si="137"/>
        <v/>
      </c>
      <c r="DO51" s="75" t="str">
        <f t="shared" ca="1" si="137"/>
        <v/>
      </c>
      <c r="DP51" s="75" t="str">
        <f t="shared" ca="1" si="138"/>
        <v/>
      </c>
      <c r="DQ51" s="75" t="str">
        <f t="shared" ca="1" si="138"/>
        <v/>
      </c>
      <c r="DR51" s="75" t="str">
        <f t="shared" ca="1" si="138"/>
        <v/>
      </c>
      <c r="DS51" s="75" t="str">
        <f t="shared" ca="1" si="138"/>
        <v/>
      </c>
      <c r="DT51" s="75" t="str">
        <f t="shared" ca="1" si="138"/>
        <v/>
      </c>
      <c r="DU51" s="75" t="str">
        <f t="shared" ca="1" si="138"/>
        <v/>
      </c>
      <c r="DV51" s="75" t="str">
        <f t="shared" ca="1" si="138"/>
        <v/>
      </c>
      <c r="DW51" s="75" t="str">
        <f t="shared" ca="1" si="138"/>
        <v/>
      </c>
      <c r="DX51" s="75" t="str">
        <f t="shared" ca="1" si="138"/>
        <v/>
      </c>
      <c r="DY51" s="75" t="str">
        <f t="shared" ca="1" si="138"/>
        <v/>
      </c>
      <c r="DZ51" s="75" t="str">
        <f t="shared" ca="1" si="139"/>
        <v/>
      </c>
      <c r="EA51" s="75" t="str">
        <f t="shared" ca="1" si="139"/>
        <v/>
      </c>
      <c r="EB51" s="75" t="str">
        <f t="shared" ca="1" si="139"/>
        <v/>
      </c>
      <c r="EC51" s="75" t="str">
        <f t="shared" ca="1" si="139"/>
        <v/>
      </c>
      <c r="ED51" s="75" t="str">
        <f t="shared" ca="1" si="139"/>
        <v/>
      </c>
      <c r="EE51" s="75" t="str">
        <f t="shared" ca="1" si="139"/>
        <v/>
      </c>
      <c r="EF51" s="75" t="str">
        <f t="shared" ca="1" si="139"/>
        <v/>
      </c>
      <c r="EG51" s="75" t="str">
        <f t="shared" ca="1" si="139"/>
        <v/>
      </c>
      <c r="EH51" s="75" t="str">
        <f t="shared" ca="1" si="139"/>
        <v/>
      </c>
      <c r="EI51" s="75" t="str">
        <f t="shared" ca="1" si="139"/>
        <v/>
      </c>
      <c r="EJ51" s="75" t="str">
        <f t="shared" ca="1" si="140"/>
        <v/>
      </c>
      <c r="EK51" s="75" t="str">
        <f t="shared" ca="1" si="140"/>
        <v/>
      </c>
      <c r="EL51" s="75" t="str">
        <f t="shared" ca="1" si="140"/>
        <v/>
      </c>
      <c r="EM51" s="75" t="str">
        <f t="shared" ca="1" si="140"/>
        <v/>
      </c>
      <c r="EN51" s="75" t="str">
        <f t="shared" ca="1" si="140"/>
        <v/>
      </c>
      <c r="EO51" s="75" t="str">
        <f t="shared" ca="1" si="140"/>
        <v/>
      </c>
      <c r="EP51" s="75" t="str">
        <f t="shared" ca="1" si="140"/>
        <v/>
      </c>
      <c r="EQ51" s="75" t="str">
        <f t="shared" ca="1" si="140"/>
        <v/>
      </c>
      <c r="ER51" s="75" t="str">
        <f t="shared" ca="1" si="140"/>
        <v/>
      </c>
      <c r="ES51" s="75" t="str">
        <f t="shared" ca="1" si="140"/>
        <v/>
      </c>
      <c r="ET51" s="75" t="str">
        <f t="shared" ca="1" si="141"/>
        <v/>
      </c>
      <c r="EU51" s="75" t="str">
        <f t="shared" ca="1" si="141"/>
        <v/>
      </c>
      <c r="EV51" s="75" t="str">
        <f t="shared" ca="1" si="141"/>
        <v/>
      </c>
      <c r="EW51" s="75" t="str">
        <f t="shared" ca="1" si="141"/>
        <v/>
      </c>
      <c r="EX51" s="75" t="str">
        <f t="shared" ca="1" si="141"/>
        <v/>
      </c>
      <c r="EY51" s="75" t="str">
        <f t="shared" ca="1" si="141"/>
        <v/>
      </c>
      <c r="EZ51" s="75" t="str">
        <f t="shared" ca="1" si="141"/>
        <v/>
      </c>
      <c r="FA51" s="75" t="str">
        <f t="shared" ca="1" si="141"/>
        <v/>
      </c>
      <c r="FB51" s="75" t="str">
        <f t="shared" ca="1" si="141"/>
        <v/>
      </c>
      <c r="FC51" s="75" t="str">
        <f t="shared" ca="1" si="141"/>
        <v/>
      </c>
      <c r="FD51" s="75" t="str">
        <f t="shared" ca="1" si="142"/>
        <v/>
      </c>
      <c r="FE51" s="75" t="str">
        <f t="shared" ca="1" si="142"/>
        <v/>
      </c>
      <c r="FF51" s="75" t="str">
        <f t="shared" ca="1" si="142"/>
        <v/>
      </c>
      <c r="FG51" s="75" t="str">
        <f t="shared" ca="1" si="142"/>
        <v/>
      </c>
      <c r="FH51" s="75" t="str">
        <f t="shared" ca="1" si="142"/>
        <v/>
      </c>
      <c r="FI51" s="75" t="str">
        <f t="shared" ca="1" si="142"/>
        <v/>
      </c>
      <c r="FJ51" s="75" t="str">
        <f t="shared" ca="1" si="142"/>
        <v/>
      </c>
      <c r="FK51" s="75" t="str">
        <f t="shared" ca="1" si="142"/>
        <v/>
      </c>
      <c r="FL51" s="75" t="str">
        <f t="shared" ca="1" si="142"/>
        <v/>
      </c>
      <c r="FM51" s="75" t="str">
        <f t="shared" ca="1" si="142"/>
        <v/>
      </c>
      <c r="FN51" s="75" t="str">
        <f t="shared" ca="1" si="143"/>
        <v/>
      </c>
      <c r="FO51" s="75" t="str">
        <f t="shared" ca="1" si="143"/>
        <v/>
      </c>
      <c r="FP51" s="75" t="str">
        <f t="shared" ca="1" si="143"/>
        <v/>
      </c>
      <c r="FQ51" s="75" t="str">
        <f t="shared" ca="1" si="143"/>
        <v/>
      </c>
      <c r="FR51" s="75" t="str">
        <f t="shared" ca="1" si="143"/>
        <v/>
      </c>
      <c r="FS51" s="75" t="str">
        <f t="shared" ca="1" si="143"/>
        <v/>
      </c>
      <c r="FT51" s="75" t="str">
        <f t="shared" ca="1" si="143"/>
        <v/>
      </c>
      <c r="FU51" s="75" t="str">
        <f t="shared" ca="1" si="143"/>
        <v/>
      </c>
      <c r="FV51" s="75" t="str">
        <f t="shared" ca="1" si="143"/>
        <v/>
      </c>
      <c r="FW51" s="75" t="str">
        <f t="shared" ca="1" si="143"/>
        <v/>
      </c>
      <c r="FX51" s="75" t="str">
        <f t="shared" ca="1" si="144"/>
        <v/>
      </c>
      <c r="FY51" s="75" t="str">
        <f t="shared" ca="1" si="144"/>
        <v/>
      </c>
      <c r="FZ51" s="75" t="str">
        <f t="shared" ca="1" si="144"/>
        <v/>
      </c>
      <c r="GA51" s="75" t="str">
        <f t="shared" ca="1" si="144"/>
        <v/>
      </c>
      <c r="GB51" s="75" t="str">
        <f t="shared" ca="1" si="144"/>
        <v/>
      </c>
      <c r="GC51" s="75" t="str">
        <f t="shared" ca="1" si="144"/>
        <v/>
      </c>
      <c r="GD51" s="75" t="str">
        <f t="shared" ca="1" si="144"/>
        <v/>
      </c>
      <c r="GE51" s="75" t="str">
        <f t="shared" ca="1" si="144"/>
        <v/>
      </c>
      <c r="GF51" s="75" t="str">
        <f t="shared" ca="1" si="144"/>
        <v/>
      </c>
      <c r="GG51" s="75" t="str">
        <f t="shared" ca="1" si="144"/>
        <v/>
      </c>
      <c r="GH51" s="75" t="str">
        <f t="shared" ca="1" si="145"/>
        <v/>
      </c>
      <c r="GI51" s="75" t="str">
        <f t="shared" ca="1" si="145"/>
        <v/>
      </c>
      <c r="GJ51" s="75" t="str">
        <f t="shared" ca="1" si="145"/>
        <v/>
      </c>
      <c r="GK51" s="75" t="str">
        <f t="shared" ca="1" si="145"/>
        <v/>
      </c>
      <c r="GL51" s="75" t="str">
        <f t="shared" ca="1" si="145"/>
        <v/>
      </c>
      <c r="GM51" s="75" t="str">
        <f t="shared" ca="1" si="145"/>
        <v/>
      </c>
      <c r="GN51" s="75" t="str">
        <f t="shared" ca="1" si="145"/>
        <v/>
      </c>
      <c r="GO51" s="75" t="str">
        <f t="shared" ca="1" si="145"/>
        <v/>
      </c>
      <c r="GP51" s="75" t="str">
        <f t="shared" ca="1" si="145"/>
        <v/>
      </c>
      <c r="GQ51" s="75" t="str">
        <f t="shared" ca="1" si="145"/>
        <v/>
      </c>
      <c r="GR51" s="75" t="str">
        <f t="shared" ca="1" si="146"/>
        <v/>
      </c>
      <c r="GS51" s="75" t="str">
        <f t="shared" ca="1" si="146"/>
        <v/>
      </c>
      <c r="GT51" s="75" t="str">
        <f t="shared" ca="1" si="146"/>
        <v/>
      </c>
      <c r="GU51" s="75" t="str">
        <f t="shared" ca="1" si="146"/>
        <v/>
      </c>
      <c r="GV51" s="75" t="str">
        <f t="shared" ca="1" si="146"/>
        <v/>
      </c>
      <c r="GW51" s="75" t="str">
        <f t="shared" ca="1" si="146"/>
        <v/>
      </c>
      <c r="GX51" s="75" t="str">
        <f t="shared" ca="1" si="146"/>
        <v/>
      </c>
      <c r="GY51" s="75" t="str">
        <f t="shared" ca="1" si="146"/>
        <v/>
      </c>
      <c r="GZ51" s="75" t="str">
        <f t="shared" ca="1" si="146"/>
        <v/>
      </c>
      <c r="HA51" s="75" t="str">
        <f t="shared" ca="1" si="146"/>
        <v/>
      </c>
      <c r="HB51" s="75" t="str">
        <f t="shared" ca="1" si="147"/>
        <v/>
      </c>
      <c r="HC51" s="75" t="str">
        <f t="shared" ca="1" si="147"/>
        <v/>
      </c>
      <c r="HD51" s="75" t="str">
        <f t="shared" ca="1" si="147"/>
        <v/>
      </c>
      <c r="HE51" s="75" t="str">
        <f t="shared" ca="1" si="147"/>
        <v/>
      </c>
      <c r="HF51" s="75" t="str">
        <f t="shared" ca="1" si="147"/>
        <v/>
      </c>
      <c r="HG51" s="75" t="str">
        <f t="shared" ca="1" si="147"/>
        <v/>
      </c>
      <c r="HH51" s="75" t="str">
        <f t="shared" ca="1" si="147"/>
        <v/>
      </c>
      <c r="HI51" s="75" t="str">
        <f t="shared" ca="1" si="147"/>
        <v/>
      </c>
      <c r="HJ51" s="75" t="str">
        <f t="shared" ca="1" si="147"/>
        <v/>
      </c>
      <c r="HK51" s="75" t="str">
        <f t="shared" ca="1" si="147"/>
        <v/>
      </c>
      <c r="HL51" s="75" t="str">
        <f t="shared" ca="1" si="148"/>
        <v/>
      </c>
      <c r="HM51" s="75" t="str">
        <f t="shared" ca="1" si="148"/>
        <v/>
      </c>
      <c r="HN51" s="75" t="str">
        <f t="shared" ca="1" si="148"/>
        <v/>
      </c>
      <c r="HO51" s="75" t="str">
        <f t="shared" ca="1" si="148"/>
        <v/>
      </c>
      <c r="HP51" s="75" t="str">
        <f t="shared" ca="1" si="148"/>
        <v/>
      </c>
      <c r="HQ51" s="75" t="str">
        <f t="shared" ca="1" si="148"/>
        <v/>
      </c>
      <c r="HR51" s="75" t="str">
        <f t="shared" ca="1" si="148"/>
        <v/>
      </c>
      <c r="HS51" s="75" t="str">
        <f t="shared" ca="1" si="148"/>
        <v/>
      </c>
      <c r="HT51" s="75" t="str">
        <f t="shared" ca="1" si="148"/>
        <v/>
      </c>
      <c r="HU51" s="75" t="str">
        <f t="shared" ca="1" si="148"/>
        <v/>
      </c>
      <c r="HV51" s="75" t="str">
        <f t="shared" ca="1" si="149"/>
        <v/>
      </c>
      <c r="HW51" s="75" t="str">
        <f t="shared" ca="1" si="149"/>
        <v/>
      </c>
      <c r="HX51" s="75" t="str">
        <f t="shared" ca="1" si="149"/>
        <v/>
      </c>
      <c r="HY51" s="75" t="str">
        <f t="shared" ca="1" si="149"/>
        <v/>
      </c>
      <c r="HZ51" s="75" t="str">
        <f t="shared" ca="1" si="149"/>
        <v/>
      </c>
      <c r="IA51" s="75" t="str">
        <f t="shared" ca="1" si="149"/>
        <v/>
      </c>
      <c r="IB51" s="75" t="str">
        <f t="shared" ca="1" si="149"/>
        <v/>
      </c>
      <c r="IC51" s="75" t="str">
        <f t="shared" ca="1" si="149"/>
        <v/>
      </c>
      <c r="ID51" s="75" t="str">
        <f t="shared" ca="1" si="149"/>
        <v/>
      </c>
      <c r="IE51" s="75" t="str">
        <f t="shared" ca="1" si="149"/>
        <v/>
      </c>
      <c r="IF51" s="75" t="str">
        <f t="shared" ca="1" si="150"/>
        <v/>
      </c>
      <c r="IG51" s="75" t="str">
        <f t="shared" ca="1" si="150"/>
        <v/>
      </c>
      <c r="IH51" s="75" t="str">
        <f t="shared" ca="1" si="150"/>
        <v/>
      </c>
      <c r="II51" s="75" t="str">
        <f t="shared" ca="1" si="150"/>
        <v/>
      </c>
      <c r="IJ51" s="75" t="str">
        <f t="shared" ca="1" si="150"/>
        <v/>
      </c>
      <c r="IK51" s="75" t="str">
        <f t="shared" ca="1" si="150"/>
        <v/>
      </c>
      <c r="IL51" s="75" t="str">
        <f t="shared" ca="1" si="150"/>
        <v/>
      </c>
      <c r="IM51" s="75" t="str">
        <f t="shared" ca="1" si="150"/>
        <v/>
      </c>
      <c r="IN51" s="75" t="str">
        <f t="shared" ca="1" si="150"/>
        <v/>
      </c>
      <c r="IO51" s="75" t="str">
        <f t="shared" ca="1" si="150"/>
        <v/>
      </c>
      <c r="IP51" s="75" t="str">
        <f t="shared" ca="1" si="151"/>
        <v/>
      </c>
      <c r="IQ51" s="75" t="str">
        <f t="shared" ca="1" si="151"/>
        <v/>
      </c>
      <c r="IR51" s="75" t="str">
        <f t="shared" ca="1" si="151"/>
        <v/>
      </c>
      <c r="IS51" s="75" t="str">
        <f t="shared" ca="1" si="151"/>
        <v/>
      </c>
      <c r="IT51" s="75" t="str">
        <f t="shared" ca="1" si="151"/>
        <v/>
      </c>
      <c r="IU51" s="75" t="str">
        <f t="shared" ca="1" si="151"/>
        <v/>
      </c>
      <c r="IV51" s="75" t="str">
        <f t="shared" ca="1" si="151"/>
        <v/>
      </c>
      <c r="IW51" s="75" t="str">
        <f t="shared" ca="1" si="151"/>
        <v/>
      </c>
      <c r="IX51" s="75" t="str">
        <f t="shared" ca="1" si="151"/>
        <v/>
      </c>
      <c r="IY51" s="75" t="str">
        <f t="shared" ca="1" si="151"/>
        <v/>
      </c>
      <c r="IZ51" s="75" t="str">
        <f t="shared" ca="1" si="152"/>
        <v/>
      </c>
      <c r="JA51" s="75" t="str">
        <f t="shared" ca="1" si="152"/>
        <v/>
      </c>
      <c r="JB51" s="75" t="str">
        <f t="shared" ca="1" si="152"/>
        <v/>
      </c>
      <c r="JC51" s="75" t="str">
        <f t="shared" ca="1" si="152"/>
        <v/>
      </c>
      <c r="JD51" s="75" t="str">
        <f t="shared" ca="1" si="152"/>
        <v/>
      </c>
      <c r="JE51" s="75" t="str">
        <f t="shared" ca="1" si="152"/>
        <v/>
      </c>
      <c r="JF51" s="75" t="str">
        <f t="shared" ca="1" si="152"/>
        <v/>
      </c>
      <c r="JG51" s="75" t="str">
        <f t="shared" ca="1" si="152"/>
        <v/>
      </c>
      <c r="JH51" s="75" t="str">
        <f t="shared" ca="1" si="152"/>
        <v/>
      </c>
      <c r="JI51" s="75" t="str">
        <f t="shared" ca="1" si="152"/>
        <v/>
      </c>
      <c r="JJ51" s="75" t="str">
        <f t="shared" ca="1" si="153"/>
        <v/>
      </c>
      <c r="JK51" s="75" t="str">
        <f t="shared" ca="1" si="153"/>
        <v/>
      </c>
      <c r="JL51" s="75" t="str">
        <f t="shared" ca="1" si="153"/>
        <v/>
      </c>
      <c r="JM51" s="75" t="str">
        <f t="shared" ca="1" si="153"/>
        <v/>
      </c>
      <c r="JN51" s="75" t="str">
        <f t="shared" ca="1" si="153"/>
        <v/>
      </c>
      <c r="JO51" s="75" t="str">
        <f t="shared" ca="1" si="153"/>
        <v/>
      </c>
      <c r="JP51" s="75" t="str">
        <f t="shared" ca="1" si="153"/>
        <v/>
      </c>
      <c r="JQ51" s="75" t="str">
        <f t="shared" ca="1" si="153"/>
        <v/>
      </c>
      <c r="JR51" s="75" t="str">
        <f t="shared" ca="1" si="153"/>
        <v/>
      </c>
      <c r="JS51" s="75" t="str">
        <f t="shared" ca="1" si="153"/>
        <v/>
      </c>
      <c r="JT51" s="75" t="str">
        <f t="shared" ca="1" si="154"/>
        <v/>
      </c>
      <c r="JU51" s="75" t="str">
        <f t="shared" ca="1" si="154"/>
        <v/>
      </c>
      <c r="JV51" s="75" t="str">
        <f t="shared" ca="1" si="154"/>
        <v/>
      </c>
      <c r="JW51" s="75" t="str">
        <f t="shared" ca="1" si="154"/>
        <v/>
      </c>
      <c r="JX51" s="75" t="str">
        <f t="shared" ca="1" si="154"/>
        <v/>
      </c>
      <c r="JY51" s="75" t="str">
        <f t="shared" ca="1" si="154"/>
        <v/>
      </c>
      <c r="JZ51" s="75" t="str">
        <f t="shared" ca="1" si="154"/>
        <v/>
      </c>
      <c r="KA51" s="75" t="str">
        <f t="shared" ca="1" si="154"/>
        <v/>
      </c>
      <c r="KB51" s="75" t="str">
        <f t="shared" ca="1" si="154"/>
        <v/>
      </c>
      <c r="KC51" s="75" t="str">
        <f t="shared" ca="1" si="154"/>
        <v/>
      </c>
      <c r="KD51" s="75" t="str">
        <f t="shared" ca="1" si="155"/>
        <v/>
      </c>
      <c r="KE51" s="75" t="str">
        <f t="shared" ca="1" si="155"/>
        <v/>
      </c>
      <c r="KF51" s="75" t="str">
        <f t="shared" ca="1" si="155"/>
        <v/>
      </c>
      <c r="KG51" s="75" t="str">
        <f t="shared" ca="1" si="155"/>
        <v/>
      </c>
      <c r="KH51" s="75" t="str">
        <f t="shared" ca="1" si="155"/>
        <v/>
      </c>
      <c r="KI51" s="75" t="str">
        <f t="shared" ca="1" si="155"/>
        <v/>
      </c>
      <c r="KJ51" s="75" t="str">
        <f t="shared" ca="1" si="155"/>
        <v/>
      </c>
      <c r="KK51" s="75" t="str">
        <f t="shared" ca="1" si="155"/>
        <v/>
      </c>
      <c r="KL51" s="75" t="str">
        <f t="shared" ca="1" si="155"/>
        <v/>
      </c>
      <c r="KM51" s="75" t="str">
        <f t="shared" ca="1" si="155"/>
        <v/>
      </c>
      <c r="KN51" s="75" t="str">
        <f t="shared" ca="1" si="156"/>
        <v/>
      </c>
      <c r="KO51" s="75" t="str">
        <f t="shared" ca="1" si="156"/>
        <v/>
      </c>
      <c r="KP51" s="75" t="str">
        <f t="shared" ca="1" si="156"/>
        <v/>
      </c>
      <c r="KQ51" s="75" t="str">
        <f t="shared" ca="1" si="156"/>
        <v/>
      </c>
      <c r="KR51" s="75" t="str">
        <f t="shared" ca="1" si="156"/>
        <v/>
      </c>
      <c r="KS51" s="75" t="str">
        <f t="shared" ca="1" si="156"/>
        <v/>
      </c>
      <c r="KT51" s="75" t="str">
        <f t="shared" ca="1" si="156"/>
        <v/>
      </c>
      <c r="KU51" s="75" t="str">
        <f t="shared" ca="1" si="156"/>
        <v/>
      </c>
      <c r="KV51" s="75" t="str">
        <f t="shared" ca="1" si="156"/>
        <v/>
      </c>
      <c r="KW51" s="75" t="str">
        <f t="shared" ca="1" si="156"/>
        <v/>
      </c>
      <c r="KX51" s="75" t="str">
        <f t="shared" ca="1" si="157"/>
        <v/>
      </c>
      <c r="KY51" s="75" t="str">
        <f t="shared" ca="1" si="157"/>
        <v/>
      </c>
      <c r="KZ51" s="75" t="str">
        <f t="shared" ca="1" si="157"/>
        <v/>
      </c>
      <c r="LA51" s="75" t="str">
        <f t="shared" ca="1" si="157"/>
        <v/>
      </c>
      <c r="LB51" s="75" t="str">
        <f t="shared" ca="1" si="157"/>
        <v/>
      </c>
      <c r="LC51" s="75" t="str">
        <f t="shared" ca="1" si="157"/>
        <v/>
      </c>
      <c r="LD51" s="75" t="str">
        <f t="shared" ca="1" si="157"/>
        <v/>
      </c>
      <c r="LE51" s="75" t="str">
        <f t="shared" ca="1" si="157"/>
        <v/>
      </c>
      <c r="LF51" s="75" t="str">
        <f t="shared" ca="1" si="157"/>
        <v/>
      </c>
      <c r="LG51" s="75" t="str">
        <f t="shared" ca="1" si="157"/>
        <v/>
      </c>
      <c r="LH51" s="75" t="str">
        <f t="shared" ca="1" si="158"/>
        <v/>
      </c>
      <c r="LI51" s="75" t="str">
        <f t="shared" ca="1" si="158"/>
        <v/>
      </c>
      <c r="LJ51" s="75" t="str">
        <f t="shared" ca="1" si="158"/>
        <v/>
      </c>
      <c r="LK51" s="75" t="str">
        <f t="shared" ca="1" si="158"/>
        <v/>
      </c>
      <c r="LL51" s="75" t="str">
        <f t="shared" ca="1" si="158"/>
        <v/>
      </c>
      <c r="LM51" s="75" t="str">
        <f t="shared" ca="1" si="158"/>
        <v/>
      </c>
      <c r="LN51" s="75" t="str">
        <f t="shared" ca="1" si="158"/>
        <v/>
      </c>
      <c r="LO51" s="75" t="str">
        <f t="shared" ca="1" si="158"/>
        <v/>
      </c>
      <c r="LP51" s="75" t="str">
        <f t="shared" ca="1" si="158"/>
        <v/>
      </c>
      <c r="LQ51" s="75" t="str">
        <f t="shared" ca="1" si="158"/>
        <v/>
      </c>
      <c r="LR51" s="75" t="str">
        <f t="shared" ca="1" si="159"/>
        <v/>
      </c>
      <c r="LS51" s="75" t="str">
        <f t="shared" ca="1" si="159"/>
        <v/>
      </c>
      <c r="LT51" s="75" t="str">
        <f t="shared" ca="1" si="159"/>
        <v/>
      </c>
      <c r="LU51" s="75" t="str">
        <f t="shared" ca="1" si="159"/>
        <v/>
      </c>
      <c r="LV51" s="75" t="str">
        <f t="shared" ca="1" si="159"/>
        <v/>
      </c>
      <c r="LW51" s="75" t="str">
        <f t="shared" ca="1" si="159"/>
        <v/>
      </c>
      <c r="LX51" s="75" t="str">
        <f t="shared" ca="1" si="159"/>
        <v/>
      </c>
      <c r="LY51" s="75" t="str">
        <f t="shared" ca="1" si="159"/>
        <v/>
      </c>
      <c r="LZ51" s="75" t="str">
        <f t="shared" ca="1" si="159"/>
        <v/>
      </c>
      <c r="MA51" s="75" t="str">
        <f t="shared" ca="1" si="159"/>
        <v/>
      </c>
      <c r="MB51" s="75" t="str">
        <f t="shared" ca="1" si="160"/>
        <v/>
      </c>
      <c r="MC51" s="75" t="str">
        <f t="shared" ca="1" si="160"/>
        <v/>
      </c>
      <c r="MD51" s="75" t="str">
        <f t="shared" ca="1" si="160"/>
        <v/>
      </c>
      <c r="ME51" s="75" t="str">
        <f t="shared" ca="1" si="160"/>
        <v/>
      </c>
      <c r="MF51" s="75" t="str">
        <f t="shared" ca="1" si="160"/>
        <v/>
      </c>
      <c r="MG51" s="75" t="str">
        <f t="shared" ca="1" si="160"/>
        <v/>
      </c>
      <c r="MH51" s="75" t="str">
        <f t="shared" ca="1" si="160"/>
        <v/>
      </c>
      <c r="MI51" s="75" t="str">
        <f t="shared" ca="1" si="160"/>
        <v/>
      </c>
      <c r="MJ51" s="75" t="str">
        <f t="shared" ca="1" si="160"/>
        <v/>
      </c>
      <c r="MK51" s="75" t="str">
        <f t="shared" ca="1" si="160"/>
        <v/>
      </c>
      <c r="ML51" s="75" t="str">
        <f t="shared" ca="1" si="161"/>
        <v/>
      </c>
      <c r="MM51" s="75" t="str">
        <f t="shared" ca="1" si="161"/>
        <v/>
      </c>
      <c r="MN51" s="75" t="str">
        <f t="shared" ca="1" si="161"/>
        <v/>
      </c>
      <c r="MO51" s="75" t="str">
        <f t="shared" ca="1" si="161"/>
        <v/>
      </c>
      <c r="MP51" s="75" t="str">
        <f t="shared" ca="1" si="161"/>
        <v/>
      </c>
      <c r="MQ51" s="75" t="str">
        <f t="shared" ca="1" si="161"/>
        <v/>
      </c>
      <c r="MR51" s="75" t="str">
        <f t="shared" ca="1" si="161"/>
        <v/>
      </c>
      <c r="MS51" s="75" t="str">
        <f t="shared" ca="1" si="161"/>
        <v/>
      </c>
      <c r="MT51" s="75" t="str">
        <f t="shared" ca="1" si="161"/>
        <v/>
      </c>
      <c r="MU51" s="75" t="str">
        <f t="shared" ca="1" si="161"/>
        <v/>
      </c>
      <c r="MV51" s="75" t="str">
        <f t="shared" ca="1" si="162"/>
        <v/>
      </c>
      <c r="MW51" s="75" t="str">
        <f t="shared" ca="1" si="162"/>
        <v/>
      </c>
      <c r="MX51" s="75" t="str">
        <f t="shared" ca="1" si="162"/>
        <v/>
      </c>
      <c r="MY51" s="75" t="str">
        <f t="shared" ca="1" si="162"/>
        <v/>
      </c>
      <c r="MZ51" s="75" t="str">
        <f t="shared" ca="1" si="162"/>
        <v/>
      </c>
      <c r="NA51" s="75" t="str">
        <f t="shared" ca="1" si="162"/>
        <v/>
      </c>
      <c r="NB51" s="75" t="str">
        <f t="shared" ca="1" si="162"/>
        <v/>
      </c>
      <c r="NC51" s="75" t="str">
        <f t="shared" ca="1" si="162"/>
        <v/>
      </c>
      <c r="ND51" s="75" t="str">
        <f t="shared" ca="1" si="162"/>
        <v/>
      </c>
      <c r="NE51" s="75" t="str">
        <f t="shared" ca="1" si="162"/>
        <v/>
      </c>
      <c r="NF51" s="75" t="str">
        <f t="shared" ca="1" si="163"/>
        <v/>
      </c>
      <c r="NG51" s="75" t="str">
        <f t="shared" ca="1" si="163"/>
        <v/>
      </c>
      <c r="NH51" s="75" t="str">
        <f t="shared" ca="1" si="163"/>
        <v/>
      </c>
      <c r="NI51" s="75" t="str">
        <f t="shared" ca="1" si="163"/>
        <v/>
      </c>
      <c r="NJ51" s="75" t="str">
        <f t="shared" ca="1" si="163"/>
        <v/>
      </c>
      <c r="NK51" s="75" t="str">
        <f t="shared" ca="1" si="163"/>
        <v/>
      </c>
      <c r="NL51" s="75" t="str">
        <f t="shared" ca="1" si="163"/>
        <v/>
      </c>
      <c r="NM51" s="75" t="str">
        <f t="shared" ca="1" si="163"/>
        <v/>
      </c>
      <c r="NN51" s="75" t="str">
        <f t="shared" ca="1" si="163"/>
        <v/>
      </c>
      <c r="NO51" s="75" t="str">
        <f t="shared" ca="1" si="163"/>
        <v/>
      </c>
      <c r="NP51" s="75" t="str">
        <f t="shared" ca="1" si="164"/>
        <v/>
      </c>
      <c r="NQ51" s="75" t="str">
        <f t="shared" ca="1" si="164"/>
        <v/>
      </c>
      <c r="NR51" s="75" t="str">
        <f t="shared" ca="1" si="164"/>
        <v/>
      </c>
      <c r="NS51" s="75" t="str">
        <f t="shared" ca="1" si="164"/>
        <v/>
      </c>
      <c r="NT51" s="75" t="str">
        <f t="shared" ca="1" si="164"/>
        <v/>
      </c>
      <c r="NU51" s="75" t="str">
        <f t="shared" ca="1" si="164"/>
        <v/>
      </c>
      <c r="NV51" s="75" t="str">
        <f t="shared" ca="1" si="164"/>
        <v/>
      </c>
      <c r="NW51" s="75" t="str">
        <f t="shared" ca="1" si="164"/>
        <v/>
      </c>
      <c r="NX51" s="75" t="str">
        <f t="shared" ca="1" si="164"/>
        <v/>
      </c>
      <c r="NY51" s="75" t="str">
        <f t="shared" ca="1" si="164"/>
        <v/>
      </c>
      <c r="NZ51" s="75" t="str">
        <f t="shared" ca="1" si="165"/>
        <v/>
      </c>
      <c r="OA51" s="75" t="str">
        <f t="shared" ca="1" si="165"/>
        <v/>
      </c>
      <c r="OB51" s="75" t="str">
        <f t="shared" ca="1" si="165"/>
        <v/>
      </c>
      <c r="OC51" s="75" t="str">
        <f t="shared" ca="1" si="165"/>
        <v/>
      </c>
      <c r="OD51" s="75" t="str">
        <f t="shared" ca="1" si="165"/>
        <v/>
      </c>
      <c r="OE51" s="75" t="str">
        <f t="shared" ca="1" si="165"/>
        <v/>
      </c>
      <c r="OF51" s="75" t="str">
        <f t="shared" ca="1" si="165"/>
        <v/>
      </c>
      <c r="OG51" s="75" t="str">
        <f t="shared" ca="1" si="165"/>
        <v/>
      </c>
      <c r="OH51" s="75" t="str">
        <f t="shared" ca="1" si="165"/>
        <v/>
      </c>
      <c r="OI51" s="75" t="str">
        <f t="shared" ca="1" si="165"/>
        <v/>
      </c>
      <c r="OJ51" s="75" t="str">
        <f t="shared" ca="1" si="166"/>
        <v/>
      </c>
      <c r="OK51" s="75" t="str">
        <f t="shared" ca="1" si="166"/>
        <v/>
      </c>
      <c r="OL51" s="75" t="str">
        <f t="shared" ca="1" si="166"/>
        <v/>
      </c>
      <c r="OM51" s="75" t="str">
        <f t="shared" ca="1" si="166"/>
        <v/>
      </c>
      <c r="ON51" s="75" t="str">
        <f t="shared" ca="1" si="166"/>
        <v/>
      </c>
      <c r="OO51" s="75" t="str">
        <f t="shared" ca="1" si="166"/>
        <v/>
      </c>
      <c r="OP51" s="75" t="str">
        <f t="shared" ca="1" si="166"/>
        <v/>
      </c>
      <c r="OQ51" s="75" t="str">
        <f t="shared" ca="1" si="166"/>
        <v/>
      </c>
      <c r="OR51" s="75" t="str">
        <f t="shared" ca="1" si="166"/>
        <v/>
      </c>
      <c r="OS51" s="75" t="str">
        <f t="shared" ca="1" si="166"/>
        <v/>
      </c>
      <c r="OT51" s="75" t="str">
        <f t="shared" ca="1" si="167"/>
        <v/>
      </c>
      <c r="OU51" s="75" t="str">
        <f t="shared" ca="1" si="167"/>
        <v/>
      </c>
      <c r="OV51" s="75" t="str">
        <f t="shared" ca="1" si="167"/>
        <v/>
      </c>
      <c r="OW51" s="75" t="str">
        <f t="shared" ca="1" si="167"/>
        <v/>
      </c>
      <c r="OX51" s="75" t="str">
        <f t="shared" ca="1" si="167"/>
        <v/>
      </c>
      <c r="OY51" s="75" t="str">
        <f t="shared" ca="1" si="167"/>
        <v/>
      </c>
      <c r="OZ51" s="75" t="str">
        <f t="shared" ca="1" si="167"/>
        <v/>
      </c>
      <c r="PA51" s="75" t="str">
        <f t="shared" ca="1" si="167"/>
        <v/>
      </c>
      <c r="PB51" s="75" t="str">
        <f t="shared" ca="1" si="167"/>
        <v/>
      </c>
      <c r="PC51" s="75" t="str">
        <f t="shared" ca="1" si="167"/>
        <v/>
      </c>
      <c r="PD51" s="75" t="str">
        <f t="shared" ca="1" si="168"/>
        <v/>
      </c>
      <c r="PE51" s="75" t="str">
        <f t="shared" ca="1" si="168"/>
        <v/>
      </c>
      <c r="PF51" s="75" t="str">
        <f t="shared" ca="1" si="168"/>
        <v/>
      </c>
      <c r="PG51" s="75" t="str">
        <f t="shared" ca="1" si="168"/>
        <v/>
      </c>
      <c r="PH51" s="75" t="str">
        <f t="shared" ca="1" si="168"/>
        <v/>
      </c>
      <c r="PI51" s="75" t="str">
        <f t="shared" ca="1" si="168"/>
        <v/>
      </c>
      <c r="PJ51" s="75" t="str">
        <f t="shared" ca="1" si="168"/>
        <v/>
      </c>
      <c r="PK51" s="75" t="str">
        <f t="shared" ca="1" si="168"/>
        <v/>
      </c>
      <c r="PL51" s="75" t="str">
        <f t="shared" ca="1" si="168"/>
        <v/>
      </c>
      <c r="PM51" s="75" t="str">
        <f t="shared" ca="1" si="168"/>
        <v/>
      </c>
      <c r="PN51" s="75" t="str">
        <f t="shared" ca="1" si="169"/>
        <v/>
      </c>
      <c r="PO51" s="75" t="str">
        <f t="shared" ca="1" si="169"/>
        <v/>
      </c>
      <c r="PP51" s="75" t="str">
        <f t="shared" ca="1" si="169"/>
        <v/>
      </c>
      <c r="PQ51" s="75" t="str">
        <f t="shared" ca="1" si="169"/>
        <v/>
      </c>
      <c r="PR51" s="75" t="str">
        <f t="shared" ca="1" si="169"/>
        <v/>
      </c>
      <c r="PS51" s="75" t="str">
        <f t="shared" ca="1" si="169"/>
        <v/>
      </c>
      <c r="PT51" s="75" t="str">
        <f t="shared" ca="1" si="169"/>
        <v/>
      </c>
      <c r="PU51" s="75" t="str">
        <f t="shared" ca="1" si="169"/>
        <v/>
      </c>
      <c r="PV51" s="75" t="str">
        <f t="shared" ca="1" si="169"/>
        <v/>
      </c>
      <c r="PW51" s="75" t="str">
        <f t="shared" ca="1" si="169"/>
        <v/>
      </c>
      <c r="PX51" s="75" t="str">
        <f t="shared" ca="1" si="170"/>
        <v/>
      </c>
      <c r="PY51" s="75" t="str">
        <f t="shared" ca="1" si="170"/>
        <v/>
      </c>
      <c r="PZ51" s="75" t="str">
        <f t="shared" ca="1" si="170"/>
        <v/>
      </c>
      <c r="QA51" s="75" t="str">
        <f t="shared" ca="1" si="170"/>
        <v/>
      </c>
      <c r="QB51" s="75" t="str">
        <f t="shared" ca="1" si="170"/>
        <v/>
      </c>
      <c r="QC51" s="75" t="str">
        <f t="shared" ca="1" si="170"/>
        <v/>
      </c>
      <c r="QD51" s="75" t="str">
        <f t="shared" ca="1" si="170"/>
        <v/>
      </c>
      <c r="QE51" s="75" t="str">
        <f t="shared" ca="1" si="170"/>
        <v/>
      </c>
      <c r="QF51" s="75" t="str">
        <f t="shared" ca="1" si="170"/>
        <v/>
      </c>
      <c r="QG51" s="75" t="str">
        <f t="shared" ca="1" si="170"/>
        <v/>
      </c>
      <c r="QH51" s="75" t="str">
        <f t="shared" ca="1" si="171"/>
        <v/>
      </c>
      <c r="QI51" s="75" t="str">
        <f t="shared" ca="1" si="171"/>
        <v/>
      </c>
      <c r="QJ51" s="75" t="str">
        <f t="shared" ca="1" si="171"/>
        <v/>
      </c>
      <c r="QK51" s="75" t="str">
        <f t="shared" ca="1" si="171"/>
        <v/>
      </c>
      <c r="QL51" s="75" t="str">
        <f t="shared" ca="1" si="171"/>
        <v/>
      </c>
      <c r="QM51" s="75" t="str">
        <f t="shared" ca="1" si="171"/>
        <v/>
      </c>
      <c r="QN51" s="75" t="str">
        <f t="shared" ca="1" si="171"/>
        <v/>
      </c>
      <c r="QO51" s="75" t="str">
        <f t="shared" ca="1" si="171"/>
        <v/>
      </c>
      <c r="QP51" s="75" t="str">
        <f t="shared" ca="1" si="171"/>
        <v/>
      </c>
      <c r="QQ51" s="75" t="str">
        <f t="shared" ca="1" si="171"/>
        <v/>
      </c>
      <c r="QR51" s="75" t="str">
        <f t="shared" ca="1" si="172"/>
        <v/>
      </c>
      <c r="QS51" s="75" t="str">
        <f t="shared" ca="1" si="172"/>
        <v/>
      </c>
      <c r="QT51" s="75" t="str">
        <f t="shared" ca="1" si="172"/>
        <v/>
      </c>
      <c r="QU51" s="75" t="str">
        <f t="shared" ca="1" si="172"/>
        <v/>
      </c>
      <c r="QV51" s="75" t="str">
        <f t="shared" ca="1" si="172"/>
        <v/>
      </c>
      <c r="QW51" s="75" t="str">
        <f t="shared" ca="1" si="172"/>
        <v/>
      </c>
      <c r="QX51" s="75" t="str">
        <f t="shared" ca="1" si="172"/>
        <v/>
      </c>
      <c r="QY51" s="75" t="str">
        <f t="shared" ca="1" si="172"/>
        <v/>
      </c>
      <c r="QZ51" s="75" t="str">
        <f t="shared" ca="1" si="172"/>
        <v/>
      </c>
      <c r="RA51" s="75" t="str">
        <f t="shared" ca="1" si="172"/>
        <v/>
      </c>
      <c r="RB51" s="75" t="str">
        <f t="shared" ca="1" si="173"/>
        <v/>
      </c>
      <c r="RC51" s="75" t="str">
        <f t="shared" ca="1" si="173"/>
        <v/>
      </c>
      <c r="RD51" s="75" t="str">
        <f t="shared" ca="1" si="173"/>
        <v/>
      </c>
      <c r="RE51" s="75" t="str">
        <f t="shared" ca="1" si="173"/>
        <v/>
      </c>
      <c r="RF51" s="75" t="str">
        <f t="shared" ca="1" si="173"/>
        <v/>
      </c>
      <c r="RG51" s="75" t="str">
        <f t="shared" ca="1" si="173"/>
        <v/>
      </c>
      <c r="RH51" s="75" t="str">
        <f t="shared" ca="1" si="173"/>
        <v/>
      </c>
      <c r="RI51" s="75" t="str">
        <f t="shared" ca="1" si="173"/>
        <v/>
      </c>
      <c r="RJ51" s="75" t="str">
        <f t="shared" ca="1" si="173"/>
        <v/>
      </c>
      <c r="RK51" s="75" t="str">
        <f t="shared" ca="1" si="173"/>
        <v/>
      </c>
      <c r="RL51" s="75" t="str">
        <f t="shared" ca="1" si="174"/>
        <v/>
      </c>
      <c r="RM51" s="75" t="str">
        <f t="shared" ca="1" si="174"/>
        <v/>
      </c>
      <c r="RN51" s="75" t="str">
        <f t="shared" ca="1" si="174"/>
        <v/>
      </c>
      <c r="RO51" s="75" t="str">
        <f t="shared" ca="1" si="174"/>
        <v/>
      </c>
      <c r="RP51" s="75" t="str">
        <f t="shared" ca="1" si="174"/>
        <v/>
      </c>
      <c r="RQ51" s="75" t="str">
        <f t="shared" ca="1" si="174"/>
        <v/>
      </c>
      <c r="RR51" s="75" t="str">
        <f t="shared" ca="1" si="174"/>
        <v/>
      </c>
      <c r="RS51" s="75" t="str">
        <f t="shared" ca="1" si="174"/>
        <v/>
      </c>
      <c r="RT51" s="75" t="str">
        <f t="shared" ca="1" si="174"/>
        <v/>
      </c>
      <c r="RU51" s="75" t="str">
        <f t="shared" ca="1" si="174"/>
        <v/>
      </c>
      <c r="RV51" s="75" t="str">
        <f t="shared" ca="1" si="175"/>
        <v/>
      </c>
      <c r="RW51" s="75" t="str">
        <f t="shared" ca="1" si="175"/>
        <v/>
      </c>
      <c r="RX51" s="75" t="str">
        <f t="shared" ca="1" si="175"/>
        <v/>
      </c>
      <c r="RY51" s="75" t="str">
        <f t="shared" ca="1" si="175"/>
        <v/>
      </c>
      <c r="RZ51" s="75" t="str">
        <f t="shared" ca="1" si="175"/>
        <v/>
      </c>
      <c r="SA51" s="75" t="str">
        <f t="shared" ca="1" si="175"/>
        <v/>
      </c>
      <c r="SB51" s="75" t="str">
        <f t="shared" ca="1" si="175"/>
        <v/>
      </c>
      <c r="SC51" s="75" t="str">
        <f t="shared" ca="1" si="175"/>
        <v/>
      </c>
      <c r="SD51" s="75" t="str">
        <f t="shared" ca="1" si="175"/>
        <v/>
      </c>
      <c r="SE51" s="75" t="str">
        <f t="shared" ca="1" si="175"/>
        <v/>
      </c>
      <c r="SF51" s="75" t="str">
        <f t="shared" ca="1" si="176"/>
        <v/>
      </c>
      <c r="SG51" s="75" t="str">
        <f t="shared" ca="1" si="176"/>
        <v/>
      </c>
      <c r="SH51" s="75" t="str">
        <f t="shared" ca="1" si="176"/>
        <v/>
      </c>
      <c r="SI51" s="75" t="str">
        <f t="shared" ca="1" si="176"/>
        <v/>
      </c>
      <c r="SJ51" s="75" t="str">
        <f t="shared" ca="1" si="176"/>
        <v/>
      </c>
      <c r="SK51" s="75" t="str">
        <f t="shared" ca="1" si="176"/>
        <v/>
      </c>
      <c r="SL51" s="75" t="str">
        <f t="shared" ca="1" si="176"/>
        <v/>
      </c>
      <c r="SM51" s="75" t="str">
        <f t="shared" ca="1" si="176"/>
        <v/>
      </c>
      <c r="SN51" s="75" t="str">
        <f t="shared" ca="1" si="176"/>
        <v/>
      </c>
      <c r="SO51" s="75" t="str">
        <f t="shared" ca="1" si="176"/>
        <v/>
      </c>
      <c r="SP51" s="75" t="str">
        <f t="shared" ca="1" si="177"/>
        <v/>
      </c>
      <c r="SQ51" s="75" t="str">
        <f t="shared" ca="1" si="177"/>
        <v/>
      </c>
      <c r="SR51" s="75" t="str">
        <f t="shared" ca="1" si="177"/>
        <v/>
      </c>
      <c r="SS51" s="75" t="str">
        <f t="shared" ca="1" si="177"/>
        <v/>
      </c>
      <c r="ST51" s="75" t="str">
        <f t="shared" ca="1" si="177"/>
        <v/>
      </c>
      <c r="SU51" s="75" t="str">
        <f t="shared" ca="1" si="177"/>
        <v/>
      </c>
      <c r="SV51" s="75" t="str">
        <f t="shared" ca="1" si="177"/>
        <v/>
      </c>
      <c r="SW51" s="75" t="str">
        <f t="shared" ca="1" si="177"/>
        <v/>
      </c>
      <c r="SX51" s="75" t="str">
        <f t="shared" ca="1" si="177"/>
        <v/>
      </c>
      <c r="SY51" s="75" t="str">
        <f t="shared" ca="1" si="177"/>
        <v/>
      </c>
      <c r="SZ51" s="75" t="str">
        <f t="shared" ca="1" si="178"/>
        <v/>
      </c>
      <c r="TA51" s="75" t="str">
        <f t="shared" ca="1" si="178"/>
        <v/>
      </c>
      <c r="TB51" s="75" t="str">
        <f t="shared" ca="1" si="178"/>
        <v/>
      </c>
      <c r="TC51" s="75" t="str">
        <f t="shared" ca="1" si="178"/>
        <v/>
      </c>
      <c r="TD51" s="75" t="str">
        <f t="shared" ca="1" si="178"/>
        <v/>
      </c>
      <c r="TE51" s="75" t="str">
        <f t="shared" ca="1" si="178"/>
        <v/>
      </c>
      <c r="TF51" s="75" t="str">
        <f t="shared" ca="1" si="178"/>
        <v/>
      </c>
      <c r="TG51" s="75" t="str">
        <f t="shared" ca="1" si="178"/>
        <v/>
      </c>
      <c r="TH51" s="75" t="str">
        <f t="shared" ca="1" si="178"/>
        <v/>
      </c>
      <c r="TI51" s="75" t="str">
        <f t="shared" ca="1" si="178"/>
        <v/>
      </c>
      <c r="TJ51" s="75" t="str">
        <f t="shared" ca="1" si="179"/>
        <v/>
      </c>
      <c r="TK51" s="75" t="str">
        <f t="shared" ca="1" si="179"/>
        <v/>
      </c>
      <c r="TL51" s="75" t="str">
        <f t="shared" ca="1" si="179"/>
        <v/>
      </c>
      <c r="TM51" s="75" t="str">
        <f t="shared" ca="1" si="179"/>
        <v/>
      </c>
      <c r="TN51" s="75" t="str">
        <f t="shared" ca="1" si="179"/>
        <v/>
      </c>
      <c r="TO51" s="75" t="str">
        <f t="shared" ca="1" si="179"/>
        <v/>
      </c>
      <c r="TP51" s="75" t="str">
        <f t="shared" ca="1" si="179"/>
        <v/>
      </c>
      <c r="TQ51" s="75" t="str">
        <f t="shared" ca="1" si="179"/>
        <v/>
      </c>
      <c r="TR51" s="75" t="str">
        <f t="shared" ca="1" si="179"/>
        <v/>
      </c>
      <c r="TS51" s="75" t="str">
        <f t="shared" ca="1" si="179"/>
        <v/>
      </c>
      <c r="TT51" s="75" t="str">
        <f t="shared" ca="1" si="180"/>
        <v/>
      </c>
      <c r="TU51" s="75" t="str">
        <f t="shared" ca="1" si="180"/>
        <v/>
      </c>
      <c r="TV51" s="75" t="str">
        <f t="shared" ca="1" si="180"/>
        <v/>
      </c>
      <c r="TW51" s="75" t="str">
        <f t="shared" ca="1" si="180"/>
        <v/>
      </c>
      <c r="TX51" s="75" t="str">
        <f t="shared" ca="1" si="180"/>
        <v/>
      </c>
      <c r="TY51" s="75" t="str">
        <f t="shared" ca="1" si="180"/>
        <v/>
      </c>
      <c r="TZ51" s="75" t="str">
        <f t="shared" ca="1" si="180"/>
        <v/>
      </c>
      <c r="UA51" s="75" t="str">
        <f t="shared" ca="1" si="180"/>
        <v/>
      </c>
      <c r="UB51" s="75" t="str">
        <f t="shared" ca="1" si="180"/>
        <v/>
      </c>
      <c r="UC51" s="75" t="str">
        <f t="shared" ca="1" si="180"/>
        <v/>
      </c>
      <c r="UD51" s="75" t="str">
        <f t="shared" ca="1" si="181"/>
        <v/>
      </c>
      <c r="UE51" s="75" t="str">
        <f t="shared" ca="1" si="181"/>
        <v/>
      </c>
      <c r="UF51" s="75" t="str">
        <f t="shared" ca="1" si="181"/>
        <v/>
      </c>
      <c r="UG51" s="75" t="str">
        <f t="shared" ca="1" si="181"/>
        <v/>
      </c>
      <c r="UH51" s="75" t="str">
        <f t="shared" ca="1" si="181"/>
        <v/>
      </c>
      <c r="UI51" s="75" t="str">
        <f t="shared" ca="1" si="181"/>
        <v/>
      </c>
      <c r="UJ51" s="75" t="str">
        <f t="shared" ca="1" si="181"/>
        <v/>
      </c>
      <c r="UK51" s="75" t="str">
        <f t="shared" ca="1" si="181"/>
        <v/>
      </c>
      <c r="UL51" s="75" t="str">
        <f t="shared" ca="1" si="181"/>
        <v/>
      </c>
      <c r="UM51" s="75" t="str">
        <f t="shared" ca="1" si="181"/>
        <v/>
      </c>
      <c r="UN51" s="75" t="str">
        <f t="shared" ca="1" si="182"/>
        <v/>
      </c>
      <c r="UO51" s="75" t="str">
        <f t="shared" ca="1" si="182"/>
        <v/>
      </c>
      <c r="UP51" s="75" t="str">
        <f t="shared" ca="1" si="182"/>
        <v/>
      </c>
      <c r="UQ51" s="75" t="str">
        <f t="shared" ca="1" si="182"/>
        <v/>
      </c>
      <c r="UR51" s="75" t="str">
        <f t="shared" ca="1" si="182"/>
        <v/>
      </c>
      <c r="US51" s="75" t="str">
        <f t="shared" ca="1" si="182"/>
        <v/>
      </c>
      <c r="UT51" s="75" t="str">
        <f t="shared" ca="1" si="182"/>
        <v/>
      </c>
      <c r="UU51" s="75" t="str">
        <f t="shared" ca="1" si="182"/>
        <v/>
      </c>
      <c r="UV51" s="75" t="str">
        <f t="shared" ca="1" si="182"/>
        <v/>
      </c>
      <c r="UW51" s="75" t="str">
        <f t="shared" ca="1" si="182"/>
        <v/>
      </c>
      <c r="UX51" s="75" t="str">
        <f t="shared" ca="1" si="183"/>
        <v/>
      </c>
      <c r="UY51" s="75" t="str">
        <f t="shared" ca="1" si="183"/>
        <v/>
      </c>
      <c r="UZ51" s="75" t="str">
        <f t="shared" ca="1" si="183"/>
        <v/>
      </c>
      <c r="VA51" s="75" t="str">
        <f t="shared" ca="1" si="183"/>
        <v/>
      </c>
      <c r="VB51" s="75" t="str">
        <f t="shared" ca="1" si="183"/>
        <v/>
      </c>
      <c r="VC51" s="75" t="str">
        <f t="shared" ca="1" si="183"/>
        <v/>
      </c>
      <c r="VD51" s="75" t="str">
        <f t="shared" ca="1" si="183"/>
        <v/>
      </c>
      <c r="VE51" s="75" t="str">
        <f t="shared" ca="1" si="183"/>
        <v/>
      </c>
      <c r="VF51" s="75" t="str">
        <f t="shared" ca="1" si="183"/>
        <v/>
      </c>
      <c r="VG51" s="75" t="str">
        <f t="shared" ca="1" si="183"/>
        <v/>
      </c>
      <c r="VH51" s="75" t="str">
        <f t="shared" ca="1" si="184"/>
        <v/>
      </c>
      <c r="VI51" s="75" t="str">
        <f t="shared" ca="1" si="184"/>
        <v/>
      </c>
      <c r="VJ51" s="75" t="str">
        <f t="shared" ca="1" si="184"/>
        <v/>
      </c>
      <c r="VK51" s="75" t="str">
        <f t="shared" ca="1" si="184"/>
        <v/>
      </c>
      <c r="VL51" s="75" t="str">
        <f t="shared" ca="1" si="184"/>
        <v/>
      </c>
      <c r="VM51" s="75" t="str">
        <f t="shared" ca="1" si="184"/>
        <v/>
      </c>
      <c r="VN51" s="75" t="str">
        <f t="shared" ca="1" si="184"/>
        <v/>
      </c>
      <c r="VO51" s="75" t="str">
        <f t="shared" ca="1" si="184"/>
        <v/>
      </c>
      <c r="VP51" s="75" t="str">
        <f t="shared" ca="1" si="184"/>
        <v/>
      </c>
      <c r="VQ51" s="75" t="str">
        <f t="shared" ca="1" si="184"/>
        <v/>
      </c>
      <c r="VR51" s="75" t="str">
        <f t="shared" ca="1" si="184"/>
        <v/>
      </c>
      <c r="VS51" s="75" t="str">
        <f t="shared" ca="1" si="184"/>
        <v/>
      </c>
    </row>
    <row r="52" spans="1:591" s="17" customFormat="1" ht="21.6" customHeight="1" x14ac:dyDescent="0.3">
      <c r="A52" s="81"/>
      <c r="B52" s="73" t="e">
        <f>'CoS Tracker'!#REF!</f>
        <v>#REF!</v>
      </c>
      <c r="C52" s="19" t="s">
        <v>74</v>
      </c>
      <c r="D52" s="19"/>
      <c r="E52" s="27">
        <v>0.5</v>
      </c>
      <c r="F52" s="26">
        <f>F51+2</f>
        <v>46003</v>
      </c>
      <c r="G52" s="26">
        <f>Milestones43524[[#This Row],[Start]]+Milestones43524[[#This Row],[Days]]</f>
        <v>46012</v>
      </c>
      <c r="H52" s="25">
        <v>9</v>
      </c>
      <c r="I52" s="19"/>
      <c r="J52" s="24" t="str">
        <f t="shared" ca="1" si="127"/>
        <v/>
      </c>
      <c r="K52" s="24" t="str">
        <f t="shared" ca="1" si="127"/>
        <v/>
      </c>
      <c r="L52" s="24" t="str">
        <f t="shared" ca="1" si="127"/>
        <v/>
      </c>
      <c r="M52" s="24" t="str">
        <f t="shared" ca="1" si="127"/>
        <v/>
      </c>
      <c r="N52" s="24" t="str">
        <f t="shared" ca="1" si="127"/>
        <v/>
      </c>
      <c r="O52" s="24" t="str">
        <f t="shared" ca="1" si="127"/>
        <v/>
      </c>
      <c r="P52" s="24" t="str">
        <f t="shared" ca="1" si="127"/>
        <v/>
      </c>
      <c r="Q52" s="24" t="str">
        <f t="shared" ca="1" si="127"/>
        <v/>
      </c>
      <c r="R52" s="24" t="str">
        <f t="shared" ca="1" si="127"/>
        <v/>
      </c>
      <c r="S52" s="24" t="str">
        <f t="shared" ca="1" si="127"/>
        <v/>
      </c>
      <c r="T52" s="24" t="str">
        <f t="shared" ca="1" si="128"/>
        <v/>
      </c>
      <c r="U52" s="24" t="str">
        <f t="shared" ca="1" si="128"/>
        <v/>
      </c>
      <c r="V52" s="24" t="str">
        <f t="shared" ca="1" si="128"/>
        <v/>
      </c>
      <c r="W52" s="24" t="str">
        <f t="shared" ca="1" si="128"/>
        <v/>
      </c>
      <c r="X52" s="24" t="str">
        <f t="shared" ca="1" si="128"/>
        <v/>
      </c>
      <c r="Y52" s="24" t="str">
        <f t="shared" ca="1" si="128"/>
        <v/>
      </c>
      <c r="Z52" s="24" t="str">
        <f t="shared" ca="1" si="128"/>
        <v/>
      </c>
      <c r="AA52" s="24" t="str">
        <f t="shared" ca="1" si="128"/>
        <v/>
      </c>
      <c r="AB52" s="24" t="str">
        <f t="shared" ca="1" si="128"/>
        <v/>
      </c>
      <c r="AC52" s="24" t="str">
        <f t="shared" ca="1" si="128"/>
        <v/>
      </c>
      <c r="AD52" s="24" t="str">
        <f t="shared" ca="1" si="129"/>
        <v/>
      </c>
      <c r="AE52" s="24" t="str">
        <f t="shared" ca="1" si="129"/>
        <v/>
      </c>
      <c r="AF52" s="24" t="str">
        <f t="shared" ca="1" si="129"/>
        <v/>
      </c>
      <c r="AG52" s="24" t="str">
        <f t="shared" ca="1" si="129"/>
        <v/>
      </c>
      <c r="AH52" s="24" t="str">
        <f t="shared" ca="1" si="129"/>
        <v/>
      </c>
      <c r="AI52" s="24" t="str">
        <f t="shared" ca="1" si="129"/>
        <v/>
      </c>
      <c r="AJ52" s="24" t="str">
        <f t="shared" ca="1" si="129"/>
        <v/>
      </c>
      <c r="AK52" s="24" t="str">
        <f t="shared" ca="1" si="129"/>
        <v/>
      </c>
      <c r="AL52" s="24" t="str">
        <f t="shared" ca="1" si="129"/>
        <v/>
      </c>
      <c r="AM52" s="24" t="str">
        <f t="shared" ca="1" si="129"/>
        <v/>
      </c>
      <c r="AN52" s="24" t="str">
        <f t="shared" ca="1" si="130"/>
        <v/>
      </c>
      <c r="AO52" s="24" t="str">
        <f t="shared" ca="1" si="130"/>
        <v/>
      </c>
      <c r="AP52" s="24" t="str">
        <f t="shared" ca="1" si="130"/>
        <v/>
      </c>
      <c r="AQ52" s="24" t="str">
        <f t="shared" ca="1" si="130"/>
        <v/>
      </c>
      <c r="AR52" s="24" t="str">
        <f t="shared" ca="1" si="130"/>
        <v/>
      </c>
      <c r="AS52" s="24" t="str">
        <f t="shared" ca="1" si="130"/>
        <v/>
      </c>
      <c r="AT52" s="24" t="str">
        <f t="shared" ca="1" si="130"/>
        <v/>
      </c>
      <c r="AU52" s="24" t="str">
        <f t="shared" ca="1" si="130"/>
        <v/>
      </c>
      <c r="AV52" s="24" t="str">
        <f t="shared" ca="1" si="130"/>
        <v/>
      </c>
      <c r="AW52" s="24" t="str">
        <f t="shared" ca="1" si="130"/>
        <v/>
      </c>
      <c r="AX52" s="24" t="str">
        <f t="shared" ca="1" si="131"/>
        <v/>
      </c>
      <c r="AY52" s="24" t="str">
        <f t="shared" ca="1" si="131"/>
        <v/>
      </c>
      <c r="AZ52" s="24" t="str">
        <f t="shared" ca="1" si="131"/>
        <v/>
      </c>
      <c r="BA52" s="24" t="str">
        <f t="shared" ca="1" si="131"/>
        <v/>
      </c>
      <c r="BB52" s="24" t="str">
        <f t="shared" ca="1" si="131"/>
        <v/>
      </c>
      <c r="BC52" s="24" t="str">
        <f t="shared" ca="1" si="131"/>
        <v/>
      </c>
      <c r="BD52" s="24" t="str">
        <f t="shared" ca="1" si="131"/>
        <v/>
      </c>
      <c r="BE52" s="24" t="str">
        <f t="shared" ca="1" si="131"/>
        <v/>
      </c>
      <c r="BF52" s="24" t="str">
        <f t="shared" ca="1" si="131"/>
        <v/>
      </c>
      <c r="BG52" s="24" t="str">
        <f t="shared" ca="1" si="131"/>
        <v/>
      </c>
      <c r="BH52" s="24" t="str">
        <f t="shared" ca="1" si="132"/>
        <v/>
      </c>
      <c r="BI52" s="24" t="str">
        <f t="shared" ca="1" si="132"/>
        <v/>
      </c>
      <c r="BJ52" s="24" t="str">
        <f t="shared" ca="1" si="132"/>
        <v/>
      </c>
      <c r="BK52" s="24" t="str">
        <f t="shared" ca="1" si="132"/>
        <v/>
      </c>
      <c r="BL52" s="24" t="str">
        <f t="shared" ca="1" si="132"/>
        <v/>
      </c>
      <c r="BM52" s="24" t="str">
        <f t="shared" ca="1" si="132"/>
        <v/>
      </c>
      <c r="BN52" s="24" t="str">
        <f t="shared" ca="1" si="132"/>
        <v/>
      </c>
      <c r="BO52" s="24" t="str">
        <f t="shared" ca="1" si="132"/>
        <v/>
      </c>
      <c r="BP52" s="24" t="str">
        <f t="shared" ca="1" si="132"/>
        <v/>
      </c>
      <c r="BQ52" s="24" t="str">
        <f t="shared" ca="1" si="132"/>
        <v/>
      </c>
      <c r="BR52" s="24" t="str">
        <f t="shared" ca="1" si="133"/>
        <v/>
      </c>
      <c r="BS52" s="24" t="str">
        <f t="shared" ca="1" si="133"/>
        <v/>
      </c>
      <c r="BT52" s="24" t="str">
        <f t="shared" ca="1" si="133"/>
        <v/>
      </c>
      <c r="BU52" s="24" t="str">
        <f t="shared" ca="1" si="133"/>
        <v/>
      </c>
      <c r="BV52" s="24" t="str">
        <f t="shared" ca="1" si="133"/>
        <v/>
      </c>
      <c r="BW52" s="24" t="str">
        <f t="shared" ca="1" si="133"/>
        <v/>
      </c>
      <c r="BX52" s="24" t="str">
        <f t="shared" ca="1" si="133"/>
        <v/>
      </c>
      <c r="BY52" s="24" t="str">
        <f t="shared" ca="1" si="133"/>
        <v/>
      </c>
      <c r="BZ52" s="24" t="str">
        <f t="shared" ca="1" si="133"/>
        <v/>
      </c>
      <c r="CA52" s="24" t="str">
        <f t="shared" ca="1" si="133"/>
        <v/>
      </c>
      <c r="CB52" s="24" t="str">
        <f t="shared" ca="1" si="134"/>
        <v/>
      </c>
      <c r="CC52" s="24" t="str">
        <f t="shared" ca="1" si="134"/>
        <v/>
      </c>
      <c r="CD52" s="24" t="str">
        <f t="shared" ca="1" si="134"/>
        <v/>
      </c>
      <c r="CE52" s="24" t="str">
        <f t="shared" ca="1" si="134"/>
        <v/>
      </c>
      <c r="CF52" s="24" t="str">
        <f t="shared" ca="1" si="134"/>
        <v/>
      </c>
      <c r="CG52" s="24" t="str">
        <f t="shared" ca="1" si="134"/>
        <v/>
      </c>
      <c r="CH52" s="24" t="str">
        <f t="shared" ca="1" si="134"/>
        <v/>
      </c>
      <c r="CI52" s="24" t="str">
        <f t="shared" ca="1" si="134"/>
        <v/>
      </c>
      <c r="CJ52" s="24" t="str">
        <f t="shared" ca="1" si="134"/>
        <v/>
      </c>
      <c r="CK52" s="24" t="str">
        <f t="shared" ca="1" si="134"/>
        <v/>
      </c>
      <c r="CL52" s="24" t="str">
        <f t="shared" ca="1" si="135"/>
        <v/>
      </c>
      <c r="CM52" s="24" t="str">
        <f t="shared" ca="1" si="135"/>
        <v/>
      </c>
      <c r="CN52" s="24" t="str">
        <f t="shared" ca="1" si="135"/>
        <v/>
      </c>
      <c r="CO52" s="24" t="str">
        <f t="shared" ca="1" si="135"/>
        <v/>
      </c>
      <c r="CP52" s="24" t="str">
        <f t="shared" ca="1" si="135"/>
        <v/>
      </c>
      <c r="CQ52" s="24" t="str">
        <f t="shared" ca="1" si="135"/>
        <v/>
      </c>
      <c r="CR52" s="24" t="str">
        <f t="shared" ca="1" si="135"/>
        <v/>
      </c>
      <c r="CS52" s="24" t="str">
        <f t="shared" ca="1" si="135"/>
        <v/>
      </c>
      <c r="CT52" s="24" t="str">
        <f t="shared" ca="1" si="135"/>
        <v/>
      </c>
      <c r="CU52" s="24" t="str">
        <f t="shared" ca="1" si="135"/>
        <v/>
      </c>
      <c r="CV52" s="24" t="str">
        <f t="shared" ca="1" si="136"/>
        <v/>
      </c>
      <c r="CW52" s="24" t="str">
        <f t="shared" ca="1" si="136"/>
        <v/>
      </c>
      <c r="CX52" s="24" t="str">
        <f t="shared" ca="1" si="136"/>
        <v/>
      </c>
      <c r="CY52" s="24" t="str">
        <f t="shared" ca="1" si="136"/>
        <v/>
      </c>
      <c r="CZ52" s="24" t="str">
        <f t="shared" ca="1" si="136"/>
        <v/>
      </c>
      <c r="DA52" s="24" t="str">
        <f t="shared" ca="1" si="136"/>
        <v/>
      </c>
      <c r="DB52" s="24" t="str">
        <f t="shared" ca="1" si="136"/>
        <v/>
      </c>
      <c r="DC52" s="24" t="str">
        <f t="shared" ca="1" si="136"/>
        <v/>
      </c>
      <c r="DD52" s="24" t="str">
        <f t="shared" ca="1" si="136"/>
        <v/>
      </c>
      <c r="DE52" s="24" t="str">
        <f t="shared" ca="1" si="136"/>
        <v/>
      </c>
      <c r="DF52" s="24" t="str">
        <f t="shared" ca="1" si="137"/>
        <v/>
      </c>
      <c r="DG52" s="24" t="str">
        <f t="shared" ca="1" si="137"/>
        <v/>
      </c>
      <c r="DH52" s="24" t="str">
        <f t="shared" ca="1" si="137"/>
        <v/>
      </c>
      <c r="DI52" s="24" t="str">
        <f t="shared" ca="1" si="137"/>
        <v/>
      </c>
      <c r="DJ52" s="24" t="str">
        <f t="shared" ca="1" si="137"/>
        <v/>
      </c>
      <c r="DK52" s="24" t="str">
        <f t="shared" ca="1" si="137"/>
        <v/>
      </c>
      <c r="DL52" s="24" t="str">
        <f t="shared" ca="1" si="137"/>
        <v/>
      </c>
      <c r="DM52" s="24" t="str">
        <f t="shared" ca="1" si="137"/>
        <v/>
      </c>
      <c r="DN52" s="24" t="str">
        <f t="shared" ca="1" si="137"/>
        <v/>
      </c>
      <c r="DO52" s="24" t="str">
        <f t="shared" ca="1" si="137"/>
        <v/>
      </c>
      <c r="DP52" s="24" t="str">
        <f t="shared" ca="1" si="138"/>
        <v/>
      </c>
      <c r="DQ52" s="24" t="str">
        <f t="shared" ca="1" si="138"/>
        <v/>
      </c>
      <c r="DR52" s="24" t="str">
        <f t="shared" ca="1" si="138"/>
        <v/>
      </c>
      <c r="DS52" s="24" t="str">
        <f t="shared" ca="1" si="138"/>
        <v/>
      </c>
      <c r="DT52" s="24" t="str">
        <f t="shared" ca="1" si="138"/>
        <v/>
      </c>
      <c r="DU52" s="24" t="str">
        <f t="shared" ca="1" si="138"/>
        <v/>
      </c>
      <c r="DV52" s="24" t="str">
        <f t="shared" ca="1" si="138"/>
        <v/>
      </c>
      <c r="DW52" s="24" t="str">
        <f t="shared" ca="1" si="138"/>
        <v/>
      </c>
      <c r="DX52" s="24" t="str">
        <f t="shared" ca="1" si="138"/>
        <v/>
      </c>
      <c r="DY52" s="24" t="str">
        <f t="shared" ca="1" si="138"/>
        <v/>
      </c>
      <c r="DZ52" s="24" t="str">
        <f t="shared" ca="1" si="139"/>
        <v/>
      </c>
      <c r="EA52" s="24" t="str">
        <f t="shared" ca="1" si="139"/>
        <v/>
      </c>
      <c r="EB52" s="24" t="str">
        <f t="shared" ca="1" si="139"/>
        <v/>
      </c>
      <c r="EC52" s="24" t="str">
        <f t="shared" ca="1" si="139"/>
        <v/>
      </c>
      <c r="ED52" s="24" t="str">
        <f t="shared" ca="1" si="139"/>
        <v/>
      </c>
      <c r="EE52" s="24" t="str">
        <f t="shared" ca="1" si="139"/>
        <v/>
      </c>
      <c r="EF52" s="24" t="str">
        <f t="shared" ca="1" si="139"/>
        <v/>
      </c>
      <c r="EG52" s="24" t="str">
        <f t="shared" ca="1" si="139"/>
        <v/>
      </c>
      <c r="EH52" s="24" t="str">
        <f t="shared" ca="1" si="139"/>
        <v/>
      </c>
      <c r="EI52" s="24" t="str">
        <f t="shared" ca="1" si="139"/>
        <v/>
      </c>
      <c r="EJ52" s="24" t="str">
        <f t="shared" ca="1" si="140"/>
        <v/>
      </c>
      <c r="EK52" s="24" t="str">
        <f t="shared" ca="1" si="140"/>
        <v/>
      </c>
      <c r="EL52" s="24" t="str">
        <f t="shared" ca="1" si="140"/>
        <v/>
      </c>
      <c r="EM52" s="24" t="str">
        <f t="shared" ca="1" si="140"/>
        <v/>
      </c>
      <c r="EN52" s="24" t="str">
        <f t="shared" ca="1" si="140"/>
        <v/>
      </c>
      <c r="EO52" s="24" t="str">
        <f t="shared" ca="1" si="140"/>
        <v/>
      </c>
      <c r="EP52" s="24" t="str">
        <f t="shared" ca="1" si="140"/>
        <v/>
      </c>
      <c r="EQ52" s="24" t="str">
        <f t="shared" ca="1" si="140"/>
        <v/>
      </c>
      <c r="ER52" s="24" t="str">
        <f t="shared" ca="1" si="140"/>
        <v/>
      </c>
      <c r="ES52" s="24" t="str">
        <f t="shared" ca="1" si="140"/>
        <v/>
      </c>
      <c r="ET52" s="24" t="str">
        <f t="shared" ca="1" si="141"/>
        <v/>
      </c>
      <c r="EU52" s="24" t="str">
        <f t="shared" ca="1" si="141"/>
        <v/>
      </c>
      <c r="EV52" s="24" t="str">
        <f t="shared" ca="1" si="141"/>
        <v/>
      </c>
      <c r="EW52" s="24" t="str">
        <f t="shared" ca="1" si="141"/>
        <v/>
      </c>
      <c r="EX52" s="24" t="str">
        <f t="shared" ca="1" si="141"/>
        <v/>
      </c>
      <c r="EY52" s="24" t="str">
        <f t="shared" ca="1" si="141"/>
        <v/>
      </c>
      <c r="EZ52" s="24" t="str">
        <f t="shared" ca="1" si="141"/>
        <v/>
      </c>
      <c r="FA52" s="24" t="str">
        <f t="shared" ca="1" si="141"/>
        <v/>
      </c>
      <c r="FB52" s="24" t="str">
        <f t="shared" ca="1" si="141"/>
        <v/>
      </c>
      <c r="FC52" s="24" t="str">
        <f t="shared" ca="1" si="141"/>
        <v/>
      </c>
      <c r="FD52" s="24" t="str">
        <f t="shared" ca="1" si="142"/>
        <v/>
      </c>
      <c r="FE52" s="24" t="str">
        <f t="shared" ca="1" si="142"/>
        <v/>
      </c>
      <c r="FF52" s="24" t="str">
        <f t="shared" ca="1" si="142"/>
        <v/>
      </c>
      <c r="FG52" s="24" t="str">
        <f t="shared" ca="1" si="142"/>
        <v/>
      </c>
      <c r="FH52" s="24" t="str">
        <f t="shared" ca="1" si="142"/>
        <v/>
      </c>
      <c r="FI52" s="24" t="str">
        <f t="shared" ca="1" si="142"/>
        <v/>
      </c>
      <c r="FJ52" s="24" t="str">
        <f t="shared" ca="1" si="142"/>
        <v/>
      </c>
      <c r="FK52" s="24" t="str">
        <f t="shared" ca="1" si="142"/>
        <v/>
      </c>
      <c r="FL52" s="24" t="str">
        <f t="shared" ca="1" si="142"/>
        <v/>
      </c>
      <c r="FM52" s="24" t="str">
        <f t="shared" ca="1" si="142"/>
        <v/>
      </c>
      <c r="FN52" s="24" t="str">
        <f t="shared" ca="1" si="143"/>
        <v/>
      </c>
      <c r="FO52" s="24" t="str">
        <f t="shared" ca="1" si="143"/>
        <v/>
      </c>
      <c r="FP52" s="24" t="str">
        <f t="shared" ca="1" si="143"/>
        <v/>
      </c>
      <c r="FQ52" s="24" t="str">
        <f t="shared" ca="1" si="143"/>
        <v/>
      </c>
      <c r="FR52" s="24" t="str">
        <f t="shared" ca="1" si="143"/>
        <v/>
      </c>
      <c r="FS52" s="24" t="str">
        <f t="shared" ca="1" si="143"/>
        <v/>
      </c>
      <c r="FT52" s="24" t="str">
        <f t="shared" ca="1" si="143"/>
        <v/>
      </c>
      <c r="FU52" s="24" t="str">
        <f t="shared" ca="1" si="143"/>
        <v/>
      </c>
      <c r="FV52" s="24" t="str">
        <f t="shared" ca="1" si="143"/>
        <v/>
      </c>
      <c r="FW52" s="24" t="str">
        <f t="shared" ca="1" si="143"/>
        <v/>
      </c>
      <c r="FX52" s="24" t="str">
        <f t="shared" ca="1" si="144"/>
        <v/>
      </c>
      <c r="FY52" s="24" t="str">
        <f t="shared" ca="1" si="144"/>
        <v/>
      </c>
      <c r="FZ52" s="24" t="str">
        <f t="shared" ca="1" si="144"/>
        <v/>
      </c>
      <c r="GA52" s="24" t="str">
        <f t="shared" ca="1" si="144"/>
        <v/>
      </c>
      <c r="GB52" s="24" t="str">
        <f t="shared" ca="1" si="144"/>
        <v/>
      </c>
      <c r="GC52" s="24" t="str">
        <f t="shared" ca="1" si="144"/>
        <v/>
      </c>
      <c r="GD52" s="24" t="str">
        <f t="shared" ca="1" si="144"/>
        <v/>
      </c>
      <c r="GE52" s="24" t="str">
        <f t="shared" ca="1" si="144"/>
        <v/>
      </c>
      <c r="GF52" s="24" t="str">
        <f t="shared" ca="1" si="144"/>
        <v/>
      </c>
      <c r="GG52" s="24" t="str">
        <f t="shared" ca="1" si="144"/>
        <v/>
      </c>
      <c r="GH52" s="24" t="str">
        <f t="shared" ca="1" si="145"/>
        <v/>
      </c>
      <c r="GI52" s="24" t="str">
        <f t="shared" ca="1" si="145"/>
        <v/>
      </c>
      <c r="GJ52" s="24" t="str">
        <f t="shared" ca="1" si="145"/>
        <v/>
      </c>
      <c r="GK52" s="24" t="str">
        <f t="shared" ca="1" si="145"/>
        <v/>
      </c>
      <c r="GL52" s="24" t="str">
        <f t="shared" ca="1" si="145"/>
        <v/>
      </c>
      <c r="GM52" s="24" t="str">
        <f t="shared" ca="1" si="145"/>
        <v/>
      </c>
      <c r="GN52" s="24" t="str">
        <f t="shared" ca="1" si="145"/>
        <v/>
      </c>
      <c r="GO52" s="24" t="str">
        <f t="shared" ca="1" si="145"/>
        <v/>
      </c>
      <c r="GP52" s="24" t="str">
        <f t="shared" ca="1" si="145"/>
        <v/>
      </c>
      <c r="GQ52" s="24" t="str">
        <f t="shared" ca="1" si="145"/>
        <v/>
      </c>
      <c r="GR52" s="24" t="str">
        <f t="shared" ca="1" si="146"/>
        <v/>
      </c>
      <c r="GS52" s="24" t="str">
        <f t="shared" ca="1" si="146"/>
        <v/>
      </c>
      <c r="GT52" s="24" t="str">
        <f t="shared" ca="1" si="146"/>
        <v/>
      </c>
      <c r="GU52" s="24" t="str">
        <f t="shared" ca="1" si="146"/>
        <v/>
      </c>
      <c r="GV52" s="24" t="str">
        <f t="shared" ca="1" si="146"/>
        <v/>
      </c>
      <c r="GW52" s="24" t="str">
        <f t="shared" ca="1" si="146"/>
        <v/>
      </c>
      <c r="GX52" s="24" t="str">
        <f t="shared" ca="1" si="146"/>
        <v/>
      </c>
      <c r="GY52" s="24" t="str">
        <f t="shared" ca="1" si="146"/>
        <v/>
      </c>
      <c r="GZ52" s="24" t="str">
        <f t="shared" ca="1" si="146"/>
        <v/>
      </c>
      <c r="HA52" s="24" t="str">
        <f t="shared" ca="1" si="146"/>
        <v/>
      </c>
      <c r="HB52" s="24" t="str">
        <f t="shared" ca="1" si="147"/>
        <v/>
      </c>
      <c r="HC52" s="24" t="str">
        <f t="shared" ca="1" si="147"/>
        <v/>
      </c>
      <c r="HD52" s="24" t="str">
        <f t="shared" ca="1" si="147"/>
        <v/>
      </c>
      <c r="HE52" s="24" t="str">
        <f t="shared" ca="1" si="147"/>
        <v/>
      </c>
      <c r="HF52" s="24" t="str">
        <f t="shared" ca="1" si="147"/>
        <v/>
      </c>
      <c r="HG52" s="24" t="str">
        <f t="shared" ca="1" si="147"/>
        <v/>
      </c>
      <c r="HH52" s="24" t="str">
        <f t="shared" ca="1" si="147"/>
        <v/>
      </c>
      <c r="HI52" s="24" t="str">
        <f t="shared" ca="1" si="147"/>
        <v/>
      </c>
      <c r="HJ52" s="24" t="str">
        <f t="shared" ca="1" si="147"/>
        <v/>
      </c>
      <c r="HK52" s="24" t="str">
        <f t="shared" ca="1" si="147"/>
        <v/>
      </c>
      <c r="HL52" s="24" t="str">
        <f t="shared" ca="1" si="148"/>
        <v/>
      </c>
      <c r="HM52" s="24" t="str">
        <f t="shared" ca="1" si="148"/>
        <v/>
      </c>
      <c r="HN52" s="24" t="str">
        <f t="shared" ca="1" si="148"/>
        <v/>
      </c>
      <c r="HO52" s="24" t="str">
        <f t="shared" ca="1" si="148"/>
        <v/>
      </c>
      <c r="HP52" s="24" t="str">
        <f t="shared" ca="1" si="148"/>
        <v/>
      </c>
      <c r="HQ52" s="24" t="str">
        <f t="shared" ca="1" si="148"/>
        <v/>
      </c>
      <c r="HR52" s="24" t="str">
        <f t="shared" ca="1" si="148"/>
        <v/>
      </c>
      <c r="HS52" s="24" t="str">
        <f t="shared" ca="1" si="148"/>
        <v/>
      </c>
      <c r="HT52" s="24" t="str">
        <f t="shared" ca="1" si="148"/>
        <v/>
      </c>
      <c r="HU52" s="24" t="str">
        <f t="shared" ca="1" si="148"/>
        <v/>
      </c>
      <c r="HV52" s="24" t="str">
        <f t="shared" ca="1" si="149"/>
        <v/>
      </c>
      <c r="HW52" s="24" t="str">
        <f t="shared" ca="1" si="149"/>
        <v/>
      </c>
      <c r="HX52" s="24" t="str">
        <f t="shared" ca="1" si="149"/>
        <v/>
      </c>
      <c r="HY52" s="24" t="str">
        <f t="shared" ca="1" si="149"/>
        <v/>
      </c>
      <c r="HZ52" s="24" t="str">
        <f t="shared" ca="1" si="149"/>
        <v/>
      </c>
      <c r="IA52" s="24" t="str">
        <f t="shared" ca="1" si="149"/>
        <v/>
      </c>
      <c r="IB52" s="24" t="str">
        <f t="shared" ca="1" si="149"/>
        <v/>
      </c>
      <c r="IC52" s="24" t="str">
        <f t="shared" ca="1" si="149"/>
        <v/>
      </c>
      <c r="ID52" s="24" t="str">
        <f t="shared" ca="1" si="149"/>
        <v/>
      </c>
      <c r="IE52" s="24" t="str">
        <f t="shared" ca="1" si="149"/>
        <v/>
      </c>
      <c r="IF52" s="24" t="str">
        <f t="shared" ca="1" si="150"/>
        <v/>
      </c>
      <c r="IG52" s="24" t="str">
        <f t="shared" ca="1" si="150"/>
        <v/>
      </c>
      <c r="IH52" s="24" t="str">
        <f t="shared" ca="1" si="150"/>
        <v/>
      </c>
      <c r="II52" s="24" t="str">
        <f t="shared" ca="1" si="150"/>
        <v/>
      </c>
      <c r="IJ52" s="24" t="str">
        <f t="shared" ca="1" si="150"/>
        <v/>
      </c>
      <c r="IK52" s="24" t="str">
        <f t="shared" ca="1" si="150"/>
        <v/>
      </c>
      <c r="IL52" s="24" t="str">
        <f t="shared" ca="1" si="150"/>
        <v/>
      </c>
      <c r="IM52" s="24" t="str">
        <f t="shared" ca="1" si="150"/>
        <v/>
      </c>
      <c r="IN52" s="24" t="str">
        <f t="shared" ca="1" si="150"/>
        <v/>
      </c>
      <c r="IO52" s="24" t="str">
        <f t="shared" ca="1" si="150"/>
        <v/>
      </c>
      <c r="IP52" s="24" t="str">
        <f t="shared" ca="1" si="151"/>
        <v/>
      </c>
      <c r="IQ52" s="24" t="str">
        <f t="shared" ca="1" si="151"/>
        <v/>
      </c>
      <c r="IR52" s="24" t="str">
        <f t="shared" ca="1" si="151"/>
        <v/>
      </c>
      <c r="IS52" s="24" t="str">
        <f t="shared" ca="1" si="151"/>
        <v/>
      </c>
      <c r="IT52" s="24" t="str">
        <f t="shared" ca="1" si="151"/>
        <v/>
      </c>
      <c r="IU52" s="24" t="str">
        <f t="shared" ca="1" si="151"/>
        <v/>
      </c>
      <c r="IV52" s="24" t="str">
        <f t="shared" ca="1" si="151"/>
        <v/>
      </c>
      <c r="IW52" s="24" t="str">
        <f t="shared" ca="1" si="151"/>
        <v/>
      </c>
      <c r="IX52" s="24" t="str">
        <f t="shared" ca="1" si="151"/>
        <v/>
      </c>
      <c r="IY52" s="24" t="str">
        <f t="shared" ca="1" si="151"/>
        <v/>
      </c>
      <c r="IZ52" s="24" t="str">
        <f t="shared" ca="1" si="152"/>
        <v/>
      </c>
      <c r="JA52" s="24" t="str">
        <f t="shared" ca="1" si="152"/>
        <v/>
      </c>
      <c r="JB52" s="24" t="str">
        <f t="shared" ca="1" si="152"/>
        <v/>
      </c>
      <c r="JC52" s="24" t="str">
        <f t="shared" ca="1" si="152"/>
        <v/>
      </c>
      <c r="JD52" s="24" t="str">
        <f t="shared" ca="1" si="152"/>
        <v/>
      </c>
      <c r="JE52" s="24" t="str">
        <f t="shared" ca="1" si="152"/>
        <v/>
      </c>
      <c r="JF52" s="24" t="str">
        <f t="shared" ca="1" si="152"/>
        <v/>
      </c>
      <c r="JG52" s="24" t="str">
        <f t="shared" ca="1" si="152"/>
        <v/>
      </c>
      <c r="JH52" s="24" t="str">
        <f t="shared" ca="1" si="152"/>
        <v/>
      </c>
      <c r="JI52" s="24" t="str">
        <f t="shared" ca="1" si="152"/>
        <v/>
      </c>
      <c r="JJ52" s="24" t="str">
        <f t="shared" ca="1" si="153"/>
        <v/>
      </c>
      <c r="JK52" s="24" t="str">
        <f t="shared" ca="1" si="153"/>
        <v/>
      </c>
      <c r="JL52" s="24" t="str">
        <f t="shared" ca="1" si="153"/>
        <v/>
      </c>
      <c r="JM52" s="24" t="str">
        <f t="shared" ca="1" si="153"/>
        <v/>
      </c>
      <c r="JN52" s="24" t="str">
        <f t="shared" ca="1" si="153"/>
        <v/>
      </c>
      <c r="JO52" s="24" t="str">
        <f t="shared" ca="1" si="153"/>
        <v/>
      </c>
      <c r="JP52" s="24" t="str">
        <f t="shared" ca="1" si="153"/>
        <v/>
      </c>
      <c r="JQ52" s="24" t="str">
        <f t="shared" ca="1" si="153"/>
        <v/>
      </c>
      <c r="JR52" s="24" t="str">
        <f t="shared" ca="1" si="153"/>
        <v/>
      </c>
      <c r="JS52" s="24" t="str">
        <f t="shared" ca="1" si="153"/>
        <v/>
      </c>
      <c r="JT52" s="24" t="str">
        <f t="shared" ca="1" si="154"/>
        <v/>
      </c>
      <c r="JU52" s="24" t="str">
        <f t="shared" ca="1" si="154"/>
        <v/>
      </c>
      <c r="JV52" s="24" t="str">
        <f t="shared" ca="1" si="154"/>
        <v/>
      </c>
      <c r="JW52" s="24" t="str">
        <f t="shared" ca="1" si="154"/>
        <v/>
      </c>
      <c r="JX52" s="24" t="str">
        <f t="shared" ca="1" si="154"/>
        <v/>
      </c>
      <c r="JY52" s="24" t="str">
        <f t="shared" ca="1" si="154"/>
        <v/>
      </c>
      <c r="JZ52" s="24" t="str">
        <f t="shared" ca="1" si="154"/>
        <v/>
      </c>
      <c r="KA52" s="24" t="str">
        <f t="shared" ca="1" si="154"/>
        <v/>
      </c>
      <c r="KB52" s="24" t="str">
        <f t="shared" ca="1" si="154"/>
        <v/>
      </c>
      <c r="KC52" s="24" t="str">
        <f t="shared" ca="1" si="154"/>
        <v/>
      </c>
      <c r="KD52" s="24" t="str">
        <f t="shared" ca="1" si="155"/>
        <v/>
      </c>
      <c r="KE52" s="24" t="str">
        <f t="shared" ca="1" si="155"/>
        <v/>
      </c>
      <c r="KF52" s="24" t="str">
        <f t="shared" ca="1" si="155"/>
        <v/>
      </c>
      <c r="KG52" s="24" t="str">
        <f t="shared" ca="1" si="155"/>
        <v/>
      </c>
      <c r="KH52" s="24" t="str">
        <f t="shared" ca="1" si="155"/>
        <v/>
      </c>
      <c r="KI52" s="24" t="str">
        <f t="shared" ca="1" si="155"/>
        <v/>
      </c>
      <c r="KJ52" s="24" t="str">
        <f t="shared" ca="1" si="155"/>
        <v/>
      </c>
      <c r="KK52" s="24" t="str">
        <f t="shared" ca="1" si="155"/>
        <v/>
      </c>
      <c r="KL52" s="24" t="str">
        <f t="shared" ca="1" si="155"/>
        <v/>
      </c>
      <c r="KM52" s="24" t="str">
        <f t="shared" ca="1" si="155"/>
        <v/>
      </c>
      <c r="KN52" s="24" t="str">
        <f t="shared" ca="1" si="156"/>
        <v/>
      </c>
      <c r="KO52" s="24" t="str">
        <f t="shared" ca="1" si="156"/>
        <v/>
      </c>
      <c r="KP52" s="24" t="str">
        <f t="shared" ca="1" si="156"/>
        <v/>
      </c>
      <c r="KQ52" s="24" t="str">
        <f t="shared" ca="1" si="156"/>
        <v/>
      </c>
      <c r="KR52" s="24" t="str">
        <f t="shared" ca="1" si="156"/>
        <v/>
      </c>
      <c r="KS52" s="24" t="str">
        <f t="shared" ca="1" si="156"/>
        <v/>
      </c>
      <c r="KT52" s="24" t="str">
        <f t="shared" ca="1" si="156"/>
        <v/>
      </c>
      <c r="KU52" s="24" t="str">
        <f t="shared" ca="1" si="156"/>
        <v/>
      </c>
      <c r="KV52" s="24" t="str">
        <f t="shared" ca="1" si="156"/>
        <v/>
      </c>
      <c r="KW52" s="24" t="str">
        <f t="shared" ca="1" si="156"/>
        <v/>
      </c>
      <c r="KX52" s="24" t="str">
        <f t="shared" ca="1" si="157"/>
        <v/>
      </c>
      <c r="KY52" s="24" t="str">
        <f t="shared" ca="1" si="157"/>
        <v/>
      </c>
      <c r="KZ52" s="24" t="str">
        <f t="shared" ca="1" si="157"/>
        <v/>
      </c>
      <c r="LA52" s="24" t="str">
        <f t="shared" ca="1" si="157"/>
        <v/>
      </c>
      <c r="LB52" s="24" t="str">
        <f t="shared" ca="1" si="157"/>
        <v/>
      </c>
      <c r="LC52" s="24" t="str">
        <f t="shared" ca="1" si="157"/>
        <v/>
      </c>
      <c r="LD52" s="24" t="str">
        <f t="shared" ca="1" si="157"/>
        <v/>
      </c>
      <c r="LE52" s="24" t="str">
        <f t="shared" ca="1" si="157"/>
        <v/>
      </c>
      <c r="LF52" s="24" t="str">
        <f t="shared" ca="1" si="157"/>
        <v/>
      </c>
      <c r="LG52" s="24" t="str">
        <f t="shared" ca="1" si="157"/>
        <v/>
      </c>
      <c r="LH52" s="24" t="str">
        <f t="shared" ca="1" si="158"/>
        <v/>
      </c>
      <c r="LI52" s="24" t="str">
        <f t="shared" ca="1" si="158"/>
        <v/>
      </c>
      <c r="LJ52" s="24" t="str">
        <f t="shared" ca="1" si="158"/>
        <v/>
      </c>
      <c r="LK52" s="24" t="str">
        <f t="shared" ca="1" si="158"/>
        <v/>
      </c>
      <c r="LL52" s="24" t="str">
        <f t="shared" ca="1" si="158"/>
        <v/>
      </c>
      <c r="LM52" s="24" t="str">
        <f t="shared" ca="1" si="158"/>
        <v/>
      </c>
      <c r="LN52" s="24" t="str">
        <f t="shared" ca="1" si="158"/>
        <v/>
      </c>
      <c r="LO52" s="24" t="str">
        <f t="shared" ca="1" si="158"/>
        <v/>
      </c>
      <c r="LP52" s="24" t="str">
        <f t="shared" ca="1" si="158"/>
        <v/>
      </c>
      <c r="LQ52" s="24" t="str">
        <f t="shared" ca="1" si="158"/>
        <v/>
      </c>
      <c r="LR52" s="24" t="str">
        <f t="shared" ca="1" si="159"/>
        <v/>
      </c>
      <c r="LS52" s="24" t="str">
        <f t="shared" ca="1" si="159"/>
        <v/>
      </c>
      <c r="LT52" s="24" t="str">
        <f t="shared" ca="1" si="159"/>
        <v/>
      </c>
      <c r="LU52" s="24" t="str">
        <f t="shared" ca="1" si="159"/>
        <v/>
      </c>
      <c r="LV52" s="24" t="str">
        <f t="shared" ca="1" si="159"/>
        <v/>
      </c>
      <c r="LW52" s="24" t="str">
        <f t="shared" ca="1" si="159"/>
        <v/>
      </c>
      <c r="LX52" s="24" t="str">
        <f t="shared" ca="1" si="159"/>
        <v/>
      </c>
      <c r="LY52" s="24" t="str">
        <f t="shared" ca="1" si="159"/>
        <v/>
      </c>
      <c r="LZ52" s="24" t="str">
        <f t="shared" ca="1" si="159"/>
        <v/>
      </c>
      <c r="MA52" s="24" t="str">
        <f t="shared" ca="1" si="159"/>
        <v/>
      </c>
      <c r="MB52" s="24" t="str">
        <f t="shared" ca="1" si="160"/>
        <v/>
      </c>
      <c r="MC52" s="24" t="str">
        <f t="shared" ca="1" si="160"/>
        <v/>
      </c>
      <c r="MD52" s="24" t="str">
        <f t="shared" ca="1" si="160"/>
        <v/>
      </c>
      <c r="ME52" s="24" t="str">
        <f t="shared" ca="1" si="160"/>
        <v/>
      </c>
      <c r="MF52" s="24" t="str">
        <f t="shared" ca="1" si="160"/>
        <v/>
      </c>
      <c r="MG52" s="24" t="str">
        <f t="shared" ca="1" si="160"/>
        <v/>
      </c>
      <c r="MH52" s="24" t="str">
        <f t="shared" ca="1" si="160"/>
        <v/>
      </c>
      <c r="MI52" s="24" t="str">
        <f t="shared" ca="1" si="160"/>
        <v/>
      </c>
      <c r="MJ52" s="24" t="str">
        <f t="shared" ca="1" si="160"/>
        <v/>
      </c>
      <c r="MK52" s="24" t="str">
        <f t="shared" ca="1" si="160"/>
        <v/>
      </c>
      <c r="ML52" s="24" t="str">
        <f t="shared" ca="1" si="161"/>
        <v/>
      </c>
      <c r="MM52" s="24" t="str">
        <f t="shared" ca="1" si="161"/>
        <v/>
      </c>
      <c r="MN52" s="24" t="str">
        <f t="shared" ca="1" si="161"/>
        <v/>
      </c>
      <c r="MO52" s="24" t="str">
        <f t="shared" ca="1" si="161"/>
        <v/>
      </c>
      <c r="MP52" s="24" t="str">
        <f t="shared" ca="1" si="161"/>
        <v/>
      </c>
      <c r="MQ52" s="24" t="str">
        <f t="shared" ca="1" si="161"/>
        <v/>
      </c>
      <c r="MR52" s="24" t="str">
        <f t="shared" ca="1" si="161"/>
        <v/>
      </c>
      <c r="MS52" s="24" t="str">
        <f t="shared" ca="1" si="161"/>
        <v/>
      </c>
      <c r="MT52" s="24" t="str">
        <f t="shared" ca="1" si="161"/>
        <v/>
      </c>
      <c r="MU52" s="24" t="str">
        <f t="shared" ca="1" si="161"/>
        <v/>
      </c>
      <c r="MV52" s="24" t="str">
        <f t="shared" ca="1" si="162"/>
        <v/>
      </c>
      <c r="MW52" s="24" t="str">
        <f t="shared" ca="1" si="162"/>
        <v/>
      </c>
      <c r="MX52" s="24" t="str">
        <f t="shared" ca="1" si="162"/>
        <v/>
      </c>
      <c r="MY52" s="24" t="str">
        <f t="shared" ca="1" si="162"/>
        <v/>
      </c>
      <c r="MZ52" s="24" t="str">
        <f t="shared" ca="1" si="162"/>
        <v/>
      </c>
      <c r="NA52" s="24" t="str">
        <f t="shared" ca="1" si="162"/>
        <v/>
      </c>
      <c r="NB52" s="24" t="str">
        <f t="shared" ca="1" si="162"/>
        <v/>
      </c>
      <c r="NC52" s="24" t="str">
        <f t="shared" ca="1" si="162"/>
        <v/>
      </c>
      <c r="ND52" s="24" t="str">
        <f t="shared" ca="1" si="162"/>
        <v/>
      </c>
      <c r="NE52" s="24" t="str">
        <f t="shared" ca="1" si="162"/>
        <v/>
      </c>
      <c r="NF52" s="24" t="str">
        <f t="shared" ca="1" si="163"/>
        <v/>
      </c>
      <c r="NG52" s="24" t="str">
        <f t="shared" ca="1" si="163"/>
        <v/>
      </c>
      <c r="NH52" s="24" t="str">
        <f t="shared" ca="1" si="163"/>
        <v/>
      </c>
      <c r="NI52" s="24" t="str">
        <f t="shared" ca="1" si="163"/>
        <v/>
      </c>
      <c r="NJ52" s="24" t="str">
        <f t="shared" ca="1" si="163"/>
        <v/>
      </c>
      <c r="NK52" s="24" t="str">
        <f t="shared" ca="1" si="163"/>
        <v/>
      </c>
      <c r="NL52" s="24" t="str">
        <f t="shared" ca="1" si="163"/>
        <v/>
      </c>
      <c r="NM52" s="24" t="str">
        <f t="shared" ca="1" si="163"/>
        <v/>
      </c>
      <c r="NN52" s="24" t="str">
        <f t="shared" ca="1" si="163"/>
        <v/>
      </c>
      <c r="NO52" s="24" t="str">
        <f t="shared" ca="1" si="163"/>
        <v/>
      </c>
      <c r="NP52" s="24" t="str">
        <f t="shared" ca="1" si="164"/>
        <v/>
      </c>
      <c r="NQ52" s="24" t="str">
        <f t="shared" ca="1" si="164"/>
        <v/>
      </c>
      <c r="NR52" s="24" t="str">
        <f t="shared" ca="1" si="164"/>
        <v/>
      </c>
      <c r="NS52" s="24" t="str">
        <f t="shared" ca="1" si="164"/>
        <v/>
      </c>
      <c r="NT52" s="24" t="str">
        <f t="shared" ca="1" si="164"/>
        <v/>
      </c>
      <c r="NU52" s="24" t="str">
        <f t="shared" ca="1" si="164"/>
        <v/>
      </c>
      <c r="NV52" s="24" t="str">
        <f t="shared" ca="1" si="164"/>
        <v/>
      </c>
      <c r="NW52" s="24" t="str">
        <f t="shared" ca="1" si="164"/>
        <v/>
      </c>
      <c r="NX52" s="24" t="str">
        <f t="shared" ca="1" si="164"/>
        <v/>
      </c>
      <c r="NY52" s="24" t="str">
        <f t="shared" ca="1" si="164"/>
        <v/>
      </c>
      <c r="NZ52" s="24" t="str">
        <f t="shared" ca="1" si="165"/>
        <v/>
      </c>
      <c r="OA52" s="24" t="str">
        <f t="shared" ca="1" si="165"/>
        <v/>
      </c>
      <c r="OB52" s="24" t="str">
        <f t="shared" ca="1" si="165"/>
        <v/>
      </c>
      <c r="OC52" s="24" t="str">
        <f t="shared" ca="1" si="165"/>
        <v/>
      </c>
      <c r="OD52" s="24" t="str">
        <f t="shared" ca="1" si="165"/>
        <v/>
      </c>
      <c r="OE52" s="24" t="str">
        <f t="shared" ca="1" si="165"/>
        <v/>
      </c>
      <c r="OF52" s="24" t="str">
        <f t="shared" ca="1" si="165"/>
        <v/>
      </c>
      <c r="OG52" s="24" t="str">
        <f t="shared" ca="1" si="165"/>
        <v/>
      </c>
      <c r="OH52" s="24" t="str">
        <f t="shared" ca="1" si="165"/>
        <v/>
      </c>
      <c r="OI52" s="24" t="str">
        <f t="shared" ca="1" si="165"/>
        <v/>
      </c>
      <c r="OJ52" s="24" t="str">
        <f t="shared" ca="1" si="166"/>
        <v/>
      </c>
      <c r="OK52" s="24" t="str">
        <f t="shared" ca="1" si="166"/>
        <v/>
      </c>
      <c r="OL52" s="24" t="str">
        <f t="shared" ca="1" si="166"/>
        <v/>
      </c>
      <c r="OM52" s="24" t="str">
        <f t="shared" ca="1" si="166"/>
        <v/>
      </c>
      <c r="ON52" s="24" t="str">
        <f t="shared" ca="1" si="166"/>
        <v/>
      </c>
      <c r="OO52" s="24" t="str">
        <f t="shared" ca="1" si="166"/>
        <v/>
      </c>
      <c r="OP52" s="24" t="str">
        <f t="shared" ca="1" si="166"/>
        <v/>
      </c>
      <c r="OQ52" s="24" t="str">
        <f t="shared" ca="1" si="166"/>
        <v/>
      </c>
      <c r="OR52" s="24" t="str">
        <f t="shared" ca="1" si="166"/>
        <v/>
      </c>
      <c r="OS52" s="24" t="str">
        <f t="shared" ca="1" si="166"/>
        <v/>
      </c>
      <c r="OT52" s="24" t="str">
        <f t="shared" ca="1" si="167"/>
        <v/>
      </c>
      <c r="OU52" s="24" t="str">
        <f t="shared" ca="1" si="167"/>
        <v/>
      </c>
      <c r="OV52" s="24" t="str">
        <f t="shared" ca="1" si="167"/>
        <v/>
      </c>
      <c r="OW52" s="24" t="str">
        <f t="shared" ca="1" si="167"/>
        <v/>
      </c>
      <c r="OX52" s="24" t="str">
        <f t="shared" ca="1" si="167"/>
        <v/>
      </c>
      <c r="OY52" s="24" t="str">
        <f t="shared" ca="1" si="167"/>
        <v/>
      </c>
      <c r="OZ52" s="24" t="str">
        <f t="shared" ca="1" si="167"/>
        <v/>
      </c>
      <c r="PA52" s="24" t="str">
        <f t="shared" ca="1" si="167"/>
        <v/>
      </c>
      <c r="PB52" s="24" t="str">
        <f t="shared" ca="1" si="167"/>
        <v/>
      </c>
      <c r="PC52" s="24" t="str">
        <f t="shared" ca="1" si="167"/>
        <v/>
      </c>
      <c r="PD52" s="24" t="str">
        <f t="shared" ca="1" si="168"/>
        <v/>
      </c>
      <c r="PE52" s="24" t="str">
        <f t="shared" ca="1" si="168"/>
        <v/>
      </c>
      <c r="PF52" s="24" t="str">
        <f t="shared" ca="1" si="168"/>
        <v/>
      </c>
      <c r="PG52" s="24" t="str">
        <f t="shared" ca="1" si="168"/>
        <v/>
      </c>
      <c r="PH52" s="24" t="str">
        <f t="shared" ca="1" si="168"/>
        <v/>
      </c>
      <c r="PI52" s="24" t="str">
        <f t="shared" ca="1" si="168"/>
        <v/>
      </c>
      <c r="PJ52" s="24" t="str">
        <f t="shared" ca="1" si="168"/>
        <v/>
      </c>
      <c r="PK52" s="24" t="str">
        <f t="shared" ca="1" si="168"/>
        <v/>
      </c>
      <c r="PL52" s="24" t="str">
        <f t="shared" ca="1" si="168"/>
        <v/>
      </c>
      <c r="PM52" s="24" t="str">
        <f t="shared" ca="1" si="168"/>
        <v/>
      </c>
      <c r="PN52" s="24" t="str">
        <f t="shared" ca="1" si="169"/>
        <v/>
      </c>
      <c r="PO52" s="24" t="str">
        <f t="shared" ca="1" si="169"/>
        <v/>
      </c>
      <c r="PP52" s="24" t="str">
        <f t="shared" ca="1" si="169"/>
        <v/>
      </c>
      <c r="PQ52" s="24" t="str">
        <f t="shared" ca="1" si="169"/>
        <v/>
      </c>
      <c r="PR52" s="24" t="str">
        <f t="shared" ca="1" si="169"/>
        <v/>
      </c>
      <c r="PS52" s="24" t="str">
        <f t="shared" ca="1" si="169"/>
        <v/>
      </c>
      <c r="PT52" s="24" t="str">
        <f t="shared" ca="1" si="169"/>
        <v/>
      </c>
      <c r="PU52" s="24" t="str">
        <f t="shared" ca="1" si="169"/>
        <v/>
      </c>
      <c r="PV52" s="24" t="str">
        <f t="shared" ca="1" si="169"/>
        <v/>
      </c>
      <c r="PW52" s="24" t="str">
        <f t="shared" ca="1" si="169"/>
        <v/>
      </c>
      <c r="PX52" s="24" t="str">
        <f t="shared" ca="1" si="170"/>
        <v/>
      </c>
      <c r="PY52" s="24" t="str">
        <f t="shared" ca="1" si="170"/>
        <v/>
      </c>
      <c r="PZ52" s="24" t="str">
        <f t="shared" ca="1" si="170"/>
        <v/>
      </c>
      <c r="QA52" s="24" t="str">
        <f t="shared" ca="1" si="170"/>
        <v/>
      </c>
      <c r="QB52" s="24" t="str">
        <f t="shared" ca="1" si="170"/>
        <v/>
      </c>
      <c r="QC52" s="24" t="str">
        <f t="shared" ca="1" si="170"/>
        <v/>
      </c>
      <c r="QD52" s="24" t="str">
        <f t="shared" ca="1" si="170"/>
        <v/>
      </c>
      <c r="QE52" s="24" t="str">
        <f t="shared" ca="1" si="170"/>
        <v/>
      </c>
      <c r="QF52" s="24" t="str">
        <f t="shared" ca="1" si="170"/>
        <v/>
      </c>
      <c r="QG52" s="24" t="str">
        <f t="shared" ca="1" si="170"/>
        <v/>
      </c>
      <c r="QH52" s="24" t="str">
        <f t="shared" ca="1" si="171"/>
        <v/>
      </c>
      <c r="QI52" s="24" t="str">
        <f t="shared" ca="1" si="171"/>
        <v/>
      </c>
      <c r="QJ52" s="24" t="str">
        <f t="shared" ca="1" si="171"/>
        <v/>
      </c>
      <c r="QK52" s="24" t="str">
        <f t="shared" ca="1" si="171"/>
        <v/>
      </c>
      <c r="QL52" s="24" t="str">
        <f t="shared" ca="1" si="171"/>
        <v/>
      </c>
      <c r="QM52" s="24" t="str">
        <f t="shared" ca="1" si="171"/>
        <v/>
      </c>
      <c r="QN52" s="24" t="str">
        <f t="shared" ca="1" si="171"/>
        <v/>
      </c>
      <c r="QO52" s="24" t="str">
        <f t="shared" ca="1" si="171"/>
        <v/>
      </c>
      <c r="QP52" s="24" t="str">
        <f t="shared" ca="1" si="171"/>
        <v/>
      </c>
      <c r="QQ52" s="24" t="str">
        <f t="shared" ca="1" si="171"/>
        <v/>
      </c>
      <c r="QR52" s="24" t="str">
        <f t="shared" ca="1" si="172"/>
        <v/>
      </c>
      <c r="QS52" s="24" t="str">
        <f t="shared" ca="1" si="172"/>
        <v/>
      </c>
      <c r="QT52" s="24" t="str">
        <f t="shared" ca="1" si="172"/>
        <v/>
      </c>
      <c r="QU52" s="24" t="str">
        <f t="shared" ca="1" si="172"/>
        <v/>
      </c>
      <c r="QV52" s="24" t="str">
        <f t="shared" ca="1" si="172"/>
        <v/>
      </c>
      <c r="QW52" s="24" t="str">
        <f t="shared" ca="1" si="172"/>
        <v/>
      </c>
      <c r="QX52" s="24" t="str">
        <f t="shared" ca="1" si="172"/>
        <v/>
      </c>
      <c r="QY52" s="24" t="str">
        <f t="shared" ca="1" si="172"/>
        <v/>
      </c>
      <c r="QZ52" s="24" t="str">
        <f t="shared" ca="1" si="172"/>
        <v/>
      </c>
      <c r="RA52" s="24" t="str">
        <f t="shared" ca="1" si="172"/>
        <v/>
      </c>
      <c r="RB52" s="24" t="str">
        <f t="shared" ca="1" si="173"/>
        <v/>
      </c>
      <c r="RC52" s="24" t="str">
        <f t="shared" ca="1" si="173"/>
        <v/>
      </c>
      <c r="RD52" s="24" t="str">
        <f t="shared" ca="1" si="173"/>
        <v/>
      </c>
      <c r="RE52" s="24" t="str">
        <f t="shared" ca="1" si="173"/>
        <v/>
      </c>
      <c r="RF52" s="24" t="str">
        <f t="shared" ca="1" si="173"/>
        <v/>
      </c>
      <c r="RG52" s="24" t="str">
        <f t="shared" ca="1" si="173"/>
        <v/>
      </c>
      <c r="RH52" s="24" t="str">
        <f t="shared" ca="1" si="173"/>
        <v/>
      </c>
      <c r="RI52" s="24" t="str">
        <f t="shared" ca="1" si="173"/>
        <v/>
      </c>
      <c r="RJ52" s="24" t="str">
        <f t="shared" ca="1" si="173"/>
        <v/>
      </c>
      <c r="RK52" s="24" t="str">
        <f t="shared" ca="1" si="173"/>
        <v/>
      </c>
      <c r="RL52" s="24" t="str">
        <f t="shared" ca="1" si="174"/>
        <v/>
      </c>
      <c r="RM52" s="24" t="str">
        <f t="shared" ca="1" si="174"/>
        <v/>
      </c>
      <c r="RN52" s="24" t="str">
        <f t="shared" ca="1" si="174"/>
        <v/>
      </c>
      <c r="RO52" s="24" t="str">
        <f t="shared" ca="1" si="174"/>
        <v/>
      </c>
      <c r="RP52" s="24" t="str">
        <f t="shared" ca="1" si="174"/>
        <v/>
      </c>
      <c r="RQ52" s="24" t="str">
        <f t="shared" ca="1" si="174"/>
        <v/>
      </c>
      <c r="RR52" s="24" t="str">
        <f t="shared" ca="1" si="174"/>
        <v/>
      </c>
      <c r="RS52" s="24" t="str">
        <f t="shared" ca="1" si="174"/>
        <v/>
      </c>
      <c r="RT52" s="24" t="str">
        <f t="shared" ca="1" si="174"/>
        <v/>
      </c>
      <c r="RU52" s="24" t="str">
        <f t="shared" ca="1" si="174"/>
        <v/>
      </c>
      <c r="RV52" s="24" t="str">
        <f t="shared" ca="1" si="175"/>
        <v/>
      </c>
      <c r="RW52" s="24" t="str">
        <f t="shared" ca="1" si="175"/>
        <v/>
      </c>
      <c r="RX52" s="24" t="str">
        <f t="shared" ca="1" si="175"/>
        <v/>
      </c>
      <c r="RY52" s="24" t="str">
        <f t="shared" ca="1" si="175"/>
        <v/>
      </c>
      <c r="RZ52" s="24" t="str">
        <f t="shared" ca="1" si="175"/>
        <v/>
      </c>
      <c r="SA52" s="24" t="str">
        <f t="shared" ca="1" si="175"/>
        <v/>
      </c>
      <c r="SB52" s="24" t="str">
        <f t="shared" ca="1" si="175"/>
        <v/>
      </c>
      <c r="SC52" s="24" t="str">
        <f t="shared" ca="1" si="175"/>
        <v/>
      </c>
      <c r="SD52" s="24" t="str">
        <f t="shared" ca="1" si="175"/>
        <v/>
      </c>
      <c r="SE52" s="24" t="str">
        <f t="shared" ca="1" si="175"/>
        <v/>
      </c>
      <c r="SF52" s="24" t="str">
        <f t="shared" ca="1" si="176"/>
        <v/>
      </c>
      <c r="SG52" s="24" t="str">
        <f t="shared" ca="1" si="176"/>
        <v/>
      </c>
      <c r="SH52" s="24" t="str">
        <f t="shared" ca="1" si="176"/>
        <v/>
      </c>
      <c r="SI52" s="24" t="str">
        <f t="shared" ca="1" si="176"/>
        <v/>
      </c>
      <c r="SJ52" s="24" t="str">
        <f t="shared" ca="1" si="176"/>
        <v/>
      </c>
      <c r="SK52" s="24" t="str">
        <f t="shared" ca="1" si="176"/>
        <v/>
      </c>
      <c r="SL52" s="24" t="str">
        <f t="shared" ca="1" si="176"/>
        <v/>
      </c>
      <c r="SM52" s="24" t="str">
        <f t="shared" ca="1" si="176"/>
        <v/>
      </c>
      <c r="SN52" s="24" t="str">
        <f t="shared" ca="1" si="176"/>
        <v/>
      </c>
      <c r="SO52" s="24" t="str">
        <f t="shared" ca="1" si="176"/>
        <v/>
      </c>
      <c r="SP52" s="24" t="str">
        <f t="shared" ca="1" si="177"/>
        <v/>
      </c>
      <c r="SQ52" s="24" t="str">
        <f t="shared" ca="1" si="177"/>
        <v/>
      </c>
      <c r="SR52" s="24" t="str">
        <f t="shared" ca="1" si="177"/>
        <v/>
      </c>
      <c r="SS52" s="24" t="str">
        <f t="shared" ca="1" si="177"/>
        <v/>
      </c>
      <c r="ST52" s="24" t="str">
        <f t="shared" ca="1" si="177"/>
        <v/>
      </c>
      <c r="SU52" s="24" t="str">
        <f t="shared" ca="1" si="177"/>
        <v/>
      </c>
      <c r="SV52" s="24" t="str">
        <f t="shared" ca="1" si="177"/>
        <v/>
      </c>
      <c r="SW52" s="24" t="str">
        <f t="shared" ca="1" si="177"/>
        <v/>
      </c>
      <c r="SX52" s="24" t="str">
        <f t="shared" ca="1" si="177"/>
        <v/>
      </c>
      <c r="SY52" s="24" t="str">
        <f t="shared" ca="1" si="177"/>
        <v/>
      </c>
      <c r="SZ52" s="24" t="str">
        <f t="shared" ca="1" si="178"/>
        <v/>
      </c>
      <c r="TA52" s="24" t="str">
        <f t="shared" ca="1" si="178"/>
        <v/>
      </c>
      <c r="TB52" s="24" t="str">
        <f t="shared" ca="1" si="178"/>
        <v/>
      </c>
      <c r="TC52" s="24" t="str">
        <f t="shared" ca="1" si="178"/>
        <v/>
      </c>
      <c r="TD52" s="24" t="str">
        <f t="shared" ca="1" si="178"/>
        <v/>
      </c>
      <c r="TE52" s="24" t="str">
        <f t="shared" ca="1" si="178"/>
        <v/>
      </c>
      <c r="TF52" s="24" t="str">
        <f t="shared" ca="1" si="178"/>
        <v/>
      </c>
      <c r="TG52" s="24" t="str">
        <f t="shared" ca="1" si="178"/>
        <v/>
      </c>
      <c r="TH52" s="24" t="str">
        <f t="shared" ca="1" si="178"/>
        <v/>
      </c>
      <c r="TI52" s="24" t="str">
        <f t="shared" ca="1" si="178"/>
        <v/>
      </c>
      <c r="TJ52" s="24" t="str">
        <f t="shared" ca="1" si="179"/>
        <v/>
      </c>
      <c r="TK52" s="24" t="str">
        <f t="shared" ca="1" si="179"/>
        <v/>
      </c>
      <c r="TL52" s="24" t="str">
        <f t="shared" ca="1" si="179"/>
        <v/>
      </c>
      <c r="TM52" s="24" t="str">
        <f t="shared" ca="1" si="179"/>
        <v/>
      </c>
      <c r="TN52" s="24" t="str">
        <f t="shared" ca="1" si="179"/>
        <v/>
      </c>
      <c r="TO52" s="24" t="str">
        <f t="shared" ca="1" si="179"/>
        <v/>
      </c>
      <c r="TP52" s="24" t="str">
        <f t="shared" ca="1" si="179"/>
        <v/>
      </c>
      <c r="TQ52" s="24" t="str">
        <f t="shared" ca="1" si="179"/>
        <v/>
      </c>
      <c r="TR52" s="24" t="str">
        <f t="shared" ca="1" si="179"/>
        <v/>
      </c>
      <c r="TS52" s="24" t="str">
        <f t="shared" ca="1" si="179"/>
        <v/>
      </c>
      <c r="TT52" s="24" t="str">
        <f t="shared" ca="1" si="180"/>
        <v/>
      </c>
      <c r="TU52" s="24" t="str">
        <f t="shared" ca="1" si="180"/>
        <v/>
      </c>
      <c r="TV52" s="24" t="str">
        <f t="shared" ca="1" si="180"/>
        <v/>
      </c>
      <c r="TW52" s="24" t="str">
        <f t="shared" ca="1" si="180"/>
        <v/>
      </c>
      <c r="TX52" s="24" t="str">
        <f t="shared" ca="1" si="180"/>
        <v/>
      </c>
      <c r="TY52" s="24" t="str">
        <f t="shared" ca="1" si="180"/>
        <v/>
      </c>
      <c r="TZ52" s="24" t="str">
        <f t="shared" ca="1" si="180"/>
        <v/>
      </c>
      <c r="UA52" s="24" t="str">
        <f t="shared" ca="1" si="180"/>
        <v/>
      </c>
      <c r="UB52" s="24" t="str">
        <f t="shared" ca="1" si="180"/>
        <v/>
      </c>
      <c r="UC52" s="24" t="str">
        <f t="shared" ca="1" si="180"/>
        <v/>
      </c>
      <c r="UD52" s="24" t="str">
        <f t="shared" ca="1" si="181"/>
        <v/>
      </c>
      <c r="UE52" s="24" t="str">
        <f t="shared" ca="1" si="181"/>
        <v/>
      </c>
      <c r="UF52" s="24" t="str">
        <f t="shared" ca="1" si="181"/>
        <v/>
      </c>
      <c r="UG52" s="24" t="str">
        <f t="shared" ca="1" si="181"/>
        <v/>
      </c>
      <c r="UH52" s="24" t="str">
        <f t="shared" ca="1" si="181"/>
        <v/>
      </c>
      <c r="UI52" s="24" t="str">
        <f t="shared" ca="1" si="181"/>
        <v/>
      </c>
      <c r="UJ52" s="24" t="str">
        <f t="shared" ca="1" si="181"/>
        <v/>
      </c>
      <c r="UK52" s="24" t="str">
        <f t="shared" ca="1" si="181"/>
        <v/>
      </c>
      <c r="UL52" s="24" t="str">
        <f t="shared" ca="1" si="181"/>
        <v/>
      </c>
      <c r="UM52" s="24" t="str">
        <f t="shared" ca="1" si="181"/>
        <v/>
      </c>
      <c r="UN52" s="24" t="str">
        <f t="shared" ca="1" si="182"/>
        <v/>
      </c>
      <c r="UO52" s="24" t="str">
        <f t="shared" ca="1" si="182"/>
        <v/>
      </c>
      <c r="UP52" s="24" t="str">
        <f t="shared" ca="1" si="182"/>
        <v/>
      </c>
      <c r="UQ52" s="24" t="str">
        <f t="shared" ca="1" si="182"/>
        <v/>
      </c>
      <c r="UR52" s="24" t="str">
        <f t="shared" ca="1" si="182"/>
        <v/>
      </c>
      <c r="US52" s="24" t="str">
        <f t="shared" ca="1" si="182"/>
        <v/>
      </c>
      <c r="UT52" s="24" t="str">
        <f t="shared" ca="1" si="182"/>
        <v/>
      </c>
      <c r="UU52" s="24" t="str">
        <f t="shared" ca="1" si="182"/>
        <v/>
      </c>
      <c r="UV52" s="24" t="str">
        <f t="shared" ca="1" si="182"/>
        <v/>
      </c>
      <c r="UW52" s="24" t="str">
        <f t="shared" ca="1" si="182"/>
        <v/>
      </c>
      <c r="UX52" s="24" t="str">
        <f t="shared" ca="1" si="183"/>
        <v/>
      </c>
      <c r="UY52" s="24" t="str">
        <f t="shared" ca="1" si="183"/>
        <v/>
      </c>
      <c r="UZ52" s="24" t="str">
        <f t="shared" ca="1" si="183"/>
        <v/>
      </c>
      <c r="VA52" s="24" t="str">
        <f t="shared" ca="1" si="183"/>
        <v/>
      </c>
      <c r="VB52" s="24" t="str">
        <f t="shared" ca="1" si="183"/>
        <v/>
      </c>
      <c r="VC52" s="24" t="str">
        <f t="shared" ca="1" si="183"/>
        <v/>
      </c>
      <c r="VD52" s="24" t="str">
        <f t="shared" ca="1" si="183"/>
        <v/>
      </c>
      <c r="VE52" s="24" t="str">
        <f t="shared" ca="1" si="183"/>
        <v/>
      </c>
      <c r="VF52" s="24" t="str">
        <f t="shared" ca="1" si="183"/>
        <v/>
      </c>
      <c r="VG52" s="24" t="str">
        <f t="shared" ca="1" si="183"/>
        <v/>
      </c>
      <c r="VH52" s="24" t="str">
        <f t="shared" ca="1" si="184"/>
        <v/>
      </c>
      <c r="VI52" s="24" t="str">
        <f t="shared" ca="1" si="184"/>
        <v/>
      </c>
      <c r="VJ52" s="24" t="str">
        <f t="shared" ca="1" si="184"/>
        <v/>
      </c>
      <c r="VK52" s="24" t="str">
        <f t="shared" ca="1" si="184"/>
        <v/>
      </c>
      <c r="VL52" s="24" t="str">
        <f t="shared" ca="1" si="184"/>
        <v/>
      </c>
      <c r="VM52" s="24" t="str">
        <f t="shared" ca="1" si="184"/>
        <v/>
      </c>
      <c r="VN52" s="24" t="str">
        <f t="shared" ca="1" si="184"/>
        <v/>
      </c>
      <c r="VO52" s="24" t="str">
        <f t="shared" ca="1" si="184"/>
        <v/>
      </c>
      <c r="VP52" s="24" t="str">
        <f t="shared" ca="1" si="184"/>
        <v/>
      </c>
      <c r="VQ52" s="24" t="str">
        <f t="shared" ca="1" si="184"/>
        <v/>
      </c>
      <c r="VR52" s="24" t="str">
        <f t="shared" ca="1" si="184"/>
        <v/>
      </c>
      <c r="VS52" s="24" t="str">
        <f t="shared" ca="1" si="184"/>
        <v/>
      </c>
    </row>
    <row r="53" spans="1:591" s="17" customFormat="1" ht="21.6" customHeight="1" x14ac:dyDescent="0.3">
      <c r="A53" s="81"/>
      <c r="B53" s="42" t="e">
        <f>'CoS Tracker'!#REF!</f>
        <v>#REF!</v>
      </c>
      <c r="C53" s="19" t="s">
        <v>72</v>
      </c>
      <c r="D53" s="19"/>
      <c r="E53" s="27">
        <v>0.33</v>
      </c>
      <c r="F53" s="26">
        <f>F52+5</f>
        <v>46008</v>
      </c>
      <c r="G53" s="26">
        <f>Milestones43524[[#This Row],[Start]]+Milestones43524[[#This Row],[Days]]</f>
        <v>46019</v>
      </c>
      <c r="H53" s="25">
        <v>11</v>
      </c>
      <c r="I53" s="19"/>
      <c r="J53" s="24" t="str">
        <f t="shared" ca="1" si="127"/>
        <v/>
      </c>
      <c r="K53" s="24" t="str">
        <f t="shared" ca="1" si="127"/>
        <v/>
      </c>
      <c r="L53" s="24" t="str">
        <f t="shared" ca="1" si="127"/>
        <v/>
      </c>
      <c r="M53" s="24" t="str">
        <f t="shared" ca="1" si="127"/>
        <v/>
      </c>
      <c r="N53" s="24" t="str">
        <f t="shared" ca="1" si="127"/>
        <v/>
      </c>
      <c r="O53" s="24" t="str">
        <f t="shared" ca="1" si="127"/>
        <v/>
      </c>
      <c r="P53" s="24" t="str">
        <f t="shared" ca="1" si="127"/>
        <v/>
      </c>
      <c r="Q53" s="24" t="str">
        <f t="shared" ca="1" si="127"/>
        <v/>
      </c>
      <c r="R53" s="24" t="str">
        <f t="shared" ca="1" si="127"/>
        <v/>
      </c>
      <c r="S53" s="24" t="str">
        <f t="shared" ca="1" si="127"/>
        <v/>
      </c>
      <c r="T53" s="24" t="str">
        <f t="shared" ca="1" si="128"/>
        <v/>
      </c>
      <c r="U53" s="24" t="str">
        <f t="shared" ca="1" si="128"/>
        <v/>
      </c>
      <c r="V53" s="24" t="str">
        <f t="shared" ca="1" si="128"/>
        <v/>
      </c>
      <c r="W53" s="24" t="str">
        <f t="shared" ca="1" si="128"/>
        <v/>
      </c>
      <c r="X53" s="24" t="str">
        <f t="shared" ca="1" si="128"/>
        <v/>
      </c>
      <c r="Y53" s="24" t="str">
        <f t="shared" ca="1" si="128"/>
        <v/>
      </c>
      <c r="Z53" s="24" t="str">
        <f t="shared" ca="1" si="128"/>
        <v/>
      </c>
      <c r="AA53" s="24" t="str">
        <f t="shared" ca="1" si="128"/>
        <v/>
      </c>
      <c r="AB53" s="24" t="str">
        <f t="shared" ca="1" si="128"/>
        <v/>
      </c>
      <c r="AC53" s="24" t="str">
        <f t="shared" ca="1" si="128"/>
        <v/>
      </c>
      <c r="AD53" s="24" t="str">
        <f t="shared" ca="1" si="129"/>
        <v/>
      </c>
      <c r="AE53" s="24" t="str">
        <f t="shared" ca="1" si="129"/>
        <v/>
      </c>
      <c r="AF53" s="24" t="str">
        <f t="shared" ca="1" si="129"/>
        <v/>
      </c>
      <c r="AG53" s="24" t="str">
        <f t="shared" ca="1" si="129"/>
        <v/>
      </c>
      <c r="AH53" s="24" t="str">
        <f t="shared" ca="1" si="129"/>
        <v/>
      </c>
      <c r="AI53" s="24" t="str">
        <f t="shared" ca="1" si="129"/>
        <v/>
      </c>
      <c r="AJ53" s="24" t="str">
        <f t="shared" ca="1" si="129"/>
        <v/>
      </c>
      <c r="AK53" s="24" t="str">
        <f t="shared" ca="1" si="129"/>
        <v/>
      </c>
      <c r="AL53" s="24" t="str">
        <f t="shared" ca="1" si="129"/>
        <v/>
      </c>
      <c r="AM53" s="24" t="str">
        <f t="shared" ca="1" si="129"/>
        <v/>
      </c>
      <c r="AN53" s="24" t="str">
        <f t="shared" ca="1" si="130"/>
        <v/>
      </c>
      <c r="AO53" s="24" t="str">
        <f t="shared" ca="1" si="130"/>
        <v/>
      </c>
      <c r="AP53" s="24" t="str">
        <f t="shared" ca="1" si="130"/>
        <v/>
      </c>
      <c r="AQ53" s="24" t="str">
        <f t="shared" ca="1" si="130"/>
        <v/>
      </c>
      <c r="AR53" s="24" t="str">
        <f t="shared" ca="1" si="130"/>
        <v/>
      </c>
      <c r="AS53" s="24" t="str">
        <f t="shared" ca="1" si="130"/>
        <v/>
      </c>
      <c r="AT53" s="24" t="str">
        <f t="shared" ca="1" si="130"/>
        <v/>
      </c>
      <c r="AU53" s="24" t="str">
        <f t="shared" ca="1" si="130"/>
        <v/>
      </c>
      <c r="AV53" s="24" t="str">
        <f t="shared" ca="1" si="130"/>
        <v/>
      </c>
      <c r="AW53" s="24" t="str">
        <f t="shared" ca="1" si="130"/>
        <v/>
      </c>
      <c r="AX53" s="24" t="str">
        <f t="shared" ca="1" si="131"/>
        <v/>
      </c>
      <c r="AY53" s="24" t="str">
        <f t="shared" ca="1" si="131"/>
        <v/>
      </c>
      <c r="AZ53" s="24" t="str">
        <f t="shared" ca="1" si="131"/>
        <v/>
      </c>
      <c r="BA53" s="24" t="str">
        <f t="shared" ca="1" si="131"/>
        <v/>
      </c>
      <c r="BB53" s="24" t="str">
        <f t="shared" ca="1" si="131"/>
        <v/>
      </c>
      <c r="BC53" s="24" t="str">
        <f t="shared" ca="1" si="131"/>
        <v/>
      </c>
      <c r="BD53" s="24" t="str">
        <f t="shared" ca="1" si="131"/>
        <v/>
      </c>
      <c r="BE53" s="24" t="str">
        <f t="shared" ca="1" si="131"/>
        <v/>
      </c>
      <c r="BF53" s="24" t="str">
        <f t="shared" ca="1" si="131"/>
        <v/>
      </c>
      <c r="BG53" s="24" t="str">
        <f t="shared" ca="1" si="131"/>
        <v/>
      </c>
      <c r="BH53" s="24" t="str">
        <f t="shared" ca="1" si="132"/>
        <v/>
      </c>
      <c r="BI53" s="24" t="str">
        <f t="shared" ca="1" si="132"/>
        <v/>
      </c>
      <c r="BJ53" s="24" t="str">
        <f t="shared" ca="1" si="132"/>
        <v/>
      </c>
      <c r="BK53" s="24" t="str">
        <f t="shared" ca="1" si="132"/>
        <v/>
      </c>
      <c r="BL53" s="24" t="str">
        <f t="shared" ca="1" si="132"/>
        <v/>
      </c>
      <c r="BM53" s="24" t="str">
        <f t="shared" ca="1" si="132"/>
        <v/>
      </c>
      <c r="BN53" s="24" t="str">
        <f t="shared" ca="1" si="132"/>
        <v/>
      </c>
      <c r="BO53" s="24" t="str">
        <f t="shared" ca="1" si="132"/>
        <v/>
      </c>
      <c r="BP53" s="24" t="str">
        <f t="shared" ca="1" si="132"/>
        <v/>
      </c>
      <c r="BQ53" s="24" t="str">
        <f t="shared" ca="1" si="132"/>
        <v/>
      </c>
      <c r="BR53" s="24" t="str">
        <f t="shared" ca="1" si="133"/>
        <v/>
      </c>
      <c r="BS53" s="24" t="str">
        <f t="shared" ca="1" si="133"/>
        <v/>
      </c>
      <c r="BT53" s="24" t="str">
        <f t="shared" ca="1" si="133"/>
        <v/>
      </c>
      <c r="BU53" s="24" t="str">
        <f t="shared" ca="1" si="133"/>
        <v/>
      </c>
      <c r="BV53" s="24" t="str">
        <f t="shared" ca="1" si="133"/>
        <v/>
      </c>
      <c r="BW53" s="24" t="str">
        <f t="shared" ca="1" si="133"/>
        <v/>
      </c>
      <c r="BX53" s="24" t="str">
        <f t="shared" ca="1" si="133"/>
        <v/>
      </c>
      <c r="BY53" s="24" t="str">
        <f t="shared" ca="1" si="133"/>
        <v/>
      </c>
      <c r="BZ53" s="24" t="str">
        <f t="shared" ca="1" si="133"/>
        <v/>
      </c>
      <c r="CA53" s="24" t="str">
        <f t="shared" ca="1" si="133"/>
        <v/>
      </c>
      <c r="CB53" s="24" t="str">
        <f t="shared" ca="1" si="134"/>
        <v/>
      </c>
      <c r="CC53" s="24" t="str">
        <f t="shared" ca="1" si="134"/>
        <v/>
      </c>
      <c r="CD53" s="24" t="str">
        <f t="shared" ca="1" si="134"/>
        <v/>
      </c>
      <c r="CE53" s="24" t="str">
        <f t="shared" ca="1" si="134"/>
        <v/>
      </c>
      <c r="CF53" s="24" t="str">
        <f t="shared" ca="1" si="134"/>
        <v/>
      </c>
      <c r="CG53" s="24" t="str">
        <f t="shared" ca="1" si="134"/>
        <v/>
      </c>
      <c r="CH53" s="24" t="str">
        <f t="shared" ca="1" si="134"/>
        <v/>
      </c>
      <c r="CI53" s="24" t="str">
        <f t="shared" ca="1" si="134"/>
        <v/>
      </c>
      <c r="CJ53" s="24" t="str">
        <f t="shared" ca="1" si="134"/>
        <v/>
      </c>
      <c r="CK53" s="24" t="str">
        <f t="shared" ca="1" si="134"/>
        <v/>
      </c>
      <c r="CL53" s="24" t="str">
        <f t="shared" ca="1" si="135"/>
        <v/>
      </c>
      <c r="CM53" s="24" t="str">
        <f t="shared" ca="1" si="135"/>
        <v/>
      </c>
      <c r="CN53" s="24" t="str">
        <f t="shared" ca="1" si="135"/>
        <v/>
      </c>
      <c r="CO53" s="24" t="str">
        <f t="shared" ca="1" si="135"/>
        <v/>
      </c>
      <c r="CP53" s="24" t="str">
        <f t="shared" ca="1" si="135"/>
        <v/>
      </c>
      <c r="CQ53" s="24" t="str">
        <f t="shared" ca="1" si="135"/>
        <v/>
      </c>
      <c r="CR53" s="24" t="str">
        <f t="shared" ca="1" si="135"/>
        <v/>
      </c>
      <c r="CS53" s="24" t="str">
        <f t="shared" ca="1" si="135"/>
        <v/>
      </c>
      <c r="CT53" s="24" t="str">
        <f t="shared" ca="1" si="135"/>
        <v/>
      </c>
      <c r="CU53" s="24" t="str">
        <f t="shared" ca="1" si="135"/>
        <v/>
      </c>
      <c r="CV53" s="24" t="str">
        <f t="shared" ca="1" si="136"/>
        <v/>
      </c>
      <c r="CW53" s="24" t="str">
        <f t="shared" ca="1" si="136"/>
        <v/>
      </c>
      <c r="CX53" s="24" t="str">
        <f t="shared" ca="1" si="136"/>
        <v/>
      </c>
      <c r="CY53" s="24" t="str">
        <f t="shared" ca="1" si="136"/>
        <v/>
      </c>
      <c r="CZ53" s="24" t="str">
        <f t="shared" ca="1" si="136"/>
        <v/>
      </c>
      <c r="DA53" s="24" t="str">
        <f t="shared" ca="1" si="136"/>
        <v/>
      </c>
      <c r="DB53" s="24" t="str">
        <f t="shared" ca="1" si="136"/>
        <v/>
      </c>
      <c r="DC53" s="24" t="str">
        <f t="shared" ca="1" si="136"/>
        <v/>
      </c>
      <c r="DD53" s="24" t="str">
        <f t="shared" ca="1" si="136"/>
        <v/>
      </c>
      <c r="DE53" s="24" t="str">
        <f t="shared" ca="1" si="136"/>
        <v/>
      </c>
      <c r="DF53" s="24" t="str">
        <f t="shared" ca="1" si="137"/>
        <v/>
      </c>
      <c r="DG53" s="24" t="str">
        <f t="shared" ca="1" si="137"/>
        <v/>
      </c>
      <c r="DH53" s="24" t="str">
        <f t="shared" ca="1" si="137"/>
        <v/>
      </c>
      <c r="DI53" s="24" t="str">
        <f t="shared" ca="1" si="137"/>
        <v/>
      </c>
      <c r="DJ53" s="24" t="str">
        <f t="shared" ca="1" si="137"/>
        <v/>
      </c>
      <c r="DK53" s="24" t="str">
        <f t="shared" ca="1" si="137"/>
        <v/>
      </c>
      <c r="DL53" s="24" t="str">
        <f t="shared" ca="1" si="137"/>
        <v/>
      </c>
      <c r="DM53" s="24" t="str">
        <f t="shared" ca="1" si="137"/>
        <v/>
      </c>
      <c r="DN53" s="24" t="str">
        <f t="shared" ca="1" si="137"/>
        <v/>
      </c>
      <c r="DO53" s="24" t="str">
        <f t="shared" ca="1" si="137"/>
        <v/>
      </c>
      <c r="DP53" s="24" t="str">
        <f t="shared" ca="1" si="138"/>
        <v/>
      </c>
      <c r="DQ53" s="24" t="str">
        <f t="shared" ca="1" si="138"/>
        <v/>
      </c>
      <c r="DR53" s="24" t="str">
        <f t="shared" ca="1" si="138"/>
        <v/>
      </c>
      <c r="DS53" s="24" t="str">
        <f t="shared" ca="1" si="138"/>
        <v/>
      </c>
      <c r="DT53" s="24" t="str">
        <f t="shared" ca="1" si="138"/>
        <v/>
      </c>
      <c r="DU53" s="24" t="str">
        <f t="shared" ca="1" si="138"/>
        <v/>
      </c>
      <c r="DV53" s="24" t="str">
        <f t="shared" ca="1" si="138"/>
        <v/>
      </c>
      <c r="DW53" s="24" t="str">
        <f t="shared" ca="1" si="138"/>
        <v/>
      </c>
      <c r="DX53" s="24" t="str">
        <f t="shared" ca="1" si="138"/>
        <v/>
      </c>
      <c r="DY53" s="24" t="str">
        <f t="shared" ca="1" si="138"/>
        <v/>
      </c>
      <c r="DZ53" s="24" t="str">
        <f t="shared" ca="1" si="139"/>
        <v/>
      </c>
      <c r="EA53" s="24" t="str">
        <f t="shared" ca="1" si="139"/>
        <v/>
      </c>
      <c r="EB53" s="24" t="str">
        <f t="shared" ca="1" si="139"/>
        <v/>
      </c>
      <c r="EC53" s="24" t="str">
        <f t="shared" ca="1" si="139"/>
        <v/>
      </c>
      <c r="ED53" s="24" t="str">
        <f t="shared" ca="1" si="139"/>
        <v/>
      </c>
      <c r="EE53" s="24" t="str">
        <f t="shared" ca="1" si="139"/>
        <v/>
      </c>
      <c r="EF53" s="24" t="str">
        <f t="shared" ca="1" si="139"/>
        <v/>
      </c>
      <c r="EG53" s="24" t="str">
        <f t="shared" ca="1" si="139"/>
        <v/>
      </c>
      <c r="EH53" s="24" t="str">
        <f t="shared" ca="1" si="139"/>
        <v/>
      </c>
      <c r="EI53" s="24" t="str">
        <f t="shared" ca="1" si="139"/>
        <v/>
      </c>
      <c r="EJ53" s="24" t="str">
        <f t="shared" ca="1" si="140"/>
        <v/>
      </c>
      <c r="EK53" s="24" t="str">
        <f t="shared" ca="1" si="140"/>
        <v/>
      </c>
      <c r="EL53" s="24" t="str">
        <f t="shared" ca="1" si="140"/>
        <v/>
      </c>
      <c r="EM53" s="24" t="str">
        <f t="shared" ca="1" si="140"/>
        <v/>
      </c>
      <c r="EN53" s="24" t="str">
        <f t="shared" ca="1" si="140"/>
        <v/>
      </c>
      <c r="EO53" s="24" t="str">
        <f t="shared" ca="1" si="140"/>
        <v/>
      </c>
      <c r="EP53" s="24" t="str">
        <f t="shared" ca="1" si="140"/>
        <v/>
      </c>
      <c r="EQ53" s="24" t="str">
        <f t="shared" ca="1" si="140"/>
        <v/>
      </c>
      <c r="ER53" s="24" t="str">
        <f t="shared" ca="1" si="140"/>
        <v/>
      </c>
      <c r="ES53" s="24" t="str">
        <f t="shared" ca="1" si="140"/>
        <v/>
      </c>
      <c r="ET53" s="24" t="str">
        <f t="shared" ca="1" si="141"/>
        <v/>
      </c>
      <c r="EU53" s="24" t="str">
        <f t="shared" ca="1" si="141"/>
        <v/>
      </c>
      <c r="EV53" s="24" t="str">
        <f t="shared" ca="1" si="141"/>
        <v/>
      </c>
      <c r="EW53" s="24" t="str">
        <f t="shared" ca="1" si="141"/>
        <v/>
      </c>
      <c r="EX53" s="24" t="str">
        <f t="shared" ca="1" si="141"/>
        <v/>
      </c>
      <c r="EY53" s="24" t="str">
        <f t="shared" ca="1" si="141"/>
        <v/>
      </c>
      <c r="EZ53" s="24" t="str">
        <f t="shared" ca="1" si="141"/>
        <v/>
      </c>
      <c r="FA53" s="24" t="str">
        <f t="shared" ca="1" si="141"/>
        <v/>
      </c>
      <c r="FB53" s="24" t="str">
        <f t="shared" ca="1" si="141"/>
        <v/>
      </c>
      <c r="FC53" s="24" t="str">
        <f t="shared" ca="1" si="141"/>
        <v/>
      </c>
      <c r="FD53" s="24" t="str">
        <f t="shared" ca="1" si="142"/>
        <v/>
      </c>
      <c r="FE53" s="24" t="str">
        <f t="shared" ca="1" si="142"/>
        <v/>
      </c>
      <c r="FF53" s="24" t="str">
        <f t="shared" ca="1" si="142"/>
        <v/>
      </c>
      <c r="FG53" s="24" t="str">
        <f t="shared" ca="1" si="142"/>
        <v/>
      </c>
      <c r="FH53" s="24" t="str">
        <f t="shared" ca="1" si="142"/>
        <v/>
      </c>
      <c r="FI53" s="24" t="str">
        <f t="shared" ca="1" si="142"/>
        <v/>
      </c>
      <c r="FJ53" s="24" t="str">
        <f t="shared" ca="1" si="142"/>
        <v/>
      </c>
      <c r="FK53" s="24" t="str">
        <f t="shared" ca="1" si="142"/>
        <v/>
      </c>
      <c r="FL53" s="24" t="str">
        <f t="shared" ca="1" si="142"/>
        <v/>
      </c>
      <c r="FM53" s="24" t="str">
        <f t="shared" ca="1" si="142"/>
        <v/>
      </c>
      <c r="FN53" s="24" t="str">
        <f t="shared" ca="1" si="143"/>
        <v/>
      </c>
      <c r="FO53" s="24" t="str">
        <f t="shared" ca="1" si="143"/>
        <v/>
      </c>
      <c r="FP53" s="24" t="str">
        <f t="shared" ca="1" si="143"/>
        <v/>
      </c>
      <c r="FQ53" s="24" t="str">
        <f t="shared" ca="1" si="143"/>
        <v/>
      </c>
      <c r="FR53" s="24" t="str">
        <f t="shared" ca="1" si="143"/>
        <v/>
      </c>
      <c r="FS53" s="24" t="str">
        <f t="shared" ca="1" si="143"/>
        <v/>
      </c>
      <c r="FT53" s="24" t="str">
        <f t="shared" ca="1" si="143"/>
        <v/>
      </c>
      <c r="FU53" s="24" t="str">
        <f t="shared" ca="1" si="143"/>
        <v/>
      </c>
      <c r="FV53" s="24" t="str">
        <f t="shared" ca="1" si="143"/>
        <v/>
      </c>
      <c r="FW53" s="24" t="str">
        <f t="shared" ca="1" si="143"/>
        <v/>
      </c>
      <c r="FX53" s="24" t="str">
        <f t="shared" ca="1" si="144"/>
        <v/>
      </c>
      <c r="FY53" s="24" t="str">
        <f t="shared" ca="1" si="144"/>
        <v/>
      </c>
      <c r="FZ53" s="24" t="str">
        <f t="shared" ca="1" si="144"/>
        <v/>
      </c>
      <c r="GA53" s="24" t="str">
        <f t="shared" ca="1" si="144"/>
        <v/>
      </c>
      <c r="GB53" s="24" t="str">
        <f t="shared" ca="1" si="144"/>
        <v/>
      </c>
      <c r="GC53" s="24" t="str">
        <f t="shared" ca="1" si="144"/>
        <v/>
      </c>
      <c r="GD53" s="24" t="str">
        <f t="shared" ca="1" si="144"/>
        <v/>
      </c>
      <c r="GE53" s="24" t="str">
        <f t="shared" ca="1" si="144"/>
        <v/>
      </c>
      <c r="GF53" s="24" t="str">
        <f t="shared" ca="1" si="144"/>
        <v/>
      </c>
      <c r="GG53" s="24" t="str">
        <f t="shared" ca="1" si="144"/>
        <v/>
      </c>
      <c r="GH53" s="24" t="str">
        <f t="shared" ca="1" si="145"/>
        <v/>
      </c>
      <c r="GI53" s="24" t="str">
        <f t="shared" ca="1" si="145"/>
        <v/>
      </c>
      <c r="GJ53" s="24" t="str">
        <f t="shared" ca="1" si="145"/>
        <v/>
      </c>
      <c r="GK53" s="24" t="str">
        <f t="shared" ca="1" si="145"/>
        <v/>
      </c>
      <c r="GL53" s="24" t="str">
        <f t="shared" ca="1" si="145"/>
        <v/>
      </c>
      <c r="GM53" s="24" t="str">
        <f t="shared" ca="1" si="145"/>
        <v/>
      </c>
      <c r="GN53" s="24" t="str">
        <f t="shared" ca="1" si="145"/>
        <v/>
      </c>
      <c r="GO53" s="24" t="str">
        <f t="shared" ca="1" si="145"/>
        <v/>
      </c>
      <c r="GP53" s="24" t="str">
        <f t="shared" ca="1" si="145"/>
        <v/>
      </c>
      <c r="GQ53" s="24" t="str">
        <f t="shared" ca="1" si="145"/>
        <v/>
      </c>
      <c r="GR53" s="24" t="str">
        <f t="shared" ca="1" si="146"/>
        <v/>
      </c>
      <c r="GS53" s="24" t="str">
        <f t="shared" ca="1" si="146"/>
        <v/>
      </c>
      <c r="GT53" s="24" t="str">
        <f t="shared" ca="1" si="146"/>
        <v/>
      </c>
      <c r="GU53" s="24" t="str">
        <f t="shared" ca="1" si="146"/>
        <v/>
      </c>
      <c r="GV53" s="24" t="str">
        <f t="shared" ca="1" si="146"/>
        <v/>
      </c>
      <c r="GW53" s="24" t="str">
        <f t="shared" ca="1" si="146"/>
        <v/>
      </c>
      <c r="GX53" s="24" t="str">
        <f t="shared" ca="1" si="146"/>
        <v/>
      </c>
      <c r="GY53" s="24" t="str">
        <f t="shared" ca="1" si="146"/>
        <v/>
      </c>
      <c r="GZ53" s="24" t="str">
        <f t="shared" ca="1" si="146"/>
        <v/>
      </c>
      <c r="HA53" s="24" t="str">
        <f t="shared" ca="1" si="146"/>
        <v/>
      </c>
      <c r="HB53" s="24" t="str">
        <f t="shared" ca="1" si="147"/>
        <v/>
      </c>
      <c r="HC53" s="24" t="str">
        <f t="shared" ca="1" si="147"/>
        <v/>
      </c>
      <c r="HD53" s="24" t="str">
        <f t="shared" ca="1" si="147"/>
        <v/>
      </c>
      <c r="HE53" s="24" t="str">
        <f t="shared" ca="1" si="147"/>
        <v/>
      </c>
      <c r="HF53" s="24" t="str">
        <f t="shared" ca="1" si="147"/>
        <v/>
      </c>
      <c r="HG53" s="24" t="str">
        <f t="shared" ca="1" si="147"/>
        <v/>
      </c>
      <c r="HH53" s="24" t="str">
        <f t="shared" ca="1" si="147"/>
        <v/>
      </c>
      <c r="HI53" s="24" t="str">
        <f t="shared" ca="1" si="147"/>
        <v/>
      </c>
      <c r="HJ53" s="24" t="str">
        <f t="shared" ca="1" si="147"/>
        <v/>
      </c>
      <c r="HK53" s="24" t="str">
        <f t="shared" ca="1" si="147"/>
        <v/>
      </c>
      <c r="HL53" s="24" t="str">
        <f t="shared" ca="1" si="148"/>
        <v/>
      </c>
      <c r="HM53" s="24" t="str">
        <f t="shared" ca="1" si="148"/>
        <v/>
      </c>
      <c r="HN53" s="24" t="str">
        <f t="shared" ca="1" si="148"/>
        <v/>
      </c>
      <c r="HO53" s="24" t="str">
        <f t="shared" ca="1" si="148"/>
        <v/>
      </c>
      <c r="HP53" s="24" t="str">
        <f t="shared" ca="1" si="148"/>
        <v/>
      </c>
      <c r="HQ53" s="24" t="str">
        <f t="shared" ca="1" si="148"/>
        <v/>
      </c>
      <c r="HR53" s="24" t="str">
        <f t="shared" ca="1" si="148"/>
        <v/>
      </c>
      <c r="HS53" s="24" t="str">
        <f t="shared" ca="1" si="148"/>
        <v/>
      </c>
      <c r="HT53" s="24" t="str">
        <f t="shared" ca="1" si="148"/>
        <v/>
      </c>
      <c r="HU53" s="24" t="str">
        <f t="shared" ca="1" si="148"/>
        <v/>
      </c>
      <c r="HV53" s="24" t="str">
        <f t="shared" ca="1" si="149"/>
        <v/>
      </c>
      <c r="HW53" s="24" t="str">
        <f t="shared" ca="1" si="149"/>
        <v/>
      </c>
      <c r="HX53" s="24" t="str">
        <f t="shared" ca="1" si="149"/>
        <v/>
      </c>
      <c r="HY53" s="24" t="str">
        <f t="shared" ca="1" si="149"/>
        <v/>
      </c>
      <c r="HZ53" s="24" t="str">
        <f t="shared" ca="1" si="149"/>
        <v/>
      </c>
      <c r="IA53" s="24" t="str">
        <f t="shared" ca="1" si="149"/>
        <v/>
      </c>
      <c r="IB53" s="24" t="str">
        <f t="shared" ca="1" si="149"/>
        <v/>
      </c>
      <c r="IC53" s="24" t="str">
        <f t="shared" ca="1" si="149"/>
        <v/>
      </c>
      <c r="ID53" s="24" t="str">
        <f t="shared" ca="1" si="149"/>
        <v/>
      </c>
      <c r="IE53" s="24" t="str">
        <f t="shared" ca="1" si="149"/>
        <v/>
      </c>
      <c r="IF53" s="24" t="str">
        <f t="shared" ca="1" si="150"/>
        <v/>
      </c>
      <c r="IG53" s="24" t="str">
        <f t="shared" ca="1" si="150"/>
        <v/>
      </c>
      <c r="IH53" s="24" t="str">
        <f t="shared" ca="1" si="150"/>
        <v/>
      </c>
      <c r="II53" s="24" t="str">
        <f t="shared" ca="1" si="150"/>
        <v/>
      </c>
      <c r="IJ53" s="24" t="str">
        <f t="shared" ca="1" si="150"/>
        <v/>
      </c>
      <c r="IK53" s="24" t="str">
        <f t="shared" ca="1" si="150"/>
        <v/>
      </c>
      <c r="IL53" s="24" t="str">
        <f t="shared" ca="1" si="150"/>
        <v/>
      </c>
      <c r="IM53" s="24" t="str">
        <f t="shared" ca="1" si="150"/>
        <v/>
      </c>
      <c r="IN53" s="24" t="str">
        <f t="shared" ca="1" si="150"/>
        <v/>
      </c>
      <c r="IO53" s="24" t="str">
        <f t="shared" ca="1" si="150"/>
        <v/>
      </c>
      <c r="IP53" s="24" t="str">
        <f t="shared" ca="1" si="151"/>
        <v/>
      </c>
      <c r="IQ53" s="24" t="str">
        <f t="shared" ca="1" si="151"/>
        <v/>
      </c>
      <c r="IR53" s="24" t="str">
        <f t="shared" ca="1" si="151"/>
        <v/>
      </c>
      <c r="IS53" s="24" t="str">
        <f t="shared" ca="1" si="151"/>
        <v/>
      </c>
      <c r="IT53" s="24" t="str">
        <f t="shared" ca="1" si="151"/>
        <v/>
      </c>
      <c r="IU53" s="24" t="str">
        <f t="shared" ca="1" si="151"/>
        <v/>
      </c>
      <c r="IV53" s="24" t="str">
        <f t="shared" ca="1" si="151"/>
        <v/>
      </c>
      <c r="IW53" s="24" t="str">
        <f t="shared" ca="1" si="151"/>
        <v/>
      </c>
      <c r="IX53" s="24" t="str">
        <f t="shared" ca="1" si="151"/>
        <v/>
      </c>
      <c r="IY53" s="24" t="str">
        <f t="shared" ca="1" si="151"/>
        <v/>
      </c>
      <c r="IZ53" s="24" t="str">
        <f t="shared" ca="1" si="152"/>
        <v/>
      </c>
      <c r="JA53" s="24" t="str">
        <f t="shared" ca="1" si="152"/>
        <v/>
      </c>
      <c r="JB53" s="24" t="str">
        <f t="shared" ca="1" si="152"/>
        <v/>
      </c>
      <c r="JC53" s="24" t="str">
        <f t="shared" ca="1" si="152"/>
        <v/>
      </c>
      <c r="JD53" s="24" t="str">
        <f t="shared" ca="1" si="152"/>
        <v/>
      </c>
      <c r="JE53" s="24" t="str">
        <f t="shared" ca="1" si="152"/>
        <v/>
      </c>
      <c r="JF53" s="24" t="str">
        <f t="shared" ca="1" si="152"/>
        <v/>
      </c>
      <c r="JG53" s="24" t="str">
        <f t="shared" ca="1" si="152"/>
        <v/>
      </c>
      <c r="JH53" s="24" t="str">
        <f t="shared" ca="1" si="152"/>
        <v/>
      </c>
      <c r="JI53" s="24" t="str">
        <f t="shared" ca="1" si="152"/>
        <v/>
      </c>
      <c r="JJ53" s="24" t="str">
        <f t="shared" ca="1" si="153"/>
        <v/>
      </c>
      <c r="JK53" s="24" t="str">
        <f t="shared" ca="1" si="153"/>
        <v/>
      </c>
      <c r="JL53" s="24" t="str">
        <f t="shared" ca="1" si="153"/>
        <v/>
      </c>
      <c r="JM53" s="24" t="str">
        <f t="shared" ca="1" si="153"/>
        <v/>
      </c>
      <c r="JN53" s="24" t="str">
        <f t="shared" ca="1" si="153"/>
        <v/>
      </c>
      <c r="JO53" s="24" t="str">
        <f t="shared" ca="1" si="153"/>
        <v/>
      </c>
      <c r="JP53" s="24" t="str">
        <f t="shared" ca="1" si="153"/>
        <v/>
      </c>
      <c r="JQ53" s="24" t="str">
        <f t="shared" ca="1" si="153"/>
        <v/>
      </c>
      <c r="JR53" s="24" t="str">
        <f t="shared" ca="1" si="153"/>
        <v/>
      </c>
      <c r="JS53" s="24" t="str">
        <f t="shared" ca="1" si="153"/>
        <v/>
      </c>
      <c r="JT53" s="24" t="str">
        <f t="shared" ca="1" si="154"/>
        <v/>
      </c>
      <c r="JU53" s="24" t="str">
        <f t="shared" ca="1" si="154"/>
        <v/>
      </c>
      <c r="JV53" s="24" t="str">
        <f t="shared" ca="1" si="154"/>
        <v/>
      </c>
      <c r="JW53" s="24" t="str">
        <f t="shared" ca="1" si="154"/>
        <v/>
      </c>
      <c r="JX53" s="24" t="str">
        <f t="shared" ca="1" si="154"/>
        <v/>
      </c>
      <c r="JY53" s="24" t="str">
        <f t="shared" ca="1" si="154"/>
        <v/>
      </c>
      <c r="JZ53" s="24" t="str">
        <f t="shared" ca="1" si="154"/>
        <v/>
      </c>
      <c r="KA53" s="24" t="str">
        <f t="shared" ca="1" si="154"/>
        <v/>
      </c>
      <c r="KB53" s="24" t="str">
        <f t="shared" ca="1" si="154"/>
        <v/>
      </c>
      <c r="KC53" s="24" t="str">
        <f t="shared" ca="1" si="154"/>
        <v/>
      </c>
      <c r="KD53" s="24" t="str">
        <f t="shared" ca="1" si="155"/>
        <v/>
      </c>
      <c r="KE53" s="24" t="str">
        <f t="shared" ca="1" si="155"/>
        <v/>
      </c>
      <c r="KF53" s="24" t="str">
        <f t="shared" ca="1" si="155"/>
        <v/>
      </c>
      <c r="KG53" s="24" t="str">
        <f t="shared" ca="1" si="155"/>
        <v/>
      </c>
      <c r="KH53" s="24" t="str">
        <f t="shared" ca="1" si="155"/>
        <v/>
      </c>
      <c r="KI53" s="24" t="str">
        <f t="shared" ca="1" si="155"/>
        <v/>
      </c>
      <c r="KJ53" s="24" t="str">
        <f t="shared" ca="1" si="155"/>
        <v/>
      </c>
      <c r="KK53" s="24" t="str">
        <f t="shared" ca="1" si="155"/>
        <v/>
      </c>
      <c r="KL53" s="24" t="str">
        <f t="shared" ca="1" si="155"/>
        <v/>
      </c>
      <c r="KM53" s="24" t="str">
        <f t="shared" ca="1" si="155"/>
        <v/>
      </c>
      <c r="KN53" s="24" t="str">
        <f t="shared" ca="1" si="156"/>
        <v/>
      </c>
      <c r="KO53" s="24" t="str">
        <f t="shared" ca="1" si="156"/>
        <v/>
      </c>
      <c r="KP53" s="24" t="str">
        <f t="shared" ca="1" si="156"/>
        <v/>
      </c>
      <c r="KQ53" s="24" t="str">
        <f t="shared" ca="1" si="156"/>
        <v/>
      </c>
      <c r="KR53" s="24" t="str">
        <f t="shared" ca="1" si="156"/>
        <v/>
      </c>
      <c r="KS53" s="24" t="str">
        <f t="shared" ca="1" si="156"/>
        <v/>
      </c>
      <c r="KT53" s="24" t="str">
        <f t="shared" ca="1" si="156"/>
        <v/>
      </c>
      <c r="KU53" s="24" t="str">
        <f t="shared" ca="1" si="156"/>
        <v/>
      </c>
      <c r="KV53" s="24" t="str">
        <f t="shared" ca="1" si="156"/>
        <v/>
      </c>
      <c r="KW53" s="24" t="str">
        <f t="shared" ca="1" si="156"/>
        <v/>
      </c>
      <c r="KX53" s="24" t="str">
        <f t="shared" ca="1" si="157"/>
        <v/>
      </c>
      <c r="KY53" s="24" t="str">
        <f t="shared" ca="1" si="157"/>
        <v/>
      </c>
      <c r="KZ53" s="24" t="str">
        <f t="shared" ca="1" si="157"/>
        <v/>
      </c>
      <c r="LA53" s="24" t="str">
        <f t="shared" ca="1" si="157"/>
        <v/>
      </c>
      <c r="LB53" s="24" t="str">
        <f t="shared" ca="1" si="157"/>
        <v/>
      </c>
      <c r="LC53" s="24" t="str">
        <f t="shared" ca="1" si="157"/>
        <v/>
      </c>
      <c r="LD53" s="24" t="str">
        <f t="shared" ca="1" si="157"/>
        <v/>
      </c>
      <c r="LE53" s="24" t="str">
        <f t="shared" ca="1" si="157"/>
        <v/>
      </c>
      <c r="LF53" s="24" t="str">
        <f t="shared" ca="1" si="157"/>
        <v/>
      </c>
      <c r="LG53" s="24" t="str">
        <f t="shared" ca="1" si="157"/>
        <v/>
      </c>
      <c r="LH53" s="24" t="str">
        <f t="shared" ca="1" si="158"/>
        <v/>
      </c>
      <c r="LI53" s="24" t="str">
        <f t="shared" ca="1" si="158"/>
        <v/>
      </c>
      <c r="LJ53" s="24" t="str">
        <f t="shared" ca="1" si="158"/>
        <v/>
      </c>
      <c r="LK53" s="24" t="str">
        <f t="shared" ca="1" si="158"/>
        <v/>
      </c>
      <c r="LL53" s="24" t="str">
        <f t="shared" ca="1" si="158"/>
        <v/>
      </c>
      <c r="LM53" s="24" t="str">
        <f t="shared" ca="1" si="158"/>
        <v/>
      </c>
      <c r="LN53" s="24" t="str">
        <f t="shared" ca="1" si="158"/>
        <v/>
      </c>
      <c r="LO53" s="24" t="str">
        <f t="shared" ca="1" si="158"/>
        <v/>
      </c>
      <c r="LP53" s="24" t="str">
        <f t="shared" ca="1" si="158"/>
        <v/>
      </c>
      <c r="LQ53" s="24" t="str">
        <f t="shared" ca="1" si="158"/>
        <v/>
      </c>
      <c r="LR53" s="24" t="str">
        <f t="shared" ca="1" si="159"/>
        <v/>
      </c>
      <c r="LS53" s="24" t="str">
        <f t="shared" ca="1" si="159"/>
        <v/>
      </c>
      <c r="LT53" s="24" t="str">
        <f t="shared" ca="1" si="159"/>
        <v/>
      </c>
      <c r="LU53" s="24" t="str">
        <f t="shared" ca="1" si="159"/>
        <v/>
      </c>
      <c r="LV53" s="24" t="str">
        <f t="shared" ca="1" si="159"/>
        <v/>
      </c>
      <c r="LW53" s="24" t="str">
        <f t="shared" ca="1" si="159"/>
        <v/>
      </c>
      <c r="LX53" s="24" t="str">
        <f t="shared" ca="1" si="159"/>
        <v/>
      </c>
      <c r="LY53" s="24" t="str">
        <f t="shared" ca="1" si="159"/>
        <v/>
      </c>
      <c r="LZ53" s="24" t="str">
        <f t="shared" ca="1" si="159"/>
        <v/>
      </c>
      <c r="MA53" s="24" t="str">
        <f t="shared" ca="1" si="159"/>
        <v/>
      </c>
      <c r="MB53" s="24" t="str">
        <f t="shared" ca="1" si="160"/>
        <v/>
      </c>
      <c r="MC53" s="24" t="str">
        <f t="shared" ca="1" si="160"/>
        <v/>
      </c>
      <c r="MD53" s="24" t="str">
        <f t="shared" ca="1" si="160"/>
        <v/>
      </c>
      <c r="ME53" s="24" t="str">
        <f t="shared" ca="1" si="160"/>
        <v/>
      </c>
      <c r="MF53" s="24" t="str">
        <f t="shared" ca="1" si="160"/>
        <v/>
      </c>
      <c r="MG53" s="24" t="str">
        <f t="shared" ca="1" si="160"/>
        <v/>
      </c>
      <c r="MH53" s="24" t="str">
        <f t="shared" ca="1" si="160"/>
        <v/>
      </c>
      <c r="MI53" s="24" t="str">
        <f t="shared" ca="1" si="160"/>
        <v/>
      </c>
      <c r="MJ53" s="24" t="str">
        <f t="shared" ca="1" si="160"/>
        <v/>
      </c>
      <c r="MK53" s="24" t="str">
        <f t="shared" ca="1" si="160"/>
        <v/>
      </c>
      <c r="ML53" s="24" t="str">
        <f t="shared" ca="1" si="161"/>
        <v/>
      </c>
      <c r="MM53" s="24" t="str">
        <f t="shared" ca="1" si="161"/>
        <v/>
      </c>
      <c r="MN53" s="24" t="str">
        <f t="shared" ca="1" si="161"/>
        <v/>
      </c>
      <c r="MO53" s="24" t="str">
        <f t="shared" ca="1" si="161"/>
        <v/>
      </c>
      <c r="MP53" s="24" t="str">
        <f t="shared" ca="1" si="161"/>
        <v/>
      </c>
      <c r="MQ53" s="24" t="str">
        <f t="shared" ca="1" si="161"/>
        <v/>
      </c>
      <c r="MR53" s="24" t="str">
        <f t="shared" ca="1" si="161"/>
        <v/>
      </c>
      <c r="MS53" s="24" t="str">
        <f t="shared" ca="1" si="161"/>
        <v/>
      </c>
      <c r="MT53" s="24" t="str">
        <f t="shared" ca="1" si="161"/>
        <v/>
      </c>
      <c r="MU53" s="24" t="str">
        <f t="shared" ca="1" si="161"/>
        <v/>
      </c>
      <c r="MV53" s="24" t="str">
        <f t="shared" ca="1" si="162"/>
        <v/>
      </c>
      <c r="MW53" s="24" t="str">
        <f t="shared" ca="1" si="162"/>
        <v/>
      </c>
      <c r="MX53" s="24" t="str">
        <f t="shared" ca="1" si="162"/>
        <v/>
      </c>
      <c r="MY53" s="24" t="str">
        <f t="shared" ca="1" si="162"/>
        <v/>
      </c>
      <c r="MZ53" s="24" t="str">
        <f t="shared" ca="1" si="162"/>
        <v/>
      </c>
      <c r="NA53" s="24" t="str">
        <f t="shared" ca="1" si="162"/>
        <v/>
      </c>
      <c r="NB53" s="24" t="str">
        <f t="shared" ca="1" si="162"/>
        <v/>
      </c>
      <c r="NC53" s="24" t="str">
        <f t="shared" ca="1" si="162"/>
        <v/>
      </c>
      <c r="ND53" s="24" t="str">
        <f t="shared" ca="1" si="162"/>
        <v/>
      </c>
      <c r="NE53" s="24" t="str">
        <f t="shared" ca="1" si="162"/>
        <v/>
      </c>
      <c r="NF53" s="24" t="str">
        <f t="shared" ca="1" si="163"/>
        <v/>
      </c>
      <c r="NG53" s="24" t="str">
        <f t="shared" ca="1" si="163"/>
        <v/>
      </c>
      <c r="NH53" s="24" t="str">
        <f t="shared" ca="1" si="163"/>
        <v/>
      </c>
      <c r="NI53" s="24" t="str">
        <f t="shared" ca="1" si="163"/>
        <v/>
      </c>
      <c r="NJ53" s="24" t="str">
        <f t="shared" ca="1" si="163"/>
        <v/>
      </c>
      <c r="NK53" s="24" t="str">
        <f t="shared" ca="1" si="163"/>
        <v/>
      </c>
      <c r="NL53" s="24" t="str">
        <f t="shared" ca="1" si="163"/>
        <v/>
      </c>
      <c r="NM53" s="24" t="str">
        <f t="shared" ca="1" si="163"/>
        <v/>
      </c>
      <c r="NN53" s="24" t="str">
        <f t="shared" ca="1" si="163"/>
        <v/>
      </c>
      <c r="NO53" s="24" t="str">
        <f t="shared" ca="1" si="163"/>
        <v/>
      </c>
      <c r="NP53" s="24" t="str">
        <f t="shared" ca="1" si="164"/>
        <v/>
      </c>
      <c r="NQ53" s="24" t="str">
        <f t="shared" ca="1" si="164"/>
        <v/>
      </c>
      <c r="NR53" s="24" t="str">
        <f t="shared" ca="1" si="164"/>
        <v/>
      </c>
      <c r="NS53" s="24" t="str">
        <f t="shared" ca="1" si="164"/>
        <v/>
      </c>
      <c r="NT53" s="24" t="str">
        <f t="shared" ca="1" si="164"/>
        <v/>
      </c>
      <c r="NU53" s="24" t="str">
        <f t="shared" ca="1" si="164"/>
        <v/>
      </c>
      <c r="NV53" s="24" t="str">
        <f t="shared" ca="1" si="164"/>
        <v/>
      </c>
      <c r="NW53" s="24" t="str">
        <f t="shared" ca="1" si="164"/>
        <v/>
      </c>
      <c r="NX53" s="24" t="str">
        <f t="shared" ca="1" si="164"/>
        <v/>
      </c>
      <c r="NY53" s="24" t="str">
        <f t="shared" ca="1" si="164"/>
        <v/>
      </c>
      <c r="NZ53" s="24" t="str">
        <f t="shared" ca="1" si="165"/>
        <v/>
      </c>
      <c r="OA53" s="24" t="str">
        <f t="shared" ca="1" si="165"/>
        <v/>
      </c>
      <c r="OB53" s="24" t="str">
        <f t="shared" ca="1" si="165"/>
        <v/>
      </c>
      <c r="OC53" s="24" t="str">
        <f t="shared" ca="1" si="165"/>
        <v/>
      </c>
      <c r="OD53" s="24" t="str">
        <f t="shared" ca="1" si="165"/>
        <v/>
      </c>
      <c r="OE53" s="24" t="str">
        <f t="shared" ca="1" si="165"/>
        <v/>
      </c>
      <c r="OF53" s="24" t="str">
        <f t="shared" ca="1" si="165"/>
        <v/>
      </c>
      <c r="OG53" s="24" t="str">
        <f t="shared" ca="1" si="165"/>
        <v/>
      </c>
      <c r="OH53" s="24" t="str">
        <f t="shared" ca="1" si="165"/>
        <v/>
      </c>
      <c r="OI53" s="24" t="str">
        <f t="shared" ca="1" si="165"/>
        <v/>
      </c>
      <c r="OJ53" s="24" t="str">
        <f t="shared" ca="1" si="166"/>
        <v/>
      </c>
      <c r="OK53" s="24" t="str">
        <f t="shared" ca="1" si="166"/>
        <v/>
      </c>
      <c r="OL53" s="24" t="str">
        <f t="shared" ca="1" si="166"/>
        <v/>
      </c>
      <c r="OM53" s="24" t="str">
        <f t="shared" ca="1" si="166"/>
        <v/>
      </c>
      <c r="ON53" s="24" t="str">
        <f t="shared" ca="1" si="166"/>
        <v/>
      </c>
      <c r="OO53" s="24" t="str">
        <f t="shared" ca="1" si="166"/>
        <v/>
      </c>
      <c r="OP53" s="24" t="str">
        <f t="shared" ca="1" si="166"/>
        <v/>
      </c>
      <c r="OQ53" s="24" t="str">
        <f t="shared" ca="1" si="166"/>
        <v/>
      </c>
      <c r="OR53" s="24" t="str">
        <f t="shared" ca="1" si="166"/>
        <v/>
      </c>
      <c r="OS53" s="24" t="str">
        <f t="shared" ca="1" si="166"/>
        <v/>
      </c>
      <c r="OT53" s="24" t="str">
        <f t="shared" ca="1" si="167"/>
        <v/>
      </c>
      <c r="OU53" s="24" t="str">
        <f t="shared" ca="1" si="167"/>
        <v/>
      </c>
      <c r="OV53" s="24" t="str">
        <f t="shared" ca="1" si="167"/>
        <v/>
      </c>
      <c r="OW53" s="24" t="str">
        <f t="shared" ca="1" si="167"/>
        <v/>
      </c>
      <c r="OX53" s="24" t="str">
        <f t="shared" ca="1" si="167"/>
        <v/>
      </c>
      <c r="OY53" s="24" t="str">
        <f t="shared" ca="1" si="167"/>
        <v/>
      </c>
      <c r="OZ53" s="24" t="str">
        <f t="shared" ca="1" si="167"/>
        <v/>
      </c>
      <c r="PA53" s="24" t="str">
        <f t="shared" ca="1" si="167"/>
        <v/>
      </c>
      <c r="PB53" s="24" t="str">
        <f t="shared" ca="1" si="167"/>
        <v/>
      </c>
      <c r="PC53" s="24" t="str">
        <f t="shared" ca="1" si="167"/>
        <v/>
      </c>
      <c r="PD53" s="24" t="str">
        <f t="shared" ca="1" si="168"/>
        <v/>
      </c>
      <c r="PE53" s="24" t="str">
        <f t="shared" ca="1" si="168"/>
        <v/>
      </c>
      <c r="PF53" s="24" t="str">
        <f t="shared" ca="1" si="168"/>
        <v/>
      </c>
      <c r="PG53" s="24" t="str">
        <f t="shared" ca="1" si="168"/>
        <v/>
      </c>
      <c r="PH53" s="24" t="str">
        <f t="shared" ca="1" si="168"/>
        <v/>
      </c>
      <c r="PI53" s="24" t="str">
        <f t="shared" ca="1" si="168"/>
        <v/>
      </c>
      <c r="PJ53" s="24" t="str">
        <f t="shared" ca="1" si="168"/>
        <v/>
      </c>
      <c r="PK53" s="24" t="str">
        <f t="shared" ca="1" si="168"/>
        <v/>
      </c>
      <c r="PL53" s="24" t="str">
        <f t="shared" ca="1" si="168"/>
        <v/>
      </c>
      <c r="PM53" s="24" t="str">
        <f t="shared" ca="1" si="168"/>
        <v/>
      </c>
      <c r="PN53" s="24" t="str">
        <f t="shared" ca="1" si="169"/>
        <v/>
      </c>
      <c r="PO53" s="24" t="str">
        <f t="shared" ca="1" si="169"/>
        <v/>
      </c>
      <c r="PP53" s="24" t="str">
        <f t="shared" ca="1" si="169"/>
        <v/>
      </c>
      <c r="PQ53" s="24" t="str">
        <f t="shared" ca="1" si="169"/>
        <v/>
      </c>
      <c r="PR53" s="24" t="str">
        <f t="shared" ca="1" si="169"/>
        <v/>
      </c>
      <c r="PS53" s="24" t="str">
        <f t="shared" ca="1" si="169"/>
        <v/>
      </c>
      <c r="PT53" s="24" t="str">
        <f t="shared" ca="1" si="169"/>
        <v/>
      </c>
      <c r="PU53" s="24" t="str">
        <f t="shared" ca="1" si="169"/>
        <v/>
      </c>
      <c r="PV53" s="24" t="str">
        <f t="shared" ca="1" si="169"/>
        <v/>
      </c>
      <c r="PW53" s="24" t="str">
        <f t="shared" ca="1" si="169"/>
        <v/>
      </c>
      <c r="PX53" s="24" t="str">
        <f t="shared" ca="1" si="170"/>
        <v/>
      </c>
      <c r="PY53" s="24" t="str">
        <f t="shared" ca="1" si="170"/>
        <v/>
      </c>
      <c r="PZ53" s="24" t="str">
        <f t="shared" ca="1" si="170"/>
        <v/>
      </c>
      <c r="QA53" s="24" t="str">
        <f t="shared" ca="1" si="170"/>
        <v/>
      </c>
      <c r="QB53" s="24" t="str">
        <f t="shared" ca="1" si="170"/>
        <v/>
      </c>
      <c r="QC53" s="24" t="str">
        <f t="shared" ca="1" si="170"/>
        <v/>
      </c>
      <c r="QD53" s="24" t="str">
        <f t="shared" ca="1" si="170"/>
        <v/>
      </c>
      <c r="QE53" s="24" t="str">
        <f t="shared" ca="1" si="170"/>
        <v/>
      </c>
      <c r="QF53" s="24" t="str">
        <f t="shared" ca="1" si="170"/>
        <v/>
      </c>
      <c r="QG53" s="24" t="str">
        <f t="shared" ca="1" si="170"/>
        <v/>
      </c>
      <c r="QH53" s="24" t="str">
        <f t="shared" ca="1" si="171"/>
        <v/>
      </c>
      <c r="QI53" s="24" t="str">
        <f t="shared" ca="1" si="171"/>
        <v/>
      </c>
      <c r="QJ53" s="24" t="str">
        <f t="shared" ca="1" si="171"/>
        <v/>
      </c>
      <c r="QK53" s="24" t="str">
        <f t="shared" ca="1" si="171"/>
        <v/>
      </c>
      <c r="QL53" s="24" t="str">
        <f t="shared" ca="1" si="171"/>
        <v/>
      </c>
      <c r="QM53" s="24" t="str">
        <f t="shared" ca="1" si="171"/>
        <v/>
      </c>
      <c r="QN53" s="24" t="str">
        <f t="shared" ca="1" si="171"/>
        <v/>
      </c>
      <c r="QO53" s="24" t="str">
        <f t="shared" ca="1" si="171"/>
        <v/>
      </c>
      <c r="QP53" s="24" t="str">
        <f t="shared" ca="1" si="171"/>
        <v/>
      </c>
      <c r="QQ53" s="24" t="str">
        <f t="shared" ca="1" si="171"/>
        <v/>
      </c>
      <c r="QR53" s="24" t="str">
        <f t="shared" ca="1" si="172"/>
        <v/>
      </c>
      <c r="QS53" s="24" t="str">
        <f t="shared" ca="1" si="172"/>
        <v/>
      </c>
      <c r="QT53" s="24" t="str">
        <f t="shared" ca="1" si="172"/>
        <v/>
      </c>
      <c r="QU53" s="24" t="str">
        <f t="shared" ca="1" si="172"/>
        <v/>
      </c>
      <c r="QV53" s="24" t="str">
        <f t="shared" ca="1" si="172"/>
        <v/>
      </c>
      <c r="QW53" s="24" t="str">
        <f t="shared" ca="1" si="172"/>
        <v/>
      </c>
      <c r="QX53" s="24" t="str">
        <f t="shared" ca="1" si="172"/>
        <v/>
      </c>
      <c r="QY53" s="24" t="str">
        <f t="shared" ca="1" si="172"/>
        <v/>
      </c>
      <c r="QZ53" s="24" t="str">
        <f t="shared" ca="1" si="172"/>
        <v/>
      </c>
      <c r="RA53" s="24" t="str">
        <f t="shared" ca="1" si="172"/>
        <v/>
      </c>
      <c r="RB53" s="24" t="str">
        <f t="shared" ca="1" si="173"/>
        <v/>
      </c>
      <c r="RC53" s="24" t="str">
        <f t="shared" ca="1" si="173"/>
        <v/>
      </c>
      <c r="RD53" s="24" t="str">
        <f t="shared" ca="1" si="173"/>
        <v/>
      </c>
      <c r="RE53" s="24" t="str">
        <f t="shared" ca="1" si="173"/>
        <v/>
      </c>
      <c r="RF53" s="24" t="str">
        <f t="shared" ca="1" si="173"/>
        <v/>
      </c>
      <c r="RG53" s="24" t="str">
        <f t="shared" ca="1" si="173"/>
        <v/>
      </c>
      <c r="RH53" s="24" t="str">
        <f t="shared" ca="1" si="173"/>
        <v/>
      </c>
      <c r="RI53" s="24" t="str">
        <f t="shared" ca="1" si="173"/>
        <v/>
      </c>
      <c r="RJ53" s="24" t="str">
        <f t="shared" ca="1" si="173"/>
        <v/>
      </c>
      <c r="RK53" s="24" t="str">
        <f t="shared" ca="1" si="173"/>
        <v/>
      </c>
      <c r="RL53" s="24" t="str">
        <f t="shared" ca="1" si="174"/>
        <v/>
      </c>
      <c r="RM53" s="24" t="str">
        <f t="shared" ca="1" si="174"/>
        <v/>
      </c>
      <c r="RN53" s="24" t="str">
        <f t="shared" ca="1" si="174"/>
        <v/>
      </c>
      <c r="RO53" s="24" t="str">
        <f t="shared" ca="1" si="174"/>
        <v/>
      </c>
      <c r="RP53" s="24" t="str">
        <f t="shared" ca="1" si="174"/>
        <v/>
      </c>
      <c r="RQ53" s="24" t="str">
        <f t="shared" ca="1" si="174"/>
        <v/>
      </c>
      <c r="RR53" s="24" t="str">
        <f t="shared" ca="1" si="174"/>
        <v/>
      </c>
      <c r="RS53" s="24" t="str">
        <f t="shared" ca="1" si="174"/>
        <v/>
      </c>
      <c r="RT53" s="24" t="str">
        <f t="shared" ca="1" si="174"/>
        <v/>
      </c>
      <c r="RU53" s="24" t="str">
        <f t="shared" ca="1" si="174"/>
        <v/>
      </c>
      <c r="RV53" s="24" t="str">
        <f t="shared" ca="1" si="175"/>
        <v/>
      </c>
      <c r="RW53" s="24" t="str">
        <f t="shared" ca="1" si="175"/>
        <v/>
      </c>
      <c r="RX53" s="24" t="str">
        <f t="shared" ca="1" si="175"/>
        <v/>
      </c>
      <c r="RY53" s="24" t="str">
        <f t="shared" ca="1" si="175"/>
        <v/>
      </c>
      <c r="RZ53" s="24" t="str">
        <f t="shared" ca="1" si="175"/>
        <v/>
      </c>
      <c r="SA53" s="24" t="str">
        <f t="shared" ca="1" si="175"/>
        <v/>
      </c>
      <c r="SB53" s="24" t="str">
        <f t="shared" ca="1" si="175"/>
        <v/>
      </c>
      <c r="SC53" s="24" t="str">
        <f t="shared" ca="1" si="175"/>
        <v/>
      </c>
      <c r="SD53" s="24" t="str">
        <f t="shared" ca="1" si="175"/>
        <v/>
      </c>
      <c r="SE53" s="24" t="str">
        <f t="shared" ca="1" si="175"/>
        <v/>
      </c>
      <c r="SF53" s="24" t="str">
        <f t="shared" ca="1" si="176"/>
        <v/>
      </c>
      <c r="SG53" s="24" t="str">
        <f t="shared" ca="1" si="176"/>
        <v/>
      </c>
      <c r="SH53" s="24" t="str">
        <f t="shared" ca="1" si="176"/>
        <v/>
      </c>
      <c r="SI53" s="24" t="str">
        <f t="shared" ca="1" si="176"/>
        <v/>
      </c>
      <c r="SJ53" s="24" t="str">
        <f t="shared" ca="1" si="176"/>
        <v/>
      </c>
      <c r="SK53" s="24" t="str">
        <f t="shared" ca="1" si="176"/>
        <v/>
      </c>
      <c r="SL53" s="24" t="str">
        <f t="shared" ca="1" si="176"/>
        <v/>
      </c>
      <c r="SM53" s="24" t="str">
        <f t="shared" ca="1" si="176"/>
        <v/>
      </c>
      <c r="SN53" s="24" t="str">
        <f t="shared" ca="1" si="176"/>
        <v/>
      </c>
      <c r="SO53" s="24" t="str">
        <f t="shared" ca="1" si="176"/>
        <v/>
      </c>
      <c r="SP53" s="24" t="str">
        <f t="shared" ca="1" si="177"/>
        <v/>
      </c>
      <c r="SQ53" s="24" t="str">
        <f t="shared" ca="1" si="177"/>
        <v/>
      </c>
      <c r="SR53" s="24" t="str">
        <f t="shared" ca="1" si="177"/>
        <v/>
      </c>
      <c r="SS53" s="24" t="str">
        <f t="shared" ca="1" si="177"/>
        <v/>
      </c>
      <c r="ST53" s="24" t="str">
        <f t="shared" ca="1" si="177"/>
        <v/>
      </c>
      <c r="SU53" s="24" t="str">
        <f t="shared" ca="1" si="177"/>
        <v/>
      </c>
      <c r="SV53" s="24" t="str">
        <f t="shared" ca="1" si="177"/>
        <v/>
      </c>
      <c r="SW53" s="24" t="str">
        <f t="shared" ca="1" si="177"/>
        <v/>
      </c>
      <c r="SX53" s="24" t="str">
        <f t="shared" ca="1" si="177"/>
        <v/>
      </c>
      <c r="SY53" s="24" t="str">
        <f t="shared" ca="1" si="177"/>
        <v/>
      </c>
      <c r="SZ53" s="24" t="str">
        <f t="shared" ca="1" si="178"/>
        <v/>
      </c>
      <c r="TA53" s="24" t="str">
        <f t="shared" ca="1" si="178"/>
        <v/>
      </c>
      <c r="TB53" s="24" t="str">
        <f t="shared" ca="1" si="178"/>
        <v/>
      </c>
      <c r="TC53" s="24" t="str">
        <f t="shared" ca="1" si="178"/>
        <v/>
      </c>
      <c r="TD53" s="24" t="str">
        <f t="shared" ca="1" si="178"/>
        <v/>
      </c>
      <c r="TE53" s="24" t="str">
        <f t="shared" ca="1" si="178"/>
        <v/>
      </c>
      <c r="TF53" s="24" t="str">
        <f t="shared" ca="1" si="178"/>
        <v/>
      </c>
      <c r="TG53" s="24" t="str">
        <f t="shared" ca="1" si="178"/>
        <v/>
      </c>
      <c r="TH53" s="24" t="str">
        <f t="shared" ca="1" si="178"/>
        <v/>
      </c>
      <c r="TI53" s="24" t="str">
        <f t="shared" ca="1" si="178"/>
        <v/>
      </c>
      <c r="TJ53" s="24" t="str">
        <f t="shared" ca="1" si="179"/>
        <v/>
      </c>
      <c r="TK53" s="24" t="str">
        <f t="shared" ca="1" si="179"/>
        <v/>
      </c>
      <c r="TL53" s="24" t="str">
        <f t="shared" ca="1" si="179"/>
        <v/>
      </c>
      <c r="TM53" s="24" t="str">
        <f t="shared" ca="1" si="179"/>
        <v/>
      </c>
      <c r="TN53" s="24" t="str">
        <f t="shared" ca="1" si="179"/>
        <v/>
      </c>
      <c r="TO53" s="24" t="str">
        <f t="shared" ca="1" si="179"/>
        <v/>
      </c>
      <c r="TP53" s="24" t="str">
        <f t="shared" ca="1" si="179"/>
        <v/>
      </c>
      <c r="TQ53" s="24" t="str">
        <f t="shared" ca="1" si="179"/>
        <v/>
      </c>
      <c r="TR53" s="24" t="str">
        <f t="shared" ca="1" si="179"/>
        <v/>
      </c>
      <c r="TS53" s="24" t="str">
        <f t="shared" ca="1" si="179"/>
        <v/>
      </c>
      <c r="TT53" s="24" t="str">
        <f t="shared" ca="1" si="180"/>
        <v/>
      </c>
      <c r="TU53" s="24" t="str">
        <f t="shared" ca="1" si="180"/>
        <v/>
      </c>
      <c r="TV53" s="24" t="str">
        <f t="shared" ca="1" si="180"/>
        <v/>
      </c>
      <c r="TW53" s="24" t="str">
        <f t="shared" ca="1" si="180"/>
        <v/>
      </c>
      <c r="TX53" s="24" t="str">
        <f t="shared" ca="1" si="180"/>
        <v/>
      </c>
      <c r="TY53" s="24" t="str">
        <f t="shared" ca="1" si="180"/>
        <v/>
      </c>
      <c r="TZ53" s="24" t="str">
        <f t="shared" ca="1" si="180"/>
        <v/>
      </c>
      <c r="UA53" s="24" t="str">
        <f t="shared" ca="1" si="180"/>
        <v/>
      </c>
      <c r="UB53" s="24" t="str">
        <f t="shared" ca="1" si="180"/>
        <v/>
      </c>
      <c r="UC53" s="24" t="str">
        <f t="shared" ca="1" si="180"/>
        <v/>
      </c>
      <c r="UD53" s="24" t="str">
        <f t="shared" ca="1" si="181"/>
        <v/>
      </c>
      <c r="UE53" s="24" t="str">
        <f t="shared" ca="1" si="181"/>
        <v/>
      </c>
      <c r="UF53" s="24" t="str">
        <f t="shared" ca="1" si="181"/>
        <v/>
      </c>
      <c r="UG53" s="24" t="str">
        <f t="shared" ca="1" si="181"/>
        <v/>
      </c>
      <c r="UH53" s="24" t="str">
        <f t="shared" ca="1" si="181"/>
        <v/>
      </c>
      <c r="UI53" s="24" t="str">
        <f t="shared" ca="1" si="181"/>
        <v/>
      </c>
      <c r="UJ53" s="24" t="str">
        <f t="shared" ca="1" si="181"/>
        <v/>
      </c>
      <c r="UK53" s="24" t="str">
        <f t="shared" ca="1" si="181"/>
        <v/>
      </c>
      <c r="UL53" s="24" t="str">
        <f t="shared" ca="1" si="181"/>
        <v/>
      </c>
      <c r="UM53" s="24" t="str">
        <f t="shared" ca="1" si="181"/>
        <v/>
      </c>
      <c r="UN53" s="24" t="str">
        <f t="shared" ca="1" si="182"/>
        <v/>
      </c>
      <c r="UO53" s="24" t="str">
        <f t="shared" ca="1" si="182"/>
        <v/>
      </c>
      <c r="UP53" s="24" t="str">
        <f t="shared" ca="1" si="182"/>
        <v/>
      </c>
      <c r="UQ53" s="24" t="str">
        <f t="shared" ca="1" si="182"/>
        <v/>
      </c>
      <c r="UR53" s="24" t="str">
        <f t="shared" ca="1" si="182"/>
        <v/>
      </c>
      <c r="US53" s="24" t="str">
        <f t="shared" ca="1" si="182"/>
        <v/>
      </c>
      <c r="UT53" s="24" t="str">
        <f t="shared" ca="1" si="182"/>
        <v/>
      </c>
      <c r="UU53" s="24" t="str">
        <f t="shared" ca="1" si="182"/>
        <v/>
      </c>
      <c r="UV53" s="24" t="str">
        <f t="shared" ca="1" si="182"/>
        <v/>
      </c>
      <c r="UW53" s="24" t="str">
        <f t="shared" ca="1" si="182"/>
        <v/>
      </c>
      <c r="UX53" s="24" t="str">
        <f t="shared" ca="1" si="183"/>
        <v/>
      </c>
      <c r="UY53" s="24" t="str">
        <f t="shared" ca="1" si="183"/>
        <v/>
      </c>
      <c r="UZ53" s="24" t="str">
        <f t="shared" ca="1" si="183"/>
        <v/>
      </c>
      <c r="VA53" s="24" t="str">
        <f t="shared" ca="1" si="183"/>
        <v/>
      </c>
      <c r="VB53" s="24" t="str">
        <f t="shared" ca="1" si="183"/>
        <v/>
      </c>
      <c r="VC53" s="24" t="str">
        <f t="shared" ca="1" si="183"/>
        <v/>
      </c>
      <c r="VD53" s="24" t="str">
        <f t="shared" ca="1" si="183"/>
        <v/>
      </c>
      <c r="VE53" s="24" t="str">
        <f t="shared" ca="1" si="183"/>
        <v/>
      </c>
      <c r="VF53" s="24" t="str">
        <f t="shared" ca="1" si="183"/>
        <v/>
      </c>
      <c r="VG53" s="24" t="str">
        <f t="shared" ca="1" si="183"/>
        <v/>
      </c>
      <c r="VH53" s="24" t="str">
        <f t="shared" ca="1" si="184"/>
        <v/>
      </c>
      <c r="VI53" s="24" t="str">
        <f t="shared" ca="1" si="184"/>
        <v/>
      </c>
      <c r="VJ53" s="24" t="str">
        <f t="shared" ca="1" si="184"/>
        <v/>
      </c>
      <c r="VK53" s="24" t="str">
        <f t="shared" ca="1" si="184"/>
        <v/>
      </c>
      <c r="VL53" s="24" t="str">
        <f t="shared" ca="1" si="184"/>
        <v/>
      </c>
      <c r="VM53" s="24" t="str">
        <f t="shared" ca="1" si="184"/>
        <v/>
      </c>
      <c r="VN53" s="24" t="str">
        <f t="shared" ca="1" si="184"/>
        <v/>
      </c>
      <c r="VO53" s="24" t="str">
        <f t="shared" ca="1" si="184"/>
        <v/>
      </c>
      <c r="VP53" s="24" t="str">
        <f t="shared" ca="1" si="184"/>
        <v/>
      </c>
      <c r="VQ53" s="24" t="str">
        <f t="shared" ca="1" si="184"/>
        <v/>
      </c>
      <c r="VR53" s="24" t="str">
        <f t="shared" ca="1" si="184"/>
        <v/>
      </c>
      <c r="VS53" s="24" t="str">
        <f t="shared" ca="1" si="184"/>
        <v/>
      </c>
    </row>
    <row r="54" spans="1:591" s="17" customFormat="1" ht="21.6" customHeight="1" x14ac:dyDescent="0.3">
      <c r="A54" s="81"/>
      <c r="B54" s="28" t="s">
        <v>70</v>
      </c>
      <c r="C54" s="19" t="s">
        <v>71</v>
      </c>
      <c r="D54" s="19"/>
      <c r="E54" s="27"/>
      <c r="F54" s="26">
        <f>F53+2</f>
        <v>46010</v>
      </c>
      <c r="G54" s="26">
        <f>Milestones43524[[#This Row],[Start]]+Milestones43524[[#This Row],[Days]]</f>
        <v>46011</v>
      </c>
      <c r="H54" s="25">
        <v>1</v>
      </c>
      <c r="I54" s="19"/>
      <c r="J54" s="24" t="str">
        <f t="shared" ca="1" si="127"/>
        <v/>
      </c>
      <c r="K54" s="24" t="str">
        <f t="shared" ca="1" si="127"/>
        <v/>
      </c>
      <c r="L54" s="24" t="str">
        <f t="shared" ca="1" si="127"/>
        <v/>
      </c>
      <c r="M54" s="24" t="str">
        <f t="shared" ca="1" si="127"/>
        <v/>
      </c>
      <c r="N54" s="24" t="str">
        <f t="shared" ca="1" si="127"/>
        <v/>
      </c>
      <c r="O54" s="24" t="str">
        <f t="shared" ca="1" si="127"/>
        <v/>
      </c>
      <c r="P54" s="24" t="str">
        <f t="shared" ca="1" si="127"/>
        <v/>
      </c>
      <c r="Q54" s="24" t="str">
        <f t="shared" ca="1" si="127"/>
        <v/>
      </c>
      <c r="R54" s="24" t="str">
        <f t="shared" ca="1" si="127"/>
        <v/>
      </c>
      <c r="S54" s="24" t="str">
        <f t="shared" ca="1" si="127"/>
        <v/>
      </c>
      <c r="T54" s="24" t="str">
        <f t="shared" ca="1" si="128"/>
        <v/>
      </c>
      <c r="U54" s="24" t="str">
        <f t="shared" ca="1" si="128"/>
        <v/>
      </c>
      <c r="V54" s="24" t="str">
        <f t="shared" ca="1" si="128"/>
        <v/>
      </c>
      <c r="W54" s="24" t="str">
        <f t="shared" ca="1" si="128"/>
        <v/>
      </c>
      <c r="X54" s="24" t="str">
        <f t="shared" ca="1" si="128"/>
        <v/>
      </c>
      <c r="Y54" s="24" t="str">
        <f t="shared" ca="1" si="128"/>
        <v/>
      </c>
      <c r="Z54" s="24" t="str">
        <f t="shared" ca="1" si="128"/>
        <v/>
      </c>
      <c r="AA54" s="24" t="str">
        <f t="shared" ca="1" si="128"/>
        <v/>
      </c>
      <c r="AB54" s="24" t="str">
        <f t="shared" ca="1" si="128"/>
        <v/>
      </c>
      <c r="AC54" s="24" t="str">
        <f t="shared" ca="1" si="128"/>
        <v/>
      </c>
      <c r="AD54" s="24" t="str">
        <f t="shared" ca="1" si="129"/>
        <v/>
      </c>
      <c r="AE54" s="24" t="str">
        <f t="shared" ca="1" si="129"/>
        <v/>
      </c>
      <c r="AF54" s="24" t="str">
        <f t="shared" ca="1" si="129"/>
        <v/>
      </c>
      <c r="AG54" s="24" t="str">
        <f t="shared" ca="1" si="129"/>
        <v/>
      </c>
      <c r="AH54" s="24" t="str">
        <f t="shared" ca="1" si="129"/>
        <v/>
      </c>
      <c r="AI54" s="24" t="str">
        <f t="shared" ca="1" si="129"/>
        <v/>
      </c>
      <c r="AJ54" s="24" t="str">
        <f t="shared" ca="1" si="129"/>
        <v/>
      </c>
      <c r="AK54" s="24" t="str">
        <f t="shared" ca="1" si="129"/>
        <v/>
      </c>
      <c r="AL54" s="24" t="str">
        <f t="shared" ca="1" si="129"/>
        <v/>
      </c>
      <c r="AM54" s="24">
        <f t="shared" ca="1" si="129"/>
        <v>1</v>
      </c>
      <c r="AN54" s="24" t="str">
        <f t="shared" ca="1" si="130"/>
        <v/>
      </c>
      <c r="AO54" s="24" t="str">
        <f t="shared" ca="1" si="130"/>
        <v/>
      </c>
      <c r="AP54" s="24" t="str">
        <f t="shared" ca="1" si="130"/>
        <v/>
      </c>
      <c r="AQ54" s="24" t="str">
        <f t="shared" ca="1" si="130"/>
        <v/>
      </c>
      <c r="AR54" s="24" t="str">
        <f t="shared" ca="1" si="130"/>
        <v/>
      </c>
      <c r="AS54" s="24" t="str">
        <f t="shared" ca="1" si="130"/>
        <v/>
      </c>
      <c r="AT54" s="24" t="str">
        <f t="shared" ca="1" si="130"/>
        <v/>
      </c>
      <c r="AU54" s="24" t="str">
        <f t="shared" ca="1" si="130"/>
        <v/>
      </c>
      <c r="AV54" s="24" t="str">
        <f t="shared" ca="1" si="130"/>
        <v/>
      </c>
      <c r="AW54" s="24" t="str">
        <f t="shared" ca="1" si="130"/>
        <v/>
      </c>
      <c r="AX54" s="24" t="str">
        <f t="shared" ca="1" si="131"/>
        <v/>
      </c>
      <c r="AY54" s="24" t="str">
        <f t="shared" ca="1" si="131"/>
        <v/>
      </c>
      <c r="AZ54" s="24" t="str">
        <f t="shared" ca="1" si="131"/>
        <v/>
      </c>
      <c r="BA54" s="24" t="str">
        <f t="shared" ca="1" si="131"/>
        <v/>
      </c>
      <c r="BB54" s="24" t="str">
        <f t="shared" ca="1" si="131"/>
        <v/>
      </c>
      <c r="BC54" s="24" t="str">
        <f t="shared" ca="1" si="131"/>
        <v/>
      </c>
      <c r="BD54" s="24" t="str">
        <f t="shared" ca="1" si="131"/>
        <v/>
      </c>
      <c r="BE54" s="24" t="str">
        <f t="shared" ca="1" si="131"/>
        <v/>
      </c>
      <c r="BF54" s="24" t="str">
        <f t="shared" ca="1" si="131"/>
        <v/>
      </c>
      <c r="BG54" s="24" t="str">
        <f t="shared" ca="1" si="131"/>
        <v/>
      </c>
      <c r="BH54" s="24" t="str">
        <f t="shared" ca="1" si="132"/>
        <v/>
      </c>
      <c r="BI54" s="24" t="str">
        <f t="shared" ca="1" si="132"/>
        <v/>
      </c>
      <c r="BJ54" s="24" t="str">
        <f t="shared" ca="1" si="132"/>
        <v/>
      </c>
      <c r="BK54" s="24" t="str">
        <f t="shared" ca="1" si="132"/>
        <v/>
      </c>
      <c r="BL54" s="24" t="str">
        <f t="shared" ca="1" si="132"/>
        <v/>
      </c>
      <c r="BM54" s="24" t="str">
        <f t="shared" ca="1" si="132"/>
        <v/>
      </c>
      <c r="BN54" s="24" t="str">
        <f t="shared" ca="1" si="132"/>
        <v/>
      </c>
      <c r="BO54" s="24" t="str">
        <f t="shared" ca="1" si="132"/>
        <v/>
      </c>
      <c r="BP54" s="24" t="str">
        <f t="shared" ca="1" si="132"/>
        <v/>
      </c>
      <c r="BQ54" s="24" t="str">
        <f t="shared" ca="1" si="132"/>
        <v/>
      </c>
      <c r="BR54" s="24" t="str">
        <f t="shared" ca="1" si="133"/>
        <v/>
      </c>
      <c r="BS54" s="24" t="str">
        <f t="shared" ca="1" si="133"/>
        <v/>
      </c>
      <c r="BT54" s="24" t="str">
        <f t="shared" ca="1" si="133"/>
        <v/>
      </c>
      <c r="BU54" s="24" t="str">
        <f t="shared" ca="1" si="133"/>
        <v/>
      </c>
      <c r="BV54" s="24" t="str">
        <f t="shared" ca="1" si="133"/>
        <v/>
      </c>
      <c r="BW54" s="24" t="str">
        <f t="shared" ca="1" si="133"/>
        <v/>
      </c>
      <c r="BX54" s="24" t="str">
        <f t="shared" ca="1" si="133"/>
        <v/>
      </c>
      <c r="BY54" s="24" t="str">
        <f t="shared" ca="1" si="133"/>
        <v/>
      </c>
      <c r="BZ54" s="24" t="str">
        <f t="shared" ca="1" si="133"/>
        <v/>
      </c>
      <c r="CA54" s="24" t="str">
        <f t="shared" ca="1" si="133"/>
        <v/>
      </c>
      <c r="CB54" s="24" t="str">
        <f t="shared" ca="1" si="134"/>
        <v/>
      </c>
      <c r="CC54" s="24" t="str">
        <f t="shared" ca="1" si="134"/>
        <v/>
      </c>
      <c r="CD54" s="24" t="str">
        <f t="shared" ca="1" si="134"/>
        <v/>
      </c>
      <c r="CE54" s="24" t="str">
        <f t="shared" ca="1" si="134"/>
        <v/>
      </c>
      <c r="CF54" s="24" t="str">
        <f t="shared" ca="1" si="134"/>
        <v/>
      </c>
      <c r="CG54" s="24" t="str">
        <f t="shared" ca="1" si="134"/>
        <v/>
      </c>
      <c r="CH54" s="24" t="str">
        <f t="shared" ca="1" si="134"/>
        <v/>
      </c>
      <c r="CI54" s="24" t="str">
        <f t="shared" ca="1" si="134"/>
        <v/>
      </c>
      <c r="CJ54" s="24" t="str">
        <f t="shared" ca="1" si="134"/>
        <v/>
      </c>
      <c r="CK54" s="24" t="str">
        <f t="shared" ca="1" si="134"/>
        <v/>
      </c>
      <c r="CL54" s="24" t="str">
        <f t="shared" ca="1" si="135"/>
        <v/>
      </c>
      <c r="CM54" s="24" t="str">
        <f t="shared" ca="1" si="135"/>
        <v/>
      </c>
      <c r="CN54" s="24" t="str">
        <f t="shared" ca="1" si="135"/>
        <v/>
      </c>
      <c r="CO54" s="24" t="str">
        <f t="shared" ca="1" si="135"/>
        <v/>
      </c>
      <c r="CP54" s="24" t="str">
        <f t="shared" ca="1" si="135"/>
        <v/>
      </c>
      <c r="CQ54" s="24" t="str">
        <f t="shared" ca="1" si="135"/>
        <v/>
      </c>
      <c r="CR54" s="24" t="str">
        <f t="shared" ca="1" si="135"/>
        <v/>
      </c>
      <c r="CS54" s="24" t="str">
        <f t="shared" ca="1" si="135"/>
        <v/>
      </c>
      <c r="CT54" s="24" t="str">
        <f t="shared" ca="1" si="135"/>
        <v/>
      </c>
      <c r="CU54" s="24" t="str">
        <f t="shared" ca="1" si="135"/>
        <v/>
      </c>
      <c r="CV54" s="24" t="str">
        <f t="shared" ca="1" si="136"/>
        <v/>
      </c>
      <c r="CW54" s="24" t="str">
        <f t="shared" ca="1" si="136"/>
        <v/>
      </c>
      <c r="CX54" s="24" t="str">
        <f t="shared" ca="1" si="136"/>
        <v/>
      </c>
      <c r="CY54" s="24" t="str">
        <f t="shared" ca="1" si="136"/>
        <v/>
      </c>
      <c r="CZ54" s="24" t="str">
        <f t="shared" ca="1" si="136"/>
        <v/>
      </c>
      <c r="DA54" s="24" t="str">
        <f t="shared" ca="1" si="136"/>
        <v/>
      </c>
      <c r="DB54" s="24" t="str">
        <f t="shared" ca="1" si="136"/>
        <v/>
      </c>
      <c r="DC54" s="24" t="str">
        <f t="shared" ca="1" si="136"/>
        <v/>
      </c>
      <c r="DD54" s="24" t="str">
        <f t="shared" ca="1" si="136"/>
        <v/>
      </c>
      <c r="DE54" s="24" t="str">
        <f t="shared" ca="1" si="136"/>
        <v/>
      </c>
      <c r="DF54" s="24" t="str">
        <f t="shared" ca="1" si="137"/>
        <v/>
      </c>
      <c r="DG54" s="24" t="str">
        <f t="shared" ca="1" si="137"/>
        <v/>
      </c>
      <c r="DH54" s="24" t="str">
        <f t="shared" ca="1" si="137"/>
        <v/>
      </c>
      <c r="DI54" s="24" t="str">
        <f t="shared" ca="1" si="137"/>
        <v/>
      </c>
      <c r="DJ54" s="24" t="str">
        <f t="shared" ca="1" si="137"/>
        <v/>
      </c>
      <c r="DK54" s="24" t="str">
        <f t="shared" ca="1" si="137"/>
        <v/>
      </c>
      <c r="DL54" s="24" t="str">
        <f t="shared" ca="1" si="137"/>
        <v/>
      </c>
      <c r="DM54" s="24" t="str">
        <f t="shared" ca="1" si="137"/>
        <v/>
      </c>
      <c r="DN54" s="24" t="str">
        <f t="shared" ca="1" si="137"/>
        <v/>
      </c>
      <c r="DO54" s="24" t="str">
        <f t="shared" ca="1" si="137"/>
        <v/>
      </c>
      <c r="DP54" s="24" t="str">
        <f t="shared" ca="1" si="138"/>
        <v/>
      </c>
      <c r="DQ54" s="24" t="str">
        <f t="shared" ca="1" si="138"/>
        <v/>
      </c>
      <c r="DR54" s="24" t="str">
        <f t="shared" ca="1" si="138"/>
        <v/>
      </c>
      <c r="DS54" s="24" t="str">
        <f t="shared" ca="1" si="138"/>
        <v/>
      </c>
      <c r="DT54" s="24" t="str">
        <f t="shared" ca="1" si="138"/>
        <v/>
      </c>
      <c r="DU54" s="24" t="str">
        <f t="shared" ca="1" si="138"/>
        <v/>
      </c>
      <c r="DV54" s="24" t="str">
        <f t="shared" ca="1" si="138"/>
        <v/>
      </c>
      <c r="DW54" s="24" t="str">
        <f t="shared" ca="1" si="138"/>
        <v/>
      </c>
      <c r="DX54" s="24" t="str">
        <f t="shared" ca="1" si="138"/>
        <v/>
      </c>
      <c r="DY54" s="24" t="str">
        <f t="shared" ca="1" si="138"/>
        <v/>
      </c>
      <c r="DZ54" s="24" t="str">
        <f t="shared" ca="1" si="139"/>
        <v/>
      </c>
      <c r="EA54" s="24" t="str">
        <f t="shared" ca="1" si="139"/>
        <v/>
      </c>
      <c r="EB54" s="24" t="str">
        <f t="shared" ca="1" si="139"/>
        <v/>
      </c>
      <c r="EC54" s="24" t="str">
        <f t="shared" ca="1" si="139"/>
        <v/>
      </c>
      <c r="ED54" s="24" t="str">
        <f t="shared" ca="1" si="139"/>
        <v/>
      </c>
      <c r="EE54" s="24" t="str">
        <f t="shared" ca="1" si="139"/>
        <v/>
      </c>
      <c r="EF54" s="24" t="str">
        <f t="shared" ca="1" si="139"/>
        <v/>
      </c>
      <c r="EG54" s="24" t="str">
        <f t="shared" ca="1" si="139"/>
        <v/>
      </c>
      <c r="EH54" s="24" t="str">
        <f t="shared" ca="1" si="139"/>
        <v/>
      </c>
      <c r="EI54" s="24" t="str">
        <f t="shared" ca="1" si="139"/>
        <v/>
      </c>
      <c r="EJ54" s="24" t="str">
        <f t="shared" ca="1" si="140"/>
        <v/>
      </c>
      <c r="EK54" s="24" t="str">
        <f t="shared" ca="1" si="140"/>
        <v/>
      </c>
      <c r="EL54" s="24" t="str">
        <f t="shared" ca="1" si="140"/>
        <v/>
      </c>
      <c r="EM54" s="24" t="str">
        <f t="shared" ca="1" si="140"/>
        <v/>
      </c>
      <c r="EN54" s="24" t="str">
        <f t="shared" ca="1" si="140"/>
        <v/>
      </c>
      <c r="EO54" s="24" t="str">
        <f t="shared" ca="1" si="140"/>
        <v/>
      </c>
      <c r="EP54" s="24" t="str">
        <f t="shared" ca="1" si="140"/>
        <v/>
      </c>
      <c r="EQ54" s="24" t="str">
        <f t="shared" ca="1" si="140"/>
        <v/>
      </c>
      <c r="ER54" s="24" t="str">
        <f t="shared" ca="1" si="140"/>
        <v/>
      </c>
      <c r="ES54" s="24" t="str">
        <f t="shared" ca="1" si="140"/>
        <v/>
      </c>
      <c r="ET54" s="24" t="str">
        <f t="shared" ca="1" si="141"/>
        <v/>
      </c>
      <c r="EU54" s="24" t="str">
        <f t="shared" ca="1" si="141"/>
        <v/>
      </c>
      <c r="EV54" s="24" t="str">
        <f t="shared" ca="1" si="141"/>
        <v/>
      </c>
      <c r="EW54" s="24" t="str">
        <f t="shared" ca="1" si="141"/>
        <v/>
      </c>
      <c r="EX54" s="24" t="str">
        <f t="shared" ca="1" si="141"/>
        <v/>
      </c>
      <c r="EY54" s="24" t="str">
        <f t="shared" ca="1" si="141"/>
        <v/>
      </c>
      <c r="EZ54" s="24" t="str">
        <f t="shared" ca="1" si="141"/>
        <v/>
      </c>
      <c r="FA54" s="24" t="str">
        <f t="shared" ca="1" si="141"/>
        <v/>
      </c>
      <c r="FB54" s="24" t="str">
        <f t="shared" ca="1" si="141"/>
        <v/>
      </c>
      <c r="FC54" s="24" t="str">
        <f t="shared" ca="1" si="141"/>
        <v/>
      </c>
      <c r="FD54" s="24" t="str">
        <f t="shared" ca="1" si="142"/>
        <v/>
      </c>
      <c r="FE54" s="24" t="str">
        <f t="shared" ca="1" si="142"/>
        <v/>
      </c>
      <c r="FF54" s="24" t="str">
        <f t="shared" ca="1" si="142"/>
        <v/>
      </c>
      <c r="FG54" s="24" t="str">
        <f t="shared" ca="1" si="142"/>
        <v/>
      </c>
      <c r="FH54" s="24" t="str">
        <f t="shared" ca="1" si="142"/>
        <v/>
      </c>
      <c r="FI54" s="24" t="str">
        <f t="shared" ca="1" si="142"/>
        <v/>
      </c>
      <c r="FJ54" s="24" t="str">
        <f t="shared" ca="1" si="142"/>
        <v/>
      </c>
      <c r="FK54" s="24" t="str">
        <f t="shared" ca="1" si="142"/>
        <v/>
      </c>
      <c r="FL54" s="24" t="str">
        <f t="shared" ca="1" si="142"/>
        <v/>
      </c>
      <c r="FM54" s="24" t="str">
        <f t="shared" ca="1" si="142"/>
        <v/>
      </c>
      <c r="FN54" s="24" t="str">
        <f t="shared" ca="1" si="143"/>
        <v/>
      </c>
      <c r="FO54" s="24" t="str">
        <f t="shared" ca="1" si="143"/>
        <v/>
      </c>
      <c r="FP54" s="24" t="str">
        <f t="shared" ca="1" si="143"/>
        <v/>
      </c>
      <c r="FQ54" s="24" t="str">
        <f t="shared" ca="1" si="143"/>
        <v/>
      </c>
      <c r="FR54" s="24" t="str">
        <f t="shared" ca="1" si="143"/>
        <v/>
      </c>
      <c r="FS54" s="24" t="str">
        <f t="shared" ca="1" si="143"/>
        <v/>
      </c>
      <c r="FT54" s="24" t="str">
        <f t="shared" ca="1" si="143"/>
        <v/>
      </c>
      <c r="FU54" s="24" t="str">
        <f t="shared" ca="1" si="143"/>
        <v/>
      </c>
      <c r="FV54" s="24" t="str">
        <f t="shared" ca="1" si="143"/>
        <v/>
      </c>
      <c r="FW54" s="24" t="str">
        <f t="shared" ca="1" si="143"/>
        <v/>
      </c>
      <c r="FX54" s="24" t="str">
        <f t="shared" ca="1" si="144"/>
        <v/>
      </c>
      <c r="FY54" s="24" t="str">
        <f t="shared" ca="1" si="144"/>
        <v/>
      </c>
      <c r="FZ54" s="24" t="str">
        <f t="shared" ca="1" si="144"/>
        <v/>
      </c>
      <c r="GA54" s="24" t="str">
        <f t="shared" ca="1" si="144"/>
        <v/>
      </c>
      <c r="GB54" s="24" t="str">
        <f t="shared" ca="1" si="144"/>
        <v/>
      </c>
      <c r="GC54" s="24" t="str">
        <f t="shared" ca="1" si="144"/>
        <v/>
      </c>
      <c r="GD54" s="24" t="str">
        <f t="shared" ca="1" si="144"/>
        <v/>
      </c>
      <c r="GE54" s="24" t="str">
        <f t="shared" ca="1" si="144"/>
        <v/>
      </c>
      <c r="GF54" s="24" t="str">
        <f t="shared" ca="1" si="144"/>
        <v/>
      </c>
      <c r="GG54" s="24" t="str">
        <f t="shared" ca="1" si="144"/>
        <v/>
      </c>
      <c r="GH54" s="24" t="str">
        <f t="shared" ca="1" si="145"/>
        <v/>
      </c>
      <c r="GI54" s="24" t="str">
        <f t="shared" ca="1" si="145"/>
        <v/>
      </c>
      <c r="GJ54" s="24" t="str">
        <f t="shared" ca="1" si="145"/>
        <v/>
      </c>
      <c r="GK54" s="24" t="str">
        <f t="shared" ca="1" si="145"/>
        <v/>
      </c>
      <c r="GL54" s="24" t="str">
        <f t="shared" ca="1" si="145"/>
        <v/>
      </c>
      <c r="GM54" s="24" t="str">
        <f t="shared" ca="1" si="145"/>
        <v/>
      </c>
      <c r="GN54" s="24" t="str">
        <f t="shared" ca="1" si="145"/>
        <v/>
      </c>
      <c r="GO54" s="24" t="str">
        <f t="shared" ca="1" si="145"/>
        <v/>
      </c>
      <c r="GP54" s="24" t="str">
        <f t="shared" ca="1" si="145"/>
        <v/>
      </c>
      <c r="GQ54" s="24" t="str">
        <f t="shared" ca="1" si="145"/>
        <v/>
      </c>
      <c r="GR54" s="24" t="str">
        <f t="shared" ca="1" si="146"/>
        <v/>
      </c>
      <c r="GS54" s="24" t="str">
        <f t="shared" ca="1" si="146"/>
        <v/>
      </c>
      <c r="GT54" s="24" t="str">
        <f t="shared" ca="1" si="146"/>
        <v/>
      </c>
      <c r="GU54" s="24" t="str">
        <f t="shared" ca="1" si="146"/>
        <v/>
      </c>
      <c r="GV54" s="24" t="str">
        <f t="shared" ca="1" si="146"/>
        <v/>
      </c>
      <c r="GW54" s="24" t="str">
        <f t="shared" ca="1" si="146"/>
        <v/>
      </c>
      <c r="GX54" s="24" t="str">
        <f t="shared" ca="1" si="146"/>
        <v/>
      </c>
      <c r="GY54" s="24" t="str">
        <f t="shared" ca="1" si="146"/>
        <v/>
      </c>
      <c r="GZ54" s="24" t="str">
        <f t="shared" ca="1" si="146"/>
        <v/>
      </c>
      <c r="HA54" s="24" t="str">
        <f t="shared" ca="1" si="146"/>
        <v/>
      </c>
      <c r="HB54" s="24" t="str">
        <f t="shared" ca="1" si="147"/>
        <v/>
      </c>
      <c r="HC54" s="24" t="str">
        <f t="shared" ca="1" si="147"/>
        <v/>
      </c>
      <c r="HD54" s="24" t="str">
        <f t="shared" ca="1" si="147"/>
        <v/>
      </c>
      <c r="HE54" s="24" t="str">
        <f t="shared" ca="1" si="147"/>
        <v/>
      </c>
      <c r="HF54" s="24" t="str">
        <f t="shared" ca="1" si="147"/>
        <v/>
      </c>
      <c r="HG54" s="24" t="str">
        <f t="shared" ca="1" si="147"/>
        <v/>
      </c>
      <c r="HH54" s="24" t="str">
        <f t="shared" ca="1" si="147"/>
        <v/>
      </c>
      <c r="HI54" s="24" t="str">
        <f t="shared" ca="1" si="147"/>
        <v/>
      </c>
      <c r="HJ54" s="24" t="str">
        <f t="shared" ca="1" si="147"/>
        <v/>
      </c>
      <c r="HK54" s="24" t="str">
        <f t="shared" ca="1" si="147"/>
        <v/>
      </c>
      <c r="HL54" s="24" t="str">
        <f t="shared" ca="1" si="148"/>
        <v/>
      </c>
      <c r="HM54" s="24" t="str">
        <f t="shared" ca="1" si="148"/>
        <v/>
      </c>
      <c r="HN54" s="24" t="str">
        <f t="shared" ca="1" si="148"/>
        <v/>
      </c>
      <c r="HO54" s="24" t="str">
        <f t="shared" ca="1" si="148"/>
        <v/>
      </c>
      <c r="HP54" s="24" t="str">
        <f t="shared" ca="1" si="148"/>
        <v/>
      </c>
      <c r="HQ54" s="24" t="str">
        <f t="shared" ca="1" si="148"/>
        <v/>
      </c>
      <c r="HR54" s="24" t="str">
        <f t="shared" ca="1" si="148"/>
        <v/>
      </c>
      <c r="HS54" s="24" t="str">
        <f t="shared" ca="1" si="148"/>
        <v/>
      </c>
      <c r="HT54" s="24" t="str">
        <f t="shared" ca="1" si="148"/>
        <v/>
      </c>
      <c r="HU54" s="24" t="str">
        <f t="shared" ca="1" si="148"/>
        <v/>
      </c>
      <c r="HV54" s="24" t="str">
        <f t="shared" ca="1" si="149"/>
        <v/>
      </c>
      <c r="HW54" s="24" t="str">
        <f t="shared" ca="1" si="149"/>
        <v/>
      </c>
      <c r="HX54" s="24" t="str">
        <f t="shared" ca="1" si="149"/>
        <v/>
      </c>
      <c r="HY54" s="24" t="str">
        <f t="shared" ca="1" si="149"/>
        <v/>
      </c>
      <c r="HZ54" s="24" t="str">
        <f t="shared" ca="1" si="149"/>
        <v/>
      </c>
      <c r="IA54" s="24" t="str">
        <f t="shared" ca="1" si="149"/>
        <v/>
      </c>
      <c r="IB54" s="24" t="str">
        <f t="shared" ca="1" si="149"/>
        <v/>
      </c>
      <c r="IC54" s="24" t="str">
        <f t="shared" ca="1" si="149"/>
        <v/>
      </c>
      <c r="ID54" s="24" t="str">
        <f t="shared" ca="1" si="149"/>
        <v/>
      </c>
      <c r="IE54" s="24" t="str">
        <f t="shared" ca="1" si="149"/>
        <v/>
      </c>
      <c r="IF54" s="24" t="str">
        <f t="shared" ca="1" si="150"/>
        <v/>
      </c>
      <c r="IG54" s="24" t="str">
        <f t="shared" ca="1" si="150"/>
        <v/>
      </c>
      <c r="IH54" s="24" t="str">
        <f t="shared" ca="1" si="150"/>
        <v/>
      </c>
      <c r="II54" s="24" t="str">
        <f t="shared" ca="1" si="150"/>
        <v/>
      </c>
      <c r="IJ54" s="24" t="str">
        <f t="shared" ca="1" si="150"/>
        <v/>
      </c>
      <c r="IK54" s="24" t="str">
        <f t="shared" ca="1" si="150"/>
        <v/>
      </c>
      <c r="IL54" s="24" t="str">
        <f t="shared" ca="1" si="150"/>
        <v/>
      </c>
      <c r="IM54" s="24" t="str">
        <f t="shared" ca="1" si="150"/>
        <v/>
      </c>
      <c r="IN54" s="24" t="str">
        <f t="shared" ca="1" si="150"/>
        <v/>
      </c>
      <c r="IO54" s="24" t="str">
        <f t="shared" ca="1" si="150"/>
        <v/>
      </c>
      <c r="IP54" s="24" t="str">
        <f t="shared" ca="1" si="151"/>
        <v/>
      </c>
      <c r="IQ54" s="24" t="str">
        <f t="shared" ca="1" si="151"/>
        <v/>
      </c>
      <c r="IR54" s="24" t="str">
        <f t="shared" ca="1" si="151"/>
        <v/>
      </c>
      <c r="IS54" s="24" t="str">
        <f t="shared" ca="1" si="151"/>
        <v/>
      </c>
      <c r="IT54" s="24" t="str">
        <f t="shared" ca="1" si="151"/>
        <v/>
      </c>
      <c r="IU54" s="24" t="str">
        <f t="shared" ca="1" si="151"/>
        <v/>
      </c>
      <c r="IV54" s="24" t="str">
        <f t="shared" ca="1" si="151"/>
        <v/>
      </c>
      <c r="IW54" s="24" t="str">
        <f t="shared" ca="1" si="151"/>
        <v/>
      </c>
      <c r="IX54" s="24" t="str">
        <f t="shared" ca="1" si="151"/>
        <v/>
      </c>
      <c r="IY54" s="24" t="str">
        <f t="shared" ca="1" si="151"/>
        <v/>
      </c>
      <c r="IZ54" s="24" t="str">
        <f t="shared" ca="1" si="152"/>
        <v/>
      </c>
      <c r="JA54" s="24" t="str">
        <f t="shared" ca="1" si="152"/>
        <v/>
      </c>
      <c r="JB54" s="24" t="str">
        <f t="shared" ca="1" si="152"/>
        <v/>
      </c>
      <c r="JC54" s="24" t="str">
        <f t="shared" ca="1" si="152"/>
        <v/>
      </c>
      <c r="JD54" s="24" t="str">
        <f t="shared" ca="1" si="152"/>
        <v/>
      </c>
      <c r="JE54" s="24" t="str">
        <f t="shared" ca="1" si="152"/>
        <v/>
      </c>
      <c r="JF54" s="24" t="str">
        <f t="shared" ca="1" si="152"/>
        <v/>
      </c>
      <c r="JG54" s="24" t="str">
        <f t="shared" ca="1" si="152"/>
        <v/>
      </c>
      <c r="JH54" s="24" t="str">
        <f t="shared" ca="1" si="152"/>
        <v/>
      </c>
      <c r="JI54" s="24" t="str">
        <f t="shared" ca="1" si="152"/>
        <v/>
      </c>
      <c r="JJ54" s="24" t="str">
        <f t="shared" ca="1" si="153"/>
        <v/>
      </c>
      <c r="JK54" s="24" t="str">
        <f t="shared" ca="1" si="153"/>
        <v/>
      </c>
      <c r="JL54" s="24" t="str">
        <f t="shared" ca="1" si="153"/>
        <v/>
      </c>
      <c r="JM54" s="24" t="str">
        <f t="shared" ca="1" si="153"/>
        <v/>
      </c>
      <c r="JN54" s="24" t="str">
        <f t="shared" ca="1" si="153"/>
        <v/>
      </c>
      <c r="JO54" s="24" t="str">
        <f t="shared" ca="1" si="153"/>
        <v/>
      </c>
      <c r="JP54" s="24" t="str">
        <f t="shared" ca="1" si="153"/>
        <v/>
      </c>
      <c r="JQ54" s="24" t="str">
        <f t="shared" ca="1" si="153"/>
        <v/>
      </c>
      <c r="JR54" s="24" t="str">
        <f t="shared" ca="1" si="153"/>
        <v/>
      </c>
      <c r="JS54" s="24" t="str">
        <f t="shared" ca="1" si="153"/>
        <v/>
      </c>
      <c r="JT54" s="24" t="str">
        <f t="shared" ca="1" si="154"/>
        <v/>
      </c>
      <c r="JU54" s="24" t="str">
        <f t="shared" ca="1" si="154"/>
        <v/>
      </c>
      <c r="JV54" s="24" t="str">
        <f t="shared" ca="1" si="154"/>
        <v/>
      </c>
      <c r="JW54" s="24" t="str">
        <f t="shared" ca="1" si="154"/>
        <v/>
      </c>
      <c r="JX54" s="24" t="str">
        <f t="shared" ca="1" si="154"/>
        <v/>
      </c>
      <c r="JY54" s="24" t="str">
        <f t="shared" ca="1" si="154"/>
        <v/>
      </c>
      <c r="JZ54" s="24" t="str">
        <f t="shared" ca="1" si="154"/>
        <v/>
      </c>
      <c r="KA54" s="24" t="str">
        <f t="shared" ca="1" si="154"/>
        <v/>
      </c>
      <c r="KB54" s="24" t="str">
        <f t="shared" ca="1" si="154"/>
        <v/>
      </c>
      <c r="KC54" s="24" t="str">
        <f t="shared" ca="1" si="154"/>
        <v/>
      </c>
      <c r="KD54" s="24" t="str">
        <f t="shared" ca="1" si="155"/>
        <v/>
      </c>
      <c r="KE54" s="24" t="str">
        <f t="shared" ca="1" si="155"/>
        <v/>
      </c>
      <c r="KF54" s="24" t="str">
        <f t="shared" ca="1" si="155"/>
        <v/>
      </c>
      <c r="KG54" s="24" t="str">
        <f t="shared" ca="1" si="155"/>
        <v/>
      </c>
      <c r="KH54" s="24" t="str">
        <f t="shared" ca="1" si="155"/>
        <v/>
      </c>
      <c r="KI54" s="24" t="str">
        <f t="shared" ca="1" si="155"/>
        <v/>
      </c>
      <c r="KJ54" s="24" t="str">
        <f t="shared" ca="1" si="155"/>
        <v/>
      </c>
      <c r="KK54" s="24" t="str">
        <f t="shared" ca="1" si="155"/>
        <v/>
      </c>
      <c r="KL54" s="24" t="str">
        <f t="shared" ca="1" si="155"/>
        <v/>
      </c>
      <c r="KM54" s="24" t="str">
        <f t="shared" ca="1" si="155"/>
        <v/>
      </c>
      <c r="KN54" s="24" t="str">
        <f t="shared" ca="1" si="156"/>
        <v/>
      </c>
      <c r="KO54" s="24" t="str">
        <f t="shared" ca="1" si="156"/>
        <v/>
      </c>
      <c r="KP54" s="24" t="str">
        <f t="shared" ca="1" si="156"/>
        <v/>
      </c>
      <c r="KQ54" s="24" t="str">
        <f t="shared" ca="1" si="156"/>
        <v/>
      </c>
      <c r="KR54" s="24" t="str">
        <f t="shared" ca="1" si="156"/>
        <v/>
      </c>
      <c r="KS54" s="24" t="str">
        <f t="shared" ca="1" si="156"/>
        <v/>
      </c>
      <c r="KT54" s="24" t="str">
        <f t="shared" ca="1" si="156"/>
        <v/>
      </c>
      <c r="KU54" s="24" t="str">
        <f t="shared" ca="1" si="156"/>
        <v/>
      </c>
      <c r="KV54" s="24" t="str">
        <f t="shared" ca="1" si="156"/>
        <v/>
      </c>
      <c r="KW54" s="24" t="str">
        <f t="shared" ca="1" si="156"/>
        <v/>
      </c>
      <c r="KX54" s="24" t="str">
        <f t="shared" ca="1" si="157"/>
        <v/>
      </c>
      <c r="KY54" s="24" t="str">
        <f t="shared" ca="1" si="157"/>
        <v/>
      </c>
      <c r="KZ54" s="24" t="str">
        <f t="shared" ca="1" si="157"/>
        <v/>
      </c>
      <c r="LA54" s="24" t="str">
        <f t="shared" ca="1" si="157"/>
        <v/>
      </c>
      <c r="LB54" s="24" t="str">
        <f t="shared" ca="1" si="157"/>
        <v/>
      </c>
      <c r="LC54" s="24" t="str">
        <f t="shared" ca="1" si="157"/>
        <v/>
      </c>
      <c r="LD54" s="24" t="str">
        <f t="shared" ca="1" si="157"/>
        <v/>
      </c>
      <c r="LE54" s="24" t="str">
        <f t="shared" ca="1" si="157"/>
        <v/>
      </c>
      <c r="LF54" s="24" t="str">
        <f t="shared" ca="1" si="157"/>
        <v/>
      </c>
      <c r="LG54" s="24" t="str">
        <f t="shared" ca="1" si="157"/>
        <v/>
      </c>
      <c r="LH54" s="24" t="str">
        <f t="shared" ca="1" si="158"/>
        <v/>
      </c>
      <c r="LI54" s="24" t="str">
        <f t="shared" ca="1" si="158"/>
        <v/>
      </c>
      <c r="LJ54" s="24" t="str">
        <f t="shared" ca="1" si="158"/>
        <v/>
      </c>
      <c r="LK54" s="24" t="str">
        <f t="shared" ca="1" si="158"/>
        <v/>
      </c>
      <c r="LL54" s="24" t="str">
        <f t="shared" ca="1" si="158"/>
        <v/>
      </c>
      <c r="LM54" s="24" t="str">
        <f t="shared" ca="1" si="158"/>
        <v/>
      </c>
      <c r="LN54" s="24" t="str">
        <f t="shared" ca="1" si="158"/>
        <v/>
      </c>
      <c r="LO54" s="24" t="str">
        <f t="shared" ca="1" si="158"/>
        <v/>
      </c>
      <c r="LP54" s="24" t="str">
        <f t="shared" ca="1" si="158"/>
        <v/>
      </c>
      <c r="LQ54" s="24" t="str">
        <f t="shared" ca="1" si="158"/>
        <v/>
      </c>
      <c r="LR54" s="24" t="str">
        <f t="shared" ca="1" si="159"/>
        <v/>
      </c>
      <c r="LS54" s="24" t="str">
        <f t="shared" ca="1" si="159"/>
        <v/>
      </c>
      <c r="LT54" s="24" t="str">
        <f t="shared" ca="1" si="159"/>
        <v/>
      </c>
      <c r="LU54" s="24" t="str">
        <f t="shared" ca="1" si="159"/>
        <v/>
      </c>
      <c r="LV54" s="24" t="str">
        <f t="shared" ca="1" si="159"/>
        <v/>
      </c>
      <c r="LW54" s="24" t="str">
        <f t="shared" ca="1" si="159"/>
        <v/>
      </c>
      <c r="LX54" s="24" t="str">
        <f t="shared" ca="1" si="159"/>
        <v/>
      </c>
      <c r="LY54" s="24" t="str">
        <f t="shared" ca="1" si="159"/>
        <v/>
      </c>
      <c r="LZ54" s="24" t="str">
        <f t="shared" ca="1" si="159"/>
        <v/>
      </c>
      <c r="MA54" s="24" t="str">
        <f t="shared" ca="1" si="159"/>
        <v/>
      </c>
      <c r="MB54" s="24" t="str">
        <f t="shared" ca="1" si="160"/>
        <v/>
      </c>
      <c r="MC54" s="24" t="str">
        <f t="shared" ca="1" si="160"/>
        <v/>
      </c>
      <c r="MD54" s="24" t="str">
        <f t="shared" ca="1" si="160"/>
        <v/>
      </c>
      <c r="ME54" s="24" t="str">
        <f t="shared" ca="1" si="160"/>
        <v/>
      </c>
      <c r="MF54" s="24" t="str">
        <f t="shared" ca="1" si="160"/>
        <v/>
      </c>
      <c r="MG54" s="24" t="str">
        <f t="shared" ca="1" si="160"/>
        <v/>
      </c>
      <c r="MH54" s="24" t="str">
        <f t="shared" ca="1" si="160"/>
        <v/>
      </c>
      <c r="MI54" s="24" t="str">
        <f t="shared" ca="1" si="160"/>
        <v/>
      </c>
      <c r="MJ54" s="24" t="str">
        <f t="shared" ca="1" si="160"/>
        <v/>
      </c>
      <c r="MK54" s="24" t="str">
        <f t="shared" ca="1" si="160"/>
        <v/>
      </c>
      <c r="ML54" s="24" t="str">
        <f t="shared" ca="1" si="161"/>
        <v/>
      </c>
      <c r="MM54" s="24" t="str">
        <f t="shared" ca="1" si="161"/>
        <v/>
      </c>
      <c r="MN54" s="24" t="str">
        <f t="shared" ca="1" si="161"/>
        <v/>
      </c>
      <c r="MO54" s="24" t="str">
        <f t="shared" ca="1" si="161"/>
        <v/>
      </c>
      <c r="MP54" s="24" t="str">
        <f t="shared" ca="1" si="161"/>
        <v/>
      </c>
      <c r="MQ54" s="24" t="str">
        <f t="shared" ca="1" si="161"/>
        <v/>
      </c>
      <c r="MR54" s="24" t="str">
        <f t="shared" ca="1" si="161"/>
        <v/>
      </c>
      <c r="MS54" s="24" t="str">
        <f t="shared" ca="1" si="161"/>
        <v/>
      </c>
      <c r="MT54" s="24" t="str">
        <f t="shared" ca="1" si="161"/>
        <v/>
      </c>
      <c r="MU54" s="24" t="str">
        <f t="shared" ca="1" si="161"/>
        <v/>
      </c>
      <c r="MV54" s="24" t="str">
        <f t="shared" ca="1" si="162"/>
        <v/>
      </c>
      <c r="MW54" s="24" t="str">
        <f t="shared" ca="1" si="162"/>
        <v/>
      </c>
      <c r="MX54" s="24" t="str">
        <f t="shared" ca="1" si="162"/>
        <v/>
      </c>
      <c r="MY54" s="24" t="str">
        <f t="shared" ca="1" si="162"/>
        <v/>
      </c>
      <c r="MZ54" s="24" t="str">
        <f t="shared" ca="1" si="162"/>
        <v/>
      </c>
      <c r="NA54" s="24" t="str">
        <f t="shared" ca="1" si="162"/>
        <v/>
      </c>
      <c r="NB54" s="24" t="str">
        <f t="shared" ca="1" si="162"/>
        <v/>
      </c>
      <c r="NC54" s="24" t="str">
        <f t="shared" ca="1" si="162"/>
        <v/>
      </c>
      <c r="ND54" s="24" t="str">
        <f t="shared" ca="1" si="162"/>
        <v/>
      </c>
      <c r="NE54" s="24" t="str">
        <f t="shared" ca="1" si="162"/>
        <v/>
      </c>
      <c r="NF54" s="24" t="str">
        <f t="shared" ca="1" si="163"/>
        <v/>
      </c>
      <c r="NG54" s="24" t="str">
        <f t="shared" ca="1" si="163"/>
        <v/>
      </c>
      <c r="NH54" s="24" t="str">
        <f t="shared" ca="1" si="163"/>
        <v/>
      </c>
      <c r="NI54" s="24" t="str">
        <f t="shared" ca="1" si="163"/>
        <v/>
      </c>
      <c r="NJ54" s="24" t="str">
        <f t="shared" ca="1" si="163"/>
        <v/>
      </c>
      <c r="NK54" s="24" t="str">
        <f t="shared" ca="1" si="163"/>
        <v/>
      </c>
      <c r="NL54" s="24" t="str">
        <f t="shared" ca="1" si="163"/>
        <v/>
      </c>
      <c r="NM54" s="24" t="str">
        <f t="shared" ca="1" si="163"/>
        <v/>
      </c>
      <c r="NN54" s="24" t="str">
        <f t="shared" ca="1" si="163"/>
        <v/>
      </c>
      <c r="NO54" s="24" t="str">
        <f t="shared" ca="1" si="163"/>
        <v/>
      </c>
      <c r="NP54" s="24" t="str">
        <f t="shared" ca="1" si="164"/>
        <v/>
      </c>
      <c r="NQ54" s="24" t="str">
        <f t="shared" ca="1" si="164"/>
        <v/>
      </c>
      <c r="NR54" s="24" t="str">
        <f t="shared" ca="1" si="164"/>
        <v/>
      </c>
      <c r="NS54" s="24" t="str">
        <f t="shared" ca="1" si="164"/>
        <v/>
      </c>
      <c r="NT54" s="24" t="str">
        <f t="shared" ca="1" si="164"/>
        <v/>
      </c>
      <c r="NU54" s="24" t="str">
        <f t="shared" ca="1" si="164"/>
        <v/>
      </c>
      <c r="NV54" s="24" t="str">
        <f t="shared" ca="1" si="164"/>
        <v/>
      </c>
      <c r="NW54" s="24" t="str">
        <f t="shared" ca="1" si="164"/>
        <v/>
      </c>
      <c r="NX54" s="24" t="str">
        <f t="shared" ca="1" si="164"/>
        <v/>
      </c>
      <c r="NY54" s="24" t="str">
        <f t="shared" ca="1" si="164"/>
        <v/>
      </c>
      <c r="NZ54" s="24" t="str">
        <f t="shared" ca="1" si="165"/>
        <v/>
      </c>
      <c r="OA54" s="24" t="str">
        <f t="shared" ca="1" si="165"/>
        <v/>
      </c>
      <c r="OB54" s="24" t="str">
        <f t="shared" ca="1" si="165"/>
        <v/>
      </c>
      <c r="OC54" s="24" t="str">
        <f t="shared" ca="1" si="165"/>
        <v/>
      </c>
      <c r="OD54" s="24" t="str">
        <f t="shared" ca="1" si="165"/>
        <v/>
      </c>
      <c r="OE54" s="24" t="str">
        <f t="shared" ca="1" si="165"/>
        <v/>
      </c>
      <c r="OF54" s="24" t="str">
        <f t="shared" ca="1" si="165"/>
        <v/>
      </c>
      <c r="OG54" s="24" t="str">
        <f t="shared" ca="1" si="165"/>
        <v/>
      </c>
      <c r="OH54" s="24" t="str">
        <f t="shared" ca="1" si="165"/>
        <v/>
      </c>
      <c r="OI54" s="24" t="str">
        <f t="shared" ca="1" si="165"/>
        <v/>
      </c>
      <c r="OJ54" s="24" t="str">
        <f t="shared" ca="1" si="166"/>
        <v/>
      </c>
      <c r="OK54" s="24" t="str">
        <f t="shared" ca="1" si="166"/>
        <v/>
      </c>
      <c r="OL54" s="24" t="str">
        <f t="shared" ca="1" si="166"/>
        <v/>
      </c>
      <c r="OM54" s="24" t="str">
        <f t="shared" ca="1" si="166"/>
        <v/>
      </c>
      <c r="ON54" s="24" t="str">
        <f t="shared" ca="1" si="166"/>
        <v/>
      </c>
      <c r="OO54" s="24" t="str">
        <f t="shared" ca="1" si="166"/>
        <v/>
      </c>
      <c r="OP54" s="24" t="str">
        <f t="shared" ca="1" si="166"/>
        <v/>
      </c>
      <c r="OQ54" s="24" t="str">
        <f t="shared" ca="1" si="166"/>
        <v/>
      </c>
      <c r="OR54" s="24" t="str">
        <f t="shared" ca="1" si="166"/>
        <v/>
      </c>
      <c r="OS54" s="24" t="str">
        <f t="shared" ca="1" si="166"/>
        <v/>
      </c>
      <c r="OT54" s="24" t="str">
        <f t="shared" ca="1" si="167"/>
        <v/>
      </c>
      <c r="OU54" s="24" t="str">
        <f t="shared" ca="1" si="167"/>
        <v/>
      </c>
      <c r="OV54" s="24" t="str">
        <f t="shared" ca="1" si="167"/>
        <v/>
      </c>
      <c r="OW54" s="24" t="str">
        <f t="shared" ca="1" si="167"/>
        <v/>
      </c>
      <c r="OX54" s="24" t="str">
        <f t="shared" ca="1" si="167"/>
        <v/>
      </c>
      <c r="OY54" s="24" t="str">
        <f t="shared" ca="1" si="167"/>
        <v/>
      </c>
      <c r="OZ54" s="24" t="str">
        <f t="shared" ca="1" si="167"/>
        <v/>
      </c>
      <c r="PA54" s="24" t="str">
        <f t="shared" ca="1" si="167"/>
        <v/>
      </c>
      <c r="PB54" s="24" t="str">
        <f t="shared" ca="1" si="167"/>
        <v/>
      </c>
      <c r="PC54" s="24" t="str">
        <f t="shared" ca="1" si="167"/>
        <v/>
      </c>
      <c r="PD54" s="24" t="str">
        <f t="shared" ca="1" si="168"/>
        <v/>
      </c>
      <c r="PE54" s="24" t="str">
        <f t="shared" ca="1" si="168"/>
        <v/>
      </c>
      <c r="PF54" s="24" t="str">
        <f t="shared" ca="1" si="168"/>
        <v/>
      </c>
      <c r="PG54" s="24" t="str">
        <f t="shared" ca="1" si="168"/>
        <v/>
      </c>
      <c r="PH54" s="24" t="str">
        <f t="shared" ca="1" si="168"/>
        <v/>
      </c>
      <c r="PI54" s="24" t="str">
        <f t="shared" ca="1" si="168"/>
        <v/>
      </c>
      <c r="PJ54" s="24" t="str">
        <f t="shared" ca="1" si="168"/>
        <v/>
      </c>
      <c r="PK54" s="24" t="str">
        <f t="shared" ca="1" si="168"/>
        <v/>
      </c>
      <c r="PL54" s="24" t="str">
        <f t="shared" ca="1" si="168"/>
        <v/>
      </c>
      <c r="PM54" s="24" t="str">
        <f t="shared" ca="1" si="168"/>
        <v/>
      </c>
      <c r="PN54" s="24" t="str">
        <f t="shared" ca="1" si="169"/>
        <v/>
      </c>
      <c r="PO54" s="24" t="str">
        <f t="shared" ca="1" si="169"/>
        <v/>
      </c>
      <c r="PP54" s="24" t="str">
        <f t="shared" ca="1" si="169"/>
        <v/>
      </c>
      <c r="PQ54" s="24" t="str">
        <f t="shared" ca="1" si="169"/>
        <v/>
      </c>
      <c r="PR54" s="24" t="str">
        <f t="shared" ca="1" si="169"/>
        <v/>
      </c>
      <c r="PS54" s="24" t="str">
        <f t="shared" ca="1" si="169"/>
        <v/>
      </c>
      <c r="PT54" s="24" t="str">
        <f t="shared" ca="1" si="169"/>
        <v/>
      </c>
      <c r="PU54" s="24" t="str">
        <f t="shared" ca="1" si="169"/>
        <v/>
      </c>
      <c r="PV54" s="24" t="str">
        <f t="shared" ca="1" si="169"/>
        <v/>
      </c>
      <c r="PW54" s="24" t="str">
        <f t="shared" ca="1" si="169"/>
        <v/>
      </c>
      <c r="PX54" s="24" t="str">
        <f t="shared" ca="1" si="170"/>
        <v/>
      </c>
      <c r="PY54" s="24" t="str">
        <f t="shared" ca="1" si="170"/>
        <v/>
      </c>
      <c r="PZ54" s="24" t="str">
        <f t="shared" ca="1" si="170"/>
        <v/>
      </c>
      <c r="QA54" s="24" t="str">
        <f t="shared" ca="1" si="170"/>
        <v/>
      </c>
      <c r="QB54" s="24" t="str">
        <f t="shared" ca="1" si="170"/>
        <v/>
      </c>
      <c r="QC54" s="24" t="str">
        <f t="shared" ca="1" si="170"/>
        <v/>
      </c>
      <c r="QD54" s="24" t="str">
        <f t="shared" ca="1" si="170"/>
        <v/>
      </c>
      <c r="QE54" s="24" t="str">
        <f t="shared" ca="1" si="170"/>
        <v/>
      </c>
      <c r="QF54" s="24" t="str">
        <f t="shared" ca="1" si="170"/>
        <v/>
      </c>
      <c r="QG54" s="24" t="str">
        <f t="shared" ca="1" si="170"/>
        <v/>
      </c>
      <c r="QH54" s="24" t="str">
        <f t="shared" ca="1" si="171"/>
        <v/>
      </c>
      <c r="QI54" s="24" t="str">
        <f t="shared" ca="1" si="171"/>
        <v/>
      </c>
      <c r="QJ54" s="24" t="str">
        <f t="shared" ca="1" si="171"/>
        <v/>
      </c>
      <c r="QK54" s="24" t="str">
        <f t="shared" ca="1" si="171"/>
        <v/>
      </c>
      <c r="QL54" s="24" t="str">
        <f t="shared" ca="1" si="171"/>
        <v/>
      </c>
      <c r="QM54" s="24" t="str">
        <f t="shared" ca="1" si="171"/>
        <v/>
      </c>
      <c r="QN54" s="24" t="str">
        <f t="shared" ca="1" si="171"/>
        <v/>
      </c>
      <c r="QO54" s="24" t="str">
        <f t="shared" ca="1" si="171"/>
        <v/>
      </c>
      <c r="QP54" s="24" t="str">
        <f t="shared" ca="1" si="171"/>
        <v/>
      </c>
      <c r="QQ54" s="24" t="str">
        <f t="shared" ca="1" si="171"/>
        <v/>
      </c>
      <c r="QR54" s="24" t="str">
        <f t="shared" ca="1" si="172"/>
        <v/>
      </c>
      <c r="QS54" s="24" t="str">
        <f t="shared" ca="1" si="172"/>
        <v/>
      </c>
      <c r="QT54" s="24" t="str">
        <f t="shared" ca="1" si="172"/>
        <v/>
      </c>
      <c r="QU54" s="24" t="str">
        <f t="shared" ca="1" si="172"/>
        <v/>
      </c>
      <c r="QV54" s="24" t="str">
        <f t="shared" ca="1" si="172"/>
        <v/>
      </c>
      <c r="QW54" s="24" t="str">
        <f t="shared" ca="1" si="172"/>
        <v/>
      </c>
      <c r="QX54" s="24" t="str">
        <f t="shared" ca="1" si="172"/>
        <v/>
      </c>
      <c r="QY54" s="24" t="str">
        <f t="shared" ca="1" si="172"/>
        <v/>
      </c>
      <c r="QZ54" s="24" t="str">
        <f t="shared" ca="1" si="172"/>
        <v/>
      </c>
      <c r="RA54" s="24" t="str">
        <f t="shared" ca="1" si="172"/>
        <v/>
      </c>
      <c r="RB54" s="24" t="str">
        <f t="shared" ca="1" si="173"/>
        <v/>
      </c>
      <c r="RC54" s="24" t="str">
        <f t="shared" ca="1" si="173"/>
        <v/>
      </c>
      <c r="RD54" s="24" t="str">
        <f t="shared" ca="1" si="173"/>
        <v/>
      </c>
      <c r="RE54" s="24" t="str">
        <f t="shared" ca="1" si="173"/>
        <v/>
      </c>
      <c r="RF54" s="24" t="str">
        <f t="shared" ca="1" si="173"/>
        <v/>
      </c>
      <c r="RG54" s="24" t="str">
        <f t="shared" ca="1" si="173"/>
        <v/>
      </c>
      <c r="RH54" s="24" t="str">
        <f t="shared" ca="1" si="173"/>
        <v/>
      </c>
      <c r="RI54" s="24" t="str">
        <f t="shared" ca="1" si="173"/>
        <v/>
      </c>
      <c r="RJ54" s="24" t="str">
        <f t="shared" ca="1" si="173"/>
        <v/>
      </c>
      <c r="RK54" s="24" t="str">
        <f t="shared" ca="1" si="173"/>
        <v/>
      </c>
      <c r="RL54" s="24" t="str">
        <f t="shared" ca="1" si="174"/>
        <v/>
      </c>
      <c r="RM54" s="24" t="str">
        <f t="shared" ca="1" si="174"/>
        <v/>
      </c>
      <c r="RN54" s="24" t="str">
        <f t="shared" ca="1" si="174"/>
        <v/>
      </c>
      <c r="RO54" s="24" t="str">
        <f t="shared" ca="1" si="174"/>
        <v/>
      </c>
      <c r="RP54" s="24" t="str">
        <f t="shared" ca="1" si="174"/>
        <v/>
      </c>
      <c r="RQ54" s="24" t="str">
        <f t="shared" ca="1" si="174"/>
        <v/>
      </c>
      <c r="RR54" s="24" t="str">
        <f t="shared" ca="1" si="174"/>
        <v/>
      </c>
      <c r="RS54" s="24" t="str">
        <f t="shared" ca="1" si="174"/>
        <v/>
      </c>
      <c r="RT54" s="24" t="str">
        <f t="shared" ca="1" si="174"/>
        <v/>
      </c>
      <c r="RU54" s="24" t="str">
        <f t="shared" ca="1" si="174"/>
        <v/>
      </c>
      <c r="RV54" s="24" t="str">
        <f t="shared" ca="1" si="175"/>
        <v/>
      </c>
      <c r="RW54" s="24" t="str">
        <f t="shared" ca="1" si="175"/>
        <v/>
      </c>
      <c r="RX54" s="24" t="str">
        <f t="shared" ca="1" si="175"/>
        <v/>
      </c>
      <c r="RY54" s="24" t="str">
        <f t="shared" ca="1" si="175"/>
        <v/>
      </c>
      <c r="RZ54" s="24" t="str">
        <f t="shared" ca="1" si="175"/>
        <v/>
      </c>
      <c r="SA54" s="24" t="str">
        <f t="shared" ca="1" si="175"/>
        <v/>
      </c>
      <c r="SB54" s="24" t="str">
        <f t="shared" ca="1" si="175"/>
        <v/>
      </c>
      <c r="SC54" s="24" t="str">
        <f t="shared" ca="1" si="175"/>
        <v/>
      </c>
      <c r="SD54" s="24" t="str">
        <f t="shared" ca="1" si="175"/>
        <v/>
      </c>
      <c r="SE54" s="24" t="str">
        <f t="shared" ca="1" si="175"/>
        <v/>
      </c>
      <c r="SF54" s="24" t="str">
        <f t="shared" ca="1" si="176"/>
        <v/>
      </c>
      <c r="SG54" s="24" t="str">
        <f t="shared" ca="1" si="176"/>
        <v/>
      </c>
      <c r="SH54" s="24" t="str">
        <f t="shared" ca="1" si="176"/>
        <v/>
      </c>
      <c r="SI54" s="24" t="str">
        <f t="shared" ca="1" si="176"/>
        <v/>
      </c>
      <c r="SJ54" s="24" t="str">
        <f t="shared" ca="1" si="176"/>
        <v/>
      </c>
      <c r="SK54" s="24" t="str">
        <f t="shared" ca="1" si="176"/>
        <v/>
      </c>
      <c r="SL54" s="24" t="str">
        <f t="shared" ca="1" si="176"/>
        <v/>
      </c>
      <c r="SM54" s="24" t="str">
        <f t="shared" ca="1" si="176"/>
        <v/>
      </c>
      <c r="SN54" s="24" t="str">
        <f t="shared" ca="1" si="176"/>
        <v/>
      </c>
      <c r="SO54" s="24" t="str">
        <f t="shared" ca="1" si="176"/>
        <v/>
      </c>
      <c r="SP54" s="24" t="str">
        <f t="shared" ca="1" si="177"/>
        <v/>
      </c>
      <c r="SQ54" s="24" t="str">
        <f t="shared" ca="1" si="177"/>
        <v/>
      </c>
      <c r="SR54" s="24" t="str">
        <f t="shared" ca="1" si="177"/>
        <v/>
      </c>
      <c r="SS54" s="24" t="str">
        <f t="shared" ca="1" si="177"/>
        <v/>
      </c>
      <c r="ST54" s="24" t="str">
        <f t="shared" ca="1" si="177"/>
        <v/>
      </c>
      <c r="SU54" s="24" t="str">
        <f t="shared" ca="1" si="177"/>
        <v/>
      </c>
      <c r="SV54" s="24" t="str">
        <f t="shared" ca="1" si="177"/>
        <v/>
      </c>
      <c r="SW54" s="24" t="str">
        <f t="shared" ca="1" si="177"/>
        <v/>
      </c>
      <c r="SX54" s="24" t="str">
        <f t="shared" ca="1" si="177"/>
        <v/>
      </c>
      <c r="SY54" s="24" t="str">
        <f t="shared" ca="1" si="177"/>
        <v/>
      </c>
      <c r="SZ54" s="24" t="str">
        <f t="shared" ca="1" si="178"/>
        <v/>
      </c>
      <c r="TA54" s="24" t="str">
        <f t="shared" ca="1" si="178"/>
        <v/>
      </c>
      <c r="TB54" s="24" t="str">
        <f t="shared" ca="1" si="178"/>
        <v/>
      </c>
      <c r="TC54" s="24" t="str">
        <f t="shared" ca="1" si="178"/>
        <v/>
      </c>
      <c r="TD54" s="24" t="str">
        <f t="shared" ca="1" si="178"/>
        <v/>
      </c>
      <c r="TE54" s="24" t="str">
        <f t="shared" ca="1" si="178"/>
        <v/>
      </c>
      <c r="TF54" s="24" t="str">
        <f t="shared" ca="1" si="178"/>
        <v/>
      </c>
      <c r="TG54" s="24" t="str">
        <f t="shared" ca="1" si="178"/>
        <v/>
      </c>
      <c r="TH54" s="24" t="str">
        <f t="shared" ca="1" si="178"/>
        <v/>
      </c>
      <c r="TI54" s="24" t="str">
        <f t="shared" ca="1" si="178"/>
        <v/>
      </c>
      <c r="TJ54" s="24" t="str">
        <f t="shared" ca="1" si="179"/>
        <v/>
      </c>
      <c r="TK54" s="24" t="str">
        <f t="shared" ca="1" si="179"/>
        <v/>
      </c>
      <c r="TL54" s="24" t="str">
        <f t="shared" ca="1" si="179"/>
        <v/>
      </c>
      <c r="TM54" s="24" t="str">
        <f t="shared" ca="1" si="179"/>
        <v/>
      </c>
      <c r="TN54" s="24" t="str">
        <f t="shared" ca="1" si="179"/>
        <v/>
      </c>
      <c r="TO54" s="24" t="str">
        <f t="shared" ca="1" si="179"/>
        <v/>
      </c>
      <c r="TP54" s="24" t="str">
        <f t="shared" ca="1" si="179"/>
        <v/>
      </c>
      <c r="TQ54" s="24" t="str">
        <f t="shared" ca="1" si="179"/>
        <v/>
      </c>
      <c r="TR54" s="24" t="str">
        <f t="shared" ca="1" si="179"/>
        <v/>
      </c>
      <c r="TS54" s="24" t="str">
        <f t="shared" ca="1" si="179"/>
        <v/>
      </c>
      <c r="TT54" s="24" t="str">
        <f t="shared" ca="1" si="180"/>
        <v/>
      </c>
      <c r="TU54" s="24" t="str">
        <f t="shared" ca="1" si="180"/>
        <v/>
      </c>
      <c r="TV54" s="24" t="str">
        <f t="shared" ca="1" si="180"/>
        <v/>
      </c>
      <c r="TW54" s="24" t="str">
        <f t="shared" ca="1" si="180"/>
        <v/>
      </c>
      <c r="TX54" s="24" t="str">
        <f t="shared" ca="1" si="180"/>
        <v/>
      </c>
      <c r="TY54" s="24" t="str">
        <f t="shared" ca="1" si="180"/>
        <v/>
      </c>
      <c r="TZ54" s="24" t="str">
        <f t="shared" ca="1" si="180"/>
        <v/>
      </c>
      <c r="UA54" s="24" t="str">
        <f t="shared" ca="1" si="180"/>
        <v/>
      </c>
      <c r="UB54" s="24" t="str">
        <f t="shared" ca="1" si="180"/>
        <v/>
      </c>
      <c r="UC54" s="24" t="str">
        <f t="shared" ca="1" si="180"/>
        <v/>
      </c>
      <c r="UD54" s="24" t="str">
        <f t="shared" ca="1" si="181"/>
        <v/>
      </c>
      <c r="UE54" s="24" t="str">
        <f t="shared" ca="1" si="181"/>
        <v/>
      </c>
      <c r="UF54" s="24" t="str">
        <f t="shared" ca="1" si="181"/>
        <v/>
      </c>
      <c r="UG54" s="24" t="str">
        <f t="shared" ca="1" si="181"/>
        <v/>
      </c>
      <c r="UH54" s="24" t="str">
        <f t="shared" ca="1" si="181"/>
        <v/>
      </c>
      <c r="UI54" s="24" t="str">
        <f t="shared" ca="1" si="181"/>
        <v/>
      </c>
      <c r="UJ54" s="24" t="str">
        <f t="shared" ca="1" si="181"/>
        <v/>
      </c>
      <c r="UK54" s="24" t="str">
        <f t="shared" ca="1" si="181"/>
        <v/>
      </c>
      <c r="UL54" s="24" t="str">
        <f t="shared" ca="1" si="181"/>
        <v/>
      </c>
      <c r="UM54" s="24" t="str">
        <f t="shared" ca="1" si="181"/>
        <v/>
      </c>
      <c r="UN54" s="24" t="str">
        <f t="shared" ca="1" si="182"/>
        <v/>
      </c>
      <c r="UO54" s="24" t="str">
        <f t="shared" ca="1" si="182"/>
        <v/>
      </c>
      <c r="UP54" s="24" t="str">
        <f t="shared" ca="1" si="182"/>
        <v/>
      </c>
      <c r="UQ54" s="24" t="str">
        <f t="shared" ca="1" si="182"/>
        <v/>
      </c>
      <c r="UR54" s="24" t="str">
        <f t="shared" ca="1" si="182"/>
        <v/>
      </c>
      <c r="US54" s="24" t="str">
        <f t="shared" ca="1" si="182"/>
        <v/>
      </c>
      <c r="UT54" s="24" t="str">
        <f t="shared" ca="1" si="182"/>
        <v/>
      </c>
      <c r="UU54" s="24" t="str">
        <f t="shared" ca="1" si="182"/>
        <v/>
      </c>
      <c r="UV54" s="24" t="str">
        <f t="shared" ca="1" si="182"/>
        <v/>
      </c>
      <c r="UW54" s="24" t="str">
        <f t="shared" ca="1" si="182"/>
        <v/>
      </c>
      <c r="UX54" s="24" t="str">
        <f t="shared" ca="1" si="183"/>
        <v/>
      </c>
      <c r="UY54" s="24" t="str">
        <f t="shared" ca="1" si="183"/>
        <v/>
      </c>
      <c r="UZ54" s="24" t="str">
        <f t="shared" ca="1" si="183"/>
        <v/>
      </c>
      <c r="VA54" s="24" t="str">
        <f t="shared" ca="1" si="183"/>
        <v/>
      </c>
      <c r="VB54" s="24" t="str">
        <f t="shared" ca="1" si="183"/>
        <v/>
      </c>
      <c r="VC54" s="24" t="str">
        <f t="shared" ca="1" si="183"/>
        <v/>
      </c>
      <c r="VD54" s="24" t="str">
        <f t="shared" ca="1" si="183"/>
        <v/>
      </c>
      <c r="VE54" s="24" t="str">
        <f t="shared" ca="1" si="183"/>
        <v/>
      </c>
      <c r="VF54" s="24" t="str">
        <f t="shared" ca="1" si="183"/>
        <v/>
      </c>
      <c r="VG54" s="24" t="str">
        <f t="shared" ca="1" si="183"/>
        <v/>
      </c>
      <c r="VH54" s="24" t="str">
        <f t="shared" ca="1" si="184"/>
        <v/>
      </c>
      <c r="VI54" s="24" t="str">
        <f t="shared" ca="1" si="184"/>
        <v/>
      </c>
      <c r="VJ54" s="24" t="str">
        <f t="shared" ca="1" si="184"/>
        <v/>
      </c>
      <c r="VK54" s="24" t="str">
        <f t="shared" ca="1" si="184"/>
        <v/>
      </c>
      <c r="VL54" s="24" t="str">
        <f t="shared" ca="1" si="184"/>
        <v/>
      </c>
      <c r="VM54" s="24" t="str">
        <f t="shared" ca="1" si="184"/>
        <v/>
      </c>
      <c r="VN54" s="24" t="str">
        <f t="shared" ca="1" si="184"/>
        <v/>
      </c>
      <c r="VO54" s="24" t="str">
        <f t="shared" ca="1" si="184"/>
        <v/>
      </c>
      <c r="VP54" s="24" t="str">
        <f t="shared" ca="1" si="184"/>
        <v/>
      </c>
      <c r="VQ54" s="24" t="str">
        <f t="shared" ca="1" si="184"/>
        <v/>
      </c>
      <c r="VR54" s="24" t="str">
        <f t="shared" ca="1" si="184"/>
        <v/>
      </c>
      <c r="VS54" s="24" t="str">
        <f t="shared" ca="1" si="184"/>
        <v/>
      </c>
    </row>
    <row r="55" spans="1:591" s="17" customFormat="1" ht="21.6" customHeight="1" x14ac:dyDescent="0.3">
      <c r="A55" s="81"/>
      <c r="B55" s="28" t="s">
        <v>69</v>
      </c>
      <c r="C55" s="19"/>
      <c r="D55" s="19"/>
      <c r="E55" s="27"/>
      <c r="F55" s="26">
        <f>F54+1</f>
        <v>46011</v>
      </c>
      <c r="G55" s="26">
        <f>Milestones43524[[#This Row],[Start]]+Milestones43524[[#This Row],[Days]]</f>
        <v>46035</v>
      </c>
      <c r="H55" s="25">
        <v>24</v>
      </c>
      <c r="I55" s="19"/>
      <c r="J55" s="74" t="str">
        <f t="shared" ca="1" si="127"/>
        <v/>
      </c>
      <c r="K55" s="74" t="str">
        <f t="shared" ca="1" si="127"/>
        <v/>
      </c>
      <c r="L55" s="74" t="str">
        <f t="shared" ca="1" si="127"/>
        <v/>
      </c>
      <c r="M55" s="74" t="str">
        <f t="shared" ca="1" si="127"/>
        <v/>
      </c>
      <c r="N55" s="74" t="str">
        <f t="shared" ca="1" si="127"/>
        <v/>
      </c>
      <c r="O55" s="74" t="str">
        <f t="shared" ca="1" si="127"/>
        <v/>
      </c>
      <c r="P55" s="74" t="str">
        <f t="shared" ca="1" si="127"/>
        <v/>
      </c>
      <c r="Q55" s="74" t="str">
        <f t="shared" ca="1" si="127"/>
        <v/>
      </c>
      <c r="R55" s="74" t="str">
        <f t="shared" ca="1" si="127"/>
        <v/>
      </c>
      <c r="S55" s="74" t="str">
        <f t="shared" ca="1" si="127"/>
        <v/>
      </c>
      <c r="T55" s="74" t="str">
        <f t="shared" ca="1" si="128"/>
        <v/>
      </c>
      <c r="U55" s="74" t="str">
        <f t="shared" ca="1" si="128"/>
        <v/>
      </c>
      <c r="V55" s="74" t="str">
        <f t="shared" ca="1" si="128"/>
        <v/>
      </c>
      <c r="W55" s="74" t="str">
        <f t="shared" ca="1" si="128"/>
        <v/>
      </c>
      <c r="X55" s="74" t="str">
        <f t="shared" ca="1" si="128"/>
        <v/>
      </c>
      <c r="Y55" s="74" t="str">
        <f t="shared" ca="1" si="128"/>
        <v/>
      </c>
      <c r="Z55" s="74" t="str">
        <f t="shared" ca="1" si="128"/>
        <v/>
      </c>
      <c r="AA55" s="74" t="str">
        <f t="shared" ca="1" si="128"/>
        <v/>
      </c>
      <c r="AB55" s="74" t="str">
        <f t="shared" ca="1" si="128"/>
        <v/>
      </c>
      <c r="AC55" s="74" t="str">
        <f t="shared" ca="1" si="128"/>
        <v/>
      </c>
      <c r="AD55" s="74" t="str">
        <f t="shared" ca="1" si="129"/>
        <v/>
      </c>
      <c r="AE55" s="74" t="str">
        <f t="shared" ca="1" si="129"/>
        <v/>
      </c>
      <c r="AF55" s="74" t="str">
        <f t="shared" ca="1" si="129"/>
        <v/>
      </c>
      <c r="AG55" s="74" t="str">
        <f t="shared" ca="1" si="129"/>
        <v/>
      </c>
      <c r="AH55" s="74" t="str">
        <f t="shared" ca="1" si="129"/>
        <v/>
      </c>
      <c r="AI55" s="74" t="str">
        <f t="shared" ca="1" si="129"/>
        <v/>
      </c>
      <c r="AJ55" s="74" t="str">
        <f t="shared" ca="1" si="129"/>
        <v/>
      </c>
      <c r="AK55" s="74" t="str">
        <f t="shared" ca="1" si="129"/>
        <v/>
      </c>
      <c r="AL55" s="74" t="str">
        <f t="shared" ca="1" si="129"/>
        <v/>
      </c>
      <c r="AM55" s="74" t="str">
        <f t="shared" ca="1" si="129"/>
        <v/>
      </c>
      <c r="AN55" s="74" t="str">
        <f t="shared" ca="1" si="130"/>
        <v/>
      </c>
      <c r="AO55" s="74" t="str">
        <f t="shared" ca="1" si="130"/>
        <v/>
      </c>
      <c r="AP55" s="74" t="str">
        <f t="shared" ca="1" si="130"/>
        <v/>
      </c>
      <c r="AQ55" s="74" t="str">
        <f t="shared" ca="1" si="130"/>
        <v/>
      </c>
      <c r="AR55" s="74" t="str">
        <f t="shared" ca="1" si="130"/>
        <v/>
      </c>
      <c r="AS55" s="74" t="str">
        <f t="shared" ca="1" si="130"/>
        <v/>
      </c>
      <c r="AT55" s="74" t="str">
        <f t="shared" ca="1" si="130"/>
        <v/>
      </c>
      <c r="AU55" s="74" t="str">
        <f t="shared" ca="1" si="130"/>
        <v/>
      </c>
      <c r="AV55" s="74" t="str">
        <f t="shared" ca="1" si="130"/>
        <v/>
      </c>
      <c r="AW55" s="74" t="str">
        <f t="shared" ca="1" si="130"/>
        <v/>
      </c>
      <c r="AX55" s="74" t="str">
        <f t="shared" ca="1" si="131"/>
        <v/>
      </c>
      <c r="AY55" s="74" t="str">
        <f t="shared" ca="1" si="131"/>
        <v/>
      </c>
      <c r="AZ55" s="74" t="str">
        <f t="shared" ca="1" si="131"/>
        <v/>
      </c>
      <c r="BA55" s="74" t="str">
        <f t="shared" ca="1" si="131"/>
        <v/>
      </c>
      <c r="BB55" s="74" t="str">
        <f t="shared" ca="1" si="131"/>
        <v/>
      </c>
      <c r="BC55" s="74" t="str">
        <f t="shared" ca="1" si="131"/>
        <v/>
      </c>
      <c r="BD55" s="74" t="str">
        <f t="shared" ca="1" si="131"/>
        <v/>
      </c>
      <c r="BE55" s="74" t="str">
        <f t="shared" ca="1" si="131"/>
        <v/>
      </c>
      <c r="BF55" s="74" t="str">
        <f t="shared" ca="1" si="131"/>
        <v/>
      </c>
      <c r="BG55" s="74" t="str">
        <f t="shared" ca="1" si="131"/>
        <v/>
      </c>
      <c r="BH55" s="74" t="str">
        <f t="shared" ca="1" si="132"/>
        <v/>
      </c>
      <c r="BI55" s="74" t="str">
        <f t="shared" ca="1" si="132"/>
        <v/>
      </c>
      <c r="BJ55" s="74" t="str">
        <f t="shared" ca="1" si="132"/>
        <v/>
      </c>
      <c r="BK55" s="74" t="str">
        <f t="shared" ca="1" si="132"/>
        <v/>
      </c>
      <c r="BL55" s="74" t="str">
        <f t="shared" ca="1" si="132"/>
        <v/>
      </c>
      <c r="BM55" s="74" t="str">
        <f t="shared" ca="1" si="132"/>
        <v/>
      </c>
      <c r="BN55" s="74" t="str">
        <f t="shared" ca="1" si="132"/>
        <v/>
      </c>
      <c r="BO55" s="74" t="str">
        <f t="shared" ca="1" si="132"/>
        <v/>
      </c>
      <c r="BP55" s="74" t="str">
        <f t="shared" ca="1" si="132"/>
        <v/>
      </c>
      <c r="BQ55" s="74" t="str">
        <f t="shared" ca="1" si="132"/>
        <v/>
      </c>
      <c r="BR55" s="74" t="str">
        <f t="shared" ca="1" si="133"/>
        <v/>
      </c>
      <c r="BS55" s="74" t="str">
        <f t="shared" ca="1" si="133"/>
        <v/>
      </c>
      <c r="BT55" s="74" t="str">
        <f t="shared" ca="1" si="133"/>
        <v/>
      </c>
      <c r="BU55" s="74" t="str">
        <f t="shared" ca="1" si="133"/>
        <v/>
      </c>
      <c r="BV55" s="74" t="str">
        <f t="shared" ca="1" si="133"/>
        <v/>
      </c>
      <c r="BW55" s="74" t="str">
        <f t="shared" ca="1" si="133"/>
        <v/>
      </c>
      <c r="BX55" s="74" t="str">
        <f t="shared" ca="1" si="133"/>
        <v/>
      </c>
      <c r="BY55" s="74" t="str">
        <f t="shared" ca="1" si="133"/>
        <v/>
      </c>
      <c r="BZ55" s="74" t="str">
        <f t="shared" ca="1" si="133"/>
        <v/>
      </c>
      <c r="CA55" s="74" t="str">
        <f t="shared" ca="1" si="133"/>
        <v/>
      </c>
      <c r="CB55" s="74" t="str">
        <f t="shared" ca="1" si="134"/>
        <v/>
      </c>
      <c r="CC55" s="74" t="str">
        <f t="shared" ca="1" si="134"/>
        <v/>
      </c>
      <c r="CD55" s="74" t="str">
        <f t="shared" ca="1" si="134"/>
        <v/>
      </c>
      <c r="CE55" s="74" t="str">
        <f t="shared" ca="1" si="134"/>
        <v/>
      </c>
      <c r="CF55" s="74" t="str">
        <f t="shared" ca="1" si="134"/>
        <v/>
      </c>
      <c r="CG55" s="74" t="str">
        <f t="shared" ca="1" si="134"/>
        <v/>
      </c>
      <c r="CH55" s="74" t="str">
        <f t="shared" ca="1" si="134"/>
        <v/>
      </c>
      <c r="CI55" s="74" t="str">
        <f t="shared" ca="1" si="134"/>
        <v/>
      </c>
      <c r="CJ55" s="74" t="str">
        <f t="shared" ca="1" si="134"/>
        <v/>
      </c>
      <c r="CK55" s="74" t="str">
        <f t="shared" ca="1" si="134"/>
        <v/>
      </c>
      <c r="CL55" s="74" t="str">
        <f t="shared" ca="1" si="135"/>
        <v/>
      </c>
      <c r="CM55" s="74" t="str">
        <f t="shared" ca="1" si="135"/>
        <v/>
      </c>
      <c r="CN55" s="74" t="str">
        <f t="shared" ca="1" si="135"/>
        <v/>
      </c>
      <c r="CO55" s="74" t="str">
        <f t="shared" ca="1" si="135"/>
        <v/>
      </c>
      <c r="CP55" s="74" t="str">
        <f t="shared" ca="1" si="135"/>
        <v/>
      </c>
      <c r="CQ55" s="74" t="str">
        <f t="shared" ca="1" si="135"/>
        <v/>
      </c>
      <c r="CR55" s="74" t="str">
        <f t="shared" ca="1" si="135"/>
        <v/>
      </c>
      <c r="CS55" s="74" t="str">
        <f t="shared" ca="1" si="135"/>
        <v/>
      </c>
      <c r="CT55" s="74" t="str">
        <f t="shared" ca="1" si="135"/>
        <v/>
      </c>
      <c r="CU55" s="74" t="str">
        <f t="shared" ca="1" si="135"/>
        <v/>
      </c>
      <c r="CV55" s="74" t="str">
        <f t="shared" ca="1" si="136"/>
        <v/>
      </c>
      <c r="CW55" s="74" t="str">
        <f t="shared" ca="1" si="136"/>
        <v/>
      </c>
      <c r="CX55" s="74" t="str">
        <f t="shared" ca="1" si="136"/>
        <v/>
      </c>
      <c r="CY55" s="74" t="str">
        <f t="shared" ca="1" si="136"/>
        <v/>
      </c>
      <c r="CZ55" s="74" t="str">
        <f t="shared" ca="1" si="136"/>
        <v/>
      </c>
      <c r="DA55" s="74" t="str">
        <f t="shared" ca="1" si="136"/>
        <v/>
      </c>
      <c r="DB55" s="74" t="str">
        <f t="shared" ca="1" si="136"/>
        <v/>
      </c>
      <c r="DC55" s="74" t="str">
        <f t="shared" ca="1" si="136"/>
        <v/>
      </c>
      <c r="DD55" s="74" t="str">
        <f t="shared" ca="1" si="136"/>
        <v/>
      </c>
      <c r="DE55" s="74" t="str">
        <f t="shared" ca="1" si="136"/>
        <v/>
      </c>
      <c r="DF55" s="74" t="str">
        <f t="shared" ca="1" si="137"/>
        <v/>
      </c>
      <c r="DG55" s="74" t="str">
        <f t="shared" ca="1" si="137"/>
        <v/>
      </c>
      <c r="DH55" s="74" t="str">
        <f t="shared" ca="1" si="137"/>
        <v/>
      </c>
      <c r="DI55" s="74" t="str">
        <f t="shared" ca="1" si="137"/>
        <v/>
      </c>
      <c r="DJ55" s="74" t="str">
        <f t="shared" ca="1" si="137"/>
        <v/>
      </c>
      <c r="DK55" s="74" t="str">
        <f t="shared" ca="1" si="137"/>
        <v/>
      </c>
      <c r="DL55" s="74" t="str">
        <f t="shared" ca="1" si="137"/>
        <v/>
      </c>
      <c r="DM55" s="74" t="str">
        <f t="shared" ca="1" si="137"/>
        <v/>
      </c>
      <c r="DN55" s="74" t="str">
        <f t="shared" ca="1" si="137"/>
        <v/>
      </c>
      <c r="DO55" s="74" t="str">
        <f t="shared" ca="1" si="137"/>
        <v/>
      </c>
      <c r="DP55" s="74" t="str">
        <f t="shared" ca="1" si="138"/>
        <v/>
      </c>
      <c r="DQ55" s="74" t="str">
        <f t="shared" ca="1" si="138"/>
        <v/>
      </c>
      <c r="DR55" s="74" t="str">
        <f t="shared" ca="1" si="138"/>
        <v/>
      </c>
      <c r="DS55" s="74" t="str">
        <f t="shared" ca="1" si="138"/>
        <v/>
      </c>
      <c r="DT55" s="74" t="str">
        <f t="shared" ca="1" si="138"/>
        <v/>
      </c>
      <c r="DU55" s="74" t="str">
        <f t="shared" ca="1" si="138"/>
        <v/>
      </c>
      <c r="DV55" s="74" t="str">
        <f t="shared" ca="1" si="138"/>
        <v/>
      </c>
      <c r="DW55" s="74" t="str">
        <f t="shared" ca="1" si="138"/>
        <v/>
      </c>
      <c r="DX55" s="74" t="str">
        <f t="shared" ca="1" si="138"/>
        <v/>
      </c>
      <c r="DY55" s="74" t="str">
        <f t="shared" ca="1" si="138"/>
        <v/>
      </c>
      <c r="DZ55" s="74" t="str">
        <f t="shared" ca="1" si="139"/>
        <v/>
      </c>
      <c r="EA55" s="74" t="str">
        <f t="shared" ca="1" si="139"/>
        <v/>
      </c>
      <c r="EB55" s="74" t="str">
        <f t="shared" ca="1" si="139"/>
        <v/>
      </c>
      <c r="EC55" s="74" t="str">
        <f t="shared" ca="1" si="139"/>
        <v/>
      </c>
      <c r="ED55" s="74" t="str">
        <f t="shared" ca="1" si="139"/>
        <v/>
      </c>
      <c r="EE55" s="74" t="str">
        <f t="shared" ca="1" si="139"/>
        <v/>
      </c>
      <c r="EF55" s="74" t="str">
        <f t="shared" ca="1" si="139"/>
        <v/>
      </c>
      <c r="EG55" s="74" t="str">
        <f t="shared" ca="1" si="139"/>
        <v/>
      </c>
      <c r="EH55" s="74" t="str">
        <f t="shared" ca="1" si="139"/>
        <v/>
      </c>
      <c r="EI55" s="74" t="str">
        <f t="shared" ca="1" si="139"/>
        <v/>
      </c>
      <c r="EJ55" s="74" t="str">
        <f t="shared" ca="1" si="140"/>
        <v/>
      </c>
      <c r="EK55" s="74" t="str">
        <f t="shared" ca="1" si="140"/>
        <v/>
      </c>
      <c r="EL55" s="74" t="str">
        <f t="shared" ca="1" si="140"/>
        <v/>
      </c>
      <c r="EM55" s="74" t="str">
        <f t="shared" ca="1" si="140"/>
        <v/>
      </c>
      <c r="EN55" s="74" t="str">
        <f t="shared" ca="1" si="140"/>
        <v/>
      </c>
      <c r="EO55" s="74" t="str">
        <f t="shared" ca="1" si="140"/>
        <v/>
      </c>
      <c r="EP55" s="74" t="str">
        <f t="shared" ca="1" si="140"/>
        <v/>
      </c>
      <c r="EQ55" s="74" t="str">
        <f t="shared" ca="1" si="140"/>
        <v/>
      </c>
      <c r="ER55" s="74" t="str">
        <f t="shared" ca="1" si="140"/>
        <v/>
      </c>
      <c r="ES55" s="74" t="str">
        <f t="shared" ca="1" si="140"/>
        <v/>
      </c>
      <c r="ET55" s="74" t="str">
        <f t="shared" ca="1" si="141"/>
        <v/>
      </c>
      <c r="EU55" s="74" t="str">
        <f t="shared" ca="1" si="141"/>
        <v/>
      </c>
      <c r="EV55" s="74" t="str">
        <f t="shared" ca="1" si="141"/>
        <v/>
      </c>
      <c r="EW55" s="74" t="str">
        <f t="shared" ca="1" si="141"/>
        <v/>
      </c>
      <c r="EX55" s="74" t="str">
        <f t="shared" ca="1" si="141"/>
        <v/>
      </c>
      <c r="EY55" s="74" t="str">
        <f t="shared" ca="1" si="141"/>
        <v/>
      </c>
      <c r="EZ55" s="74" t="str">
        <f t="shared" ca="1" si="141"/>
        <v/>
      </c>
      <c r="FA55" s="74" t="str">
        <f t="shared" ca="1" si="141"/>
        <v/>
      </c>
      <c r="FB55" s="74" t="str">
        <f t="shared" ca="1" si="141"/>
        <v/>
      </c>
      <c r="FC55" s="74" t="str">
        <f t="shared" ca="1" si="141"/>
        <v/>
      </c>
      <c r="FD55" s="74" t="str">
        <f t="shared" ca="1" si="142"/>
        <v/>
      </c>
      <c r="FE55" s="74" t="str">
        <f t="shared" ca="1" si="142"/>
        <v/>
      </c>
      <c r="FF55" s="74" t="str">
        <f t="shared" ca="1" si="142"/>
        <v/>
      </c>
      <c r="FG55" s="74" t="str">
        <f t="shared" ca="1" si="142"/>
        <v/>
      </c>
      <c r="FH55" s="74" t="str">
        <f t="shared" ca="1" si="142"/>
        <v/>
      </c>
      <c r="FI55" s="74" t="str">
        <f t="shared" ca="1" si="142"/>
        <v/>
      </c>
      <c r="FJ55" s="74" t="str">
        <f t="shared" ca="1" si="142"/>
        <v/>
      </c>
      <c r="FK55" s="74" t="str">
        <f t="shared" ca="1" si="142"/>
        <v/>
      </c>
      <c r="FL55" s="74" t="str">
        <f t="shared" ca="1" si="142"/>
        <v/>
      </c>
      <c r="FM55" s="74" t="str">
        <f t="shared" ca="1" si="142"/>
        <v/>
      </c>
      <c r="FN55" s="74" t="str">
        <f t="shared" ca="1" si="143"/>
        <v/>
      </c>
      <c r="FO55" s="74" t="str">
        <f t="shared" ca="1" si="143"/>
        <v/>
      </c>
      <c r="FP55" s="74" t="str">
        <f t="shared" ca="1" si="143"/>
        <v/>
      </c>
      <c r="FQ55" s="74" t="str">
        <f t="shared" ca="1" si="143"/>
        <v/>
      </c>
      <c r="FR55" s="74" t="str">
        <f t="shared" ca="1" si="143"/>
        <v/>
      </c>
      <c r="FS55" s="74" t="str">
        <f t="shared" ca="1" si="143"/>
        <v/>
      </c>
      <c r="FT55" s="74" t="str">
        <f t="shared" ca="1" si="143"/>
        <v/>
      </c>
      <c r="FU55" s="74" t="str">
        <f t="shared" ca="1" si="143"/>
        <v/>
      </c>
      <c r="FV55" s="74" t="str">
        <f t="shared" ca="1" si="143"/>
        <v/>
      </c>
      <c r="FW55" s="74" t="str">
        <f t="shared" ca="1" si="143"/>
        <v/>
      </c>
      <c r="FX55" s="74" t="str">
        <f t="shared" ca="1" si="144"/>
        <v/>
      </c>
      <c r="FY55" s="74" t="str">
        <f t="shared" ca="1" si="144"/>
        <v/>
      </c>
      <c r="FZ55" s="74" t="str">
        <f t="shared" ca="1" si="144"/>
        <v/>
      </c>
      <c r="GA55" s="74" t="str">
        <f t="shared" ca="1" si="144"/>
        <v/>
      </c>
      <c r="GB55" s="74" t="str">
        <f t="shared" ca="1" si="144"/>
        <v/>
      </c>
      <c r="GC55" s="74" t="str">
        <f t="shared" ca="1" si="144"/>
        <v/>
      </c>
      <c r="GD55" s="74" t="str">
        <f t="shared" ca="1" si="144"/>
        <v/>
      </c>
      <c r="GE55" s="74" t="str">
        <f t="shared" ca="1" si="144"/>
        <v/>
      </c>
      <c r="GF55" s="74" t="str">
        <f t="shared" ca="1" si="144"/>
        <v/>
      </c>
      <c r="GG55" s="74" t="str">
        <f t="shared" ca="1" si="144"/>
        <v/>
      </c>
      <c r="GH55" s="74" t="str">
        <f t="shared" ca="1" si="145"/>
        <v/>
      </c>
      <c r="GI55" s="74" t="str">
        <f t="shared" ca="1" si="145"/>
        <v/>
      </c>
      <c r="GJ55" s="74" t="str">
        <f t="shared" ca="1" si="145"/>
        <v/>
      </c>
      <c r="GK55" s="74" t="str">
        <f t="shared" ca="1" si="145"/>
        <v/>
      </c>
      <c r="GL55" s="74" t="str">
        <f t="shared" ca="1" si="145"/>
        <v/>
      </c>
      <c r="GM55" s="74" t="str">
        <f t="shared" ca="1" si="145"/>
        <v/>
      </c>
      <c r="GN55" s="74" t="str">
        <f t="shared" ca="1" si="145"/>
        <v/>
      </c>
      <c r="GO55" s="74" t="str">
        <f t="shared" ca="1" si="145"/>
        <v/>
      </c>
      <c r="GP55" s="74" t="str">
        <f t="shared" ca="1" si="145"/>
        <v/>
      </c>
      <c r="GQ55" s="74" t="str">
        <f t="shared" ca="1" si="145"/>
        <v/>
      </c>
      <c r="GR55" s="74" t="str">
        <f t="shared" ca="1" si="146"/>
        <v/>
      </c>
      <c r="GS55" s="74" t="str">
        <f t="shared" ca="1" si="146"/>
        <v/>
      </c>
      <c r="GT55" s="74" t="str">
        <f t="shared" ca="1" si="146"/>
        <v/>
      </c>
      <c r="GU55" s="74" t="str">
        <f t="shared" ca="1" si="146"/>
        <v/>
      </c>
      <c r="GV55" s="74" t="str">
        <f t="shared" ca="1" si="146"/>
        <v/>
      </c>
      <c r="GW55" s="74" t="str">
        <f t="shared" ca="1" si="146"/>
        <v/>
      </c>
      <c r="GX55" s="74" t="str">
        <f t="shared" ca="1" si="146"/>
        <v/>
      </c>
      <c r="GY55" s="74" t="str">
        <f t="shared" ca="1" si="146"/>
        <v/>
      </c>
      <c r="GZ55" s="74" t="str">
        <f t="shared" ca="1" si="146"/>
        <v/>
      </c>
      <c r="HA55" s="74" t="str">
        <f t="shared" ca="1" si="146"/>
        <v/>
      </c>
      <c r="HB55" s="74" t="str">
        <f t="shared" ca="1" si="147"/>
        <v/>
      </c>
      <c r="HC55" s="74" t="str">
        <f t="shared" ca="1" si="147"/>
        <v/>
      </c>
      <c r="HD55" s="74" t="str">
        <f t="shared" ca="1" si="147"/>
        <v/>
      </c>
      <c r="HE55" s="74" t="str">
        <f t="shared" ca="1" si="147"/>
        <v/>
      </c>
      <c r="HF55" s="74" t="str">
        <f t="shared" ca="1" si="147"/>
        <v/>
      </c>
      <c r="HG55" s="74" t="str">
        <f t="shared" ca="1" si="147"/>
        <v/>
      </c>
      <c r="HH55" s="74" t="str">
        <f t="shared" ca="1" si="147"/>
        <v/>
      </c>
      <c r="HI55" s="74" t="str">
        <f t="shared" ca="1" si="147"/>
        <v/>
      </c>
      <c r="HJ55" s="74" t="str">
        <f t="shared" ca="1" si="147"/>
        <v/>
      </c>
      <c r="HK55" s="74" t="str">
        <f t="shared" ca="1" si="147"/>
        <v/>
      </c>
      <c r="HL55" s="74" t="str">
        <f t="shared" ca="1" si="148"/>
        <v/>
      </c>
      <c r="HM55" s="74" t="str">
        <f t="shared" ca="1" si="148"/>
        <v/>
      </c>
      <c r="HN55" s="74" t="str">
        <f t="shared" ca="1" si="148"/>
        <v/>
      </c>
      <c r="HO55" s="74" t="str">
        <f t="shared" ca="1" si="148"/>
        <v/>
      </c>
      <c r="HP55" s="74" t="str">
        <f t="shared" ca="1" si="148"/>
        <v/>
      </c>
      <c r="HQ55" s="74" t="str">
        <f t="shared" ca="1" si="148"/>
        <v/>
      </c>
      <c r="HR55" s="74" t="str">
        <f t="shared" ca="1" si="148"/>
        <v/>
      </c>
      <c r="HS55" s="74" t="str">
        <f t="shared" ca="1" si="148"/>
        <v/>
      </c>
      <c r="HT55" s="74" t="str">
        <f t="shared" ca="1" si="148"/>
        <v/>
      </c>
      <c r="HU55" s="74" t="str">
        <f t="shared" ca="1" si="148"/>
        <v/>
      </c>
      <c r="HV55" s="74" t="str">
        <f t="shared" ca="1" si="149"/>
        <v/>
      </c>
      <c r="HW55" s="74" t="str">
        <f t="shared" ca="1" si="149"/>
        <v/>
      </c>
      <c r="HX55" s="74" t="str">
        <f t="shared" ca="1" si="149"/>
        <v/>
      </c>
      <c r="HY55" s="74" t="str">
        <f t="shared" ca="1" si="149"/>
        <v/>
      </c>
      <c r="HZ55" s="74" t="str">
        <f t="shared" ca="1" si="149"/>
        <v/>
      </c>
      <c r="IA55" s="74" t="str">
        <f t="shared" ca="1" si="149"/>
        <v/>
      </c>
      <c r="IB55" s="74" t="str">
        <f t="shared" ca="1" si="149"/>
        <v/>
      </c>
      <c r="IC55" s="74" t="str">
        <f t="shared" ca="1" si="149"/>
        <v/>
      </c>
      <c r="ID55" s="74" t="str">
        <f t="shared" ca="1" si="149"/>
        <v/>
      </c>
      <c r="IE55" s="74" t="str">
        <f t="shared" ca="1" si="149"/>
        <v/>
      </c>
      <c r="IF55" s="74" t="str">
        <f t="shared" ca="1" si="150"/>
        <v/>
      </c>
      <c r="IG55" s="74" t="str">
        <f t="shared" ca="1" si="150"/>
        <v/>
      </c>
      <c r="IH55" s="74" t="str">
        <f t="shared" ca="1" si="150"/>
        <v/>
      </c>
      <c r="II55" s="74" t="str">
        <f t="shared" ca="1" si="150"/>
        <v/>
      </c>
      <c r="IJ55" s="74" t="str">
        <f t="shared" ca="1" si="150"/>
        <v/>
      </c>
      <c r="IK55" s="74" t="str">
        <f t="shared" ca="1" si="150"/>
        <v/>
      </c>
      <c r="IL55" s="74" t="str">
        <f t="shared" ca="1" si="150"/>
        <v/>
      </c>
      <c r="IM55" s="74" t="str">
        <f t="shared" ca="1" si="150"/>
        <v/>
      </c>
      <c r="IN55" s="74" t="str">
        <f t="shared" ca="1" si="150"/>
        <v/>
      </c>
      <c r="IO55" s="74" t="str">
        <f t="shared" ca="1" si="150"/>
        <v/>
      </c>
      <c r="IP55" s="74" t="str">
        <f t="shared" ca="1" si="151"/>
        <v/>
      </c>
      <c r="IQ55" s="74" t="str">
        <f t="shared" ca="1" si="151"/>
        <v/>
      </c>
      <c r="IR55" s="74" t="str">
        <f t="shared" ca="1" si="151"/>
        <v/>
      </c>
      <c r="IS55" s="74" t="str">
        <f t="shared" ca="1" si="151"/>
        <v/>
      </c>
      <c r="IT55" s="74" t="str">
        <f t="shared" ca="1" si="151"/>
        <v/>
      </c>
      <c r="IU55" s="74" t="str">
        <f t="shared" ca="1" si="151"/>
        <v/>
      </c>
      <c r="IV55" s="74" t="str">
        <f t="shared" ca="1" si="151"/>
        <v/>
      </c>
      <c r="IW55" s="74" t="str">
        <f t="shared" ca="1" si="151"/>
        <v/>
      </c>
      <c r="IX55" s="74" t="str">
        <f t="shared" ca="1" si="151"/>
        <v/>
      </c>
      <c r="IY55" s="74" t="str">
        <f t="shared" ca="1" si="151"/>
        <v/>
      </c>
      <c r="IZ55" s="74" t="str">
        <f t="shared" ca="1" si="152"/>
        <v/>
      </c>
      <c r="JA55" s="74" t="str">
        <f t="shared" ca="1" si="152"/>
        <v/>
      </c>
      <c r="JB55" s="74" t="str">
        <f t="shared" ca="1" si="152"/>
        <v/>
      </c>
      <c r="JC55" s="74" t="str">
        <f t="shared" ca="1" si="152"/>
        <v/>
      </c>
      <c r="JD55" s="74" t="str">
        <f t="shared" ca="1" si="152"/>
        <v/>
      </c>
      <c r="JE55" s="74" t="str">
        <f t="shared" ca="1" si="152"/>
        <v/>
      </c>
      <c r="JF55" s="74" t="str">
        <f t="shared" ca="1" si="152"/>
        <v/>
      </c>
      <c r="JG55" s="74" t="str">
        <f t="shared" ca="1" si="152"/>
        <v/>
      </c>
      <c r="JH55" s="74" t="str">
        <f t="shared" ca="1" si="152"/>
        <v/>
      </c>
      <c r="JI55" s="74" t="str">
        <f t="shared" ca="1" si="152"/>
        <v/>
      </c>
      <c r="JJ55" s="74" t="str">
        <f t="shared" ca="1" si="153"/>
        <v/>
      </c>
      <c r="JK55" s="74" t="str">
        <f t="shared" ca="1" si="153"/>
        <v/>
      </c>
      <c r="JL55" s="74" t="str">
        <f t="shared" ca="1" si="153"/>
        <v/>
      </c>
      <c r="JM55" s="74" t="str">
        <f t="shared" ca="1" si="153"/>
        <v/>
      </c>
      <c r="JN55" s="74" t="str">
        <f t="shared" ca="1" si="153"/>
        <v/>
      </c>
      <c r="JO55" s="74" t="str">
        <f t="shared" ca="1" si="153"/>
        <v/>
      </c>
      <c r="JP55" s="74" t="str">
        <f t="shared" ca="1" si="153"/>
        <v/>
      </c>
      <c r="JQ55" s="74" t="str">
        <f t="shared" ca="1" si="153"/>
        <v/>
      </c>
      <c r="JR55" s="74" t="str">
        <f t="shared" ca="1" si="153"/>
        <v/>
      </c>
      <c r="JS55" s="74" t="str">
        <f t="shared" ca="1" si="153"/>
        <v/>
      </c>
      <c r="JT55" s="74" t="str">
        <f t="shared" ca="1" si="154"/>
        <v/>
      </c>
      <c r="JU55" s="74" t="str">
        <f t="shared" ca="1" si="154"/>
        <v/>
      </c>
      <c r="JV55" s="74" t="str">
        <f t="shared" ca="1" si="154"/>
        <v/>
      </c>
      <c r="JW55" s="74" t="str">
        <f t="shared" ca="1" si="154"/>
        <v/>
      </c>
      <c r="JX55" s="74" t="str">
        <f t="shared" ca="1" si="154"/>
        <v/>
      </c>
      <c r="JY55" s="74" t="str">
        <f t="shared" ca="1" si="154"/>
        <v/>
      </c>
      <c r="JZ55" s="74" t="str">
        <f t="shared" ca="1" si="154"/>
        <v/>
      </c>
      <c r="KA55" s="74" t="str">
        <f t="shared" ca="1" si="154"/>
        <v/>
      </c>
      <c r="KB55" s="74" t="str">
        <f t="shared" ca="1" si="154"/>
        <v/>
      </c>
      <c r="KC55" s="74" t="str">
        <f t="shared" ca="1" si="154"/>
        <v/>
      </c>
      <c r="KD55" s="74" t="str">
        <f t="shared" ca="1" si="155"/>
        <v/>
      </c>
      <c r="KE55" s="74" t="str">
        <f t="shared" ca="1" si="155"/>
        <v/>
      </c>
      <c r="KF55" s="74" t="str">
        <f t="shared" ca="1" si="155"/>
        <v/>
      </c>
      <c r="KG55" s="74" t="str">
        <f t="shared" ca="1" si="155"/>
        <v/>
      </c>
      <c r="KH55" s="74" t="str">
        <f t="shared" ca="1" si="155"/>
        <v/>
      </c>
      <c r="KI55" s="74" t="str">
        <f t="shared" ca="1" si="155"/>
        <v/>
      </c>
      <c r="KJ55" s="74" t="str">
        <f t="shared" ca="1" si="155"/>
        <v/>
      </c>
      <c r="KK55" s="74" t="str">
        <f t="shared" ca="1" si="155"/>
        <v/>
      </c>
      <c r="KL55" s="74" t="str">
        <f t="shared" ca="1" si="155"/>
        <v/>
      </c>
      <c r="KM55" s="74" t="str">
        <f t="shared" ca="1" si="155"/>
        <v/>
      </c>
      <c r="KN55" s="74" t="str">
        <f t="shared" ca="1" si="156"/>
        <v/>
      </c>
      <c r="KO55" s="74" t="str">
        <f t="shared" ca="1" si="156"/>
        <v/>
      </c>
      <c r="KP55" s="74" t="str">
        <f t="shared" ca="1" si="156"/>
        <v/>
      </c>
      <c r="KQ55" s="74" t="str">
        <f t="shared" ca="1" si="156"/>
        <v/>
      </c>
      <c r="KR55" s="74" t="str">
        <f t="shared" ca="1" si="156"/>
        <v/>
      </c>
      <c r="KS55" s="74" t="str">
        <f t="shared" ca="1" si="156"/>
        <v/>
      </c>
      <c r="KT55" s="74" t="str">
        <f t="shared" ca="1" si="156"/>
        <v/>
      </c>
      <c r="KU55" s="74" t="str">
        <f t="shared" ca="1" si="156"/>
        <v/>
      </c>
      <c r="KV55" s="74" t="str">
        <f t="shared" ca="1" si="156"/>
        <v/>
      </c>
      <c r="KW55" s="74" t="str">
        <f t="shared" ca="1" si="156"/>
        <v/>
      </c>
      <c r="KX55" s="74" t="str">
        <f t="shared" ca="1" si="157"/>
        <v/>
      </c>
      <c r="KY55" s="74" t="str">
        <f t="shared" ca="1" si="157"/>
        <v/>
      </c>
      <c r="KZ55" s="74" t="str">
        <f t="shared" ca="1" si="157"/>
        <v/>
      </c>
      <c r="LA55" s="74" t="str">
        <f t="shared" ca="1" si="157"/>
        <v/>
      </c>
      <c r="LB55" s="74" t="str">
        <f t="shared" ca="1" si="157"/>
        <v/>
      </c>
      <c r="LC55" s="74" t="str">
        <f t="shared" ca="1" si="157"/>
        <v/>
      </c>
      <c r="LD55" s="74" t="str">
        <f t="shared" ca="1" si="157"/>
        <v/>
      </c>
      <c r="LE55" s="74" t="str">
        <f t="shared" ca="1" si="157"/>
        <v/>
      </c>
      <c r="LF55" s="74" t="str">
        <f t="shared" ca="1" si="157"/>
        <v/>
      </c>
      <c r="LG55" s="74" t="str">
        <f t="shared" ca="1" si="157"/>
        <v/>
      </c>
      <c r="LH55" s="74" t="str">
        <f t="shared" ca="1" si="158"/>
        <v/>
      </c>
      <c r="LI55" s="74" t="str">
        <f t="shared" ca="1" si="158"/>
        <v/>
      </c>
      <c r="LJ55" s="74" t="str">
        <f t="shared" ca="1" si="158"/>
        <v/>
      </c>
      <c r="LK55" s="74" t="str">
        <f t="shared" ca="1" si="158"/>
        <v/>
      </c>
      <c r="LL55" s="74" t="str">
        <f t="shared" ca="1" si="158"/>
        <v/>
      </c>
      <c r="LM55" s="74" t="str">
        <f t="shared" ca="1" si="158"/>
        <v/>
      </c>
      <c r="LN55" s="74" t="str">
        <f t="shared" ca="1" si="158"/>
        <v/>
      </c>
      <c r="LO55" s="74" t="str">
        <f t="shared" ca="1" si="158"/>
        <v/>
      </c>
      <c r="LP55" s="74" t="str">
        <f t="shared" ca="1" si="158"/>
        <v/>
      </c>
      <c r="LQ55" s="74" t="str">
        <f t="shared" ca="1" si="158"/>
        <v/>
      </c>
      <c r="LR55" s="74" t="str">
        <f t="shared" ca="1" si="159"/>
        <v/>
      </c>
      <c r="LS55" s="74" t="str">
        <f t="shared" ca="1" si="159"/>
        <v/>
      </c>
      <c r="LT55" s="74" t="str">
        <f t="shared" ca="1" si="159"/>
        <v/>
      </c>
      <c r="LU55" s="74" t="str">
        <f t="shared" ca="1" si="159"/>
        <v/>
      </c>
      <c r="LV55" s="74" t="str">
        <f t="shared" ca="1" si="159"/>
        <v/>
      </c>
      <c r="LW55" s="74" t="str">
        <f t="shared" ca="1" si="159"/>
        <v/>
      </c>
      <c r="LX55" s="74" t="str">
        <f t="shared" ca="1" si="159"/>
        <v/>
      </c>
      <c r="LY55" s="74" t="str">
        <f t="shared" ca="1" si="159"/>
        <v/>
      </c>
      <c r="LZ55" s="74" t="str">
        <f t="shared" ca="1" si="159"/>
        <v/>
      </c>
      <c r="MA55" s="74" t="str">
        <f t="shared" ca="1" si="159"/>
        <v/>
      </c>
      <c r="MB55" s="74" t="str">
        <f t="shared" ca="1" si="160"/>
        <v/>
      </c>
      <c r="MC55" s="74" t="str">
        <f t="shared" ca="1" si="160"/>
        <v/>
      </c>
      <c r="MD55" s="74" t="str">
        <f t="shared" ca="1" si="160"/>
        <v/>
      </c>
      <c r="ME55" s="74" t="str">
        <f t="shared" ca="1" si="160"/>
        <v/>
      </c>
      <c r="MF55" s="74" t="str">
        <f t="shared" ca="1" si="160"/>
        <v/>
      </c>
      <c r="MG55" s="74" t="str">
        <f t="shared" ca="1" si="160"/>
        <v/>
      </c>
      <c r="MH55" s="74" t="str">
        <f t="shared" ca="1" si="160"/>
        <v/>
      </c>
      <c r="MI55" s="74" t="str">
        <f t="shared" ca="1" si="160"/>
        <v/>
      </c>
      <c r="MJ55" s="74" t="str">
        <f t="shared" ca="1" si="160"/>
        <v/>
      </c>
      <c r="MK55" s="74" t="str">
        <f t="shared" ca="1" si="160"/>
        <v/>
      </c>
      <c r="ML55" s="74" t="str">
        <f t="shared" ca="1" si="161"/>
        <v/>
      </c>
      <c r="MM55" s="74" t="str">
        <f t="shared" ca="1" si="161"/>
        <v/>
      </c>
      <c r="MN55" s="74" t="str">
        <f t="shared" ca="1" si="161"/>
        <v/>
      </c>
      <c r="MO55" s="74" t="str">
        <f t="shared" ca="1" si="161"/>
        <v/>
      </c>
      <c r="MP55" s="74" t="str">
        <f t="shared" ca="1" si="161"/>
        <v/>
      </c>
      <c r="MQ55" s="74" t="str">
        <f t="shared" ca="1" si="161"/>
        <v/>
      </c>
      <c r="MR55" s="74" t="str">
        <f t="shared" ca="1" si="161"/>
        <v/>
      </c>
      <c r="MS55" s="74" t="str">
        <f t="shared" ca="1" si="161"/>
        <v/>
      </c>
      <c r="MT55" s="74" t="str">
        <f t="shared" ca="1" si="161"/>
        <v/>
      </c>
      <c r="MU55" s="74" t="str">
        <f t="shared" ca="1" si="161"/>
        <v/>
      </c>
      <c r="MV55" s="74" t="str">
        <f t="shared" ca="1" si="162"/>
        <v/>
      </c>
      <c r="MW55" s="74" t="str">
        <f t="shared" ca="1" si="162"/>
        <v/>
      </c>
      <c r="MX55" s="74" t="str">
        <f t="shared" ca="1" si="162"/>
        <v/>
      </c>
      <c r="MY55" s="74" t="str">
        <f t="shared" ca="1" si="162"/>
        <v/>
      </c>
      <c r="MZ55" s="74" t="str">
        <f t="shared" ca="1" si="162"/>
        <v/>
      </c>
      <c r="NA55" s="74" t="str">
        <f t="shared" ca="1" si="162"/>
        <v/>
      </c>
      <c r="NB55" s="74" t="str">
        <f t="shared" ca="1" si="162"/>
        <v/>
      </c>
      <c r="NC55" s="74" t="str">
        <f t="shared" ca="1" si="162"/>
        <v/>
      </c>
      <c r="ND55" s="74" t="str">
        <f t="shared" ca="1" si="162"/>
        <v/>
      </c>
      <c r="NE55" s="74" t="str">
        <f t="shared" ca="1" si="162"/>
        <v/>
      </c>
      <c r="NF55" s="74" t="str">
        <f t="shared" ca="1" si="163"/>
        <v/>
      </c>
      <c r="NG55" s="74" t="str">
        <f t="shared" ca="1" si="163"/>
        <v/>
      </c>
      <c r="NH55" s="74" t="str">
        <f t="shared" ca="1" si="163"/>
        <v/>
      </c>
      <c r="NI55" s="74" t="str">
        <f t="shared" ca="1" si="163"/>
        <v/>
      </c>
      <c r="NJ55" s="74" t="str">
        <f t="shared" ca="1" si="163"/>
        <v/>
      </c>
      <c r="NK55" s="74" t="str">
        <f t="shared" ca="1" si="163"/>
        <v/>
      </c>
      <c r="NL55" s="74" t="str">
        <f t="shared" ca="1" si="163"/>
        <v/>
      </c>
      <c r="NM55" s="74" t="str">
        <f t="shared" ca="1" si="163"/>
        <v/>
      </c>
      <c r="NN55" s="74" t="str">
        <f t="shared" ca="1" si="163"/>
        <v/>
      </c>
      <c r="NO55" s="74" t="str">
        <f t="shared" ca="1" si="163"/>
        <v/>
      </c>
      <c r="NP55" s="74" t="str">
        <f t="shared" ca="1" si="164"/>
        <v/>
      </c>
      <c r="NQ55" s="74" t="str">
        <f t="shared" ca="1" si="164"/>
        <v/>
      </c>
      <c r="NR55" s="74" t="str">
        <f t="shared" ca="1" si="164"/>
        <v/>
      </c>
      <c r="NS55" s="74" t="str">
        <f t="shared" ca="1" si="164"/>
        <v/>
      </c>
      <c r="NT55" s="74" t="str">
        <f t="shared" ca="1" si="164"/>
        <v/>
      </c>
      <c r="NU55" s="74" t="str">
        <f t="shared" ca="1" si="164"/>
        <v/>
      </c>
      <c r="NV55" s="74" t="str">
        <f t="shared" ca="1" si="164"/>
        <v/>
      </c>
      <c r="NW55" s="74" t="str">
        <f t="shared" ca="1" si="164"/>
        <v/>
      </c>
      <c r="NX55" s="74" t="str">
        <f t="shared" ca="1" si="164"/>
        <v/>
      </c>
      <c r="NY55" s="74" t="str">
        <f t="shared" ca="1" si="164"/>
        <v/>
      </c>
      <c r="NZ55" s="74" t="str">
        <f t="shared" ca="1" si="165"/>
        <v/>
      </c>
      <c r="OA55" s="74" t="str">
        <f t="shared" ca="1" si="165"/>
        <v/>
      </c>
      <c r="OB55" s="74" t="str">
        <f t="shared" ca="1" si="165"/>
        <v/>
      </c>
      <c r="OC55" s="74" t="str">
        <f t="shared" ca="1" si="165"/>
        <v/>
      </c>
      <c r="OD55" s="74" t="str">
        <f t="shared" ca="1" si="165"/>
        <v/>
      </c>
      <c r="OE55" s="74" t="str">
        <f t="shared" ca="1" si="165"/>
        <v/>
      </c>
      <c r="OF55" s="74" t="str">
        <f t="shared" ca="1" si="165"/>
        <v/>
      </c>
      <c r="OG55" s="74" t="str">
        <f t="shared" ca="1" si="165"/>
        <v/>
      </c>
      <c r="OH55" s="74" t="str">
        <f t="shared" ca="1" si="165"/>
        <v/>
      </c>
      <c r="OI55" s="74" t="str">
        <f t="shared" ca="1" si="165"/>
        <v/>
      </c>
      <c r="OJ55" s="74" t="str">
        <f t="shared" ca="1" si="166"/>
        <v/>
      </c>
      <c r="OK55" s="74" t="str">
        <f t="shared" ca="1" si="166"/>
        <v/>
      </c>
      <c r="OL55" s="74" t="str">
        <f t="shared" ca="1" si="166"/>
        <v/>
      </c>
      <c r="OM55" s="74" t="str">
        <f t="shared" ca="1" si="166"/>
        <v/>
      </c>
      <c r="ON55" s="74" t="str">
        <f t="shared" ca="1" si="166"/>
        <v/>
      </c>
      <c r="OO55" s="74" t="str">
        <f t="shared" ca="1" si="166"/>
        <v/>
      </c>
      <c r="OP55" s="74" t="str">
        <f t="shared" ca="1" si="166"/>
        <v/>
      </c>
      <c r="OQ55" s="74" t="str">
        <f t="shared" ca="1" si="166"/>
        <v/>
      </c>
      <c r="OR55" s="74" t="str">
        <f t="shared" ca="1" si="166"/>
        <v/>
      </c>
      <c r="OS55" s="74" t="str">
        <f t="shared" ca="1" si="166"/>
        <v/>
      </c>
      <c r="OT55" s="74" t="str">
        <f t="shared" ca="1" si="167"/>
        <v/>
      </c>
      <c r="OU55" s="74" t="str">
        <f t="shared" ca="1" si="167"/>
        <v/>
      </c>
      <c r="OV55" s="74" t="str">
        <f t="shared" ca="1" si="167"/>
        <v/>
      </c>
      <c r="OW55" s="74" t="str">
        <f t="shared" ca="1" si="167"/>
        <v/>
      </c>
      <c r="OX55" s="74" t="str">
        <f t="shared" ca="1" si="167"/>
        <v/>
      </c>
      <c r="OY55" s="74" t="str">
        <f t="shared" ca="1" si="167"/>
        <v/>
      </c>
      <c r="OZ55" s="74" t="str">
        <f t="shared" ca="1" si="167"/>
        <v/>
      </c>
      <c r="PA55" s="74" t="str">
        <f t="shared" ca="1" si="167"/>
        <v/>
      </c>
      <c r="PB55" s="74" t="str">
        <f t="shared" ca="1" si="167"/>
        <v/>
      </c>
      <c r="PC55" s="74" t="str">
        <f t="shared" ca="1" si="167"/>
        <v/>
      </c>
      <c r="PD55" s="74" t="str">
        <f t="shared" ca="1" si="168"/>
        <v/>
      </c>
      <c r="PE55" s="74" t="str">
        <f t="shared" ca="1" si="168"/>
        <v/>
      </c>
      <c r="PF55" s="74" t="str">
        <f t="shared" ca="1" si="168"/>
        <v/>
      </c>
      <c r="PG55" s="74" t="str">
        <f t="shared" ca="1" si="168"/>
        <v/>
      </c>
      <c r="PH55" s="74" t="str">
        <f t="shared" ca="1" si="168"/>
        <v/>
      </c>
      <c r="PI55" s="74" t="str">
        <f t="shared" ca="1" si="168"/>
        <v/>
      </c>
      <c r="PJ55" s="74" t="str">
        <f t="shared" ca="1" si="168"/>
        <v/>
      </c>
      <c r="PK55" s="74" t="str">
        <f t="shared" ca="1" si="168"/>
        <v/>
      </c>
      <c r="PL55" s="74" t="str">
        <f t="shared" ca="1" si="168"/>
        <v/>
      </c>
      <c r="PM55" s="74" t="str">
        <f t="shared" ca="1" si="168"/>
        <v/>
      </c>
      <c r="PN55" s="74" t="str">
        <f t="shared" ca="1" si="169"/>
        <v/>
      </c>
      <c r="PO55" s="74" t="str">
        <f t="shared" ca="1" si="169"/>
        <v/>
      </c>
      <c r="PP55" s="74" t="str">
        <f t="shared" ca="1" si="169"/>
        <v/>
      </c>
      <c r="PQ55" s="74" t="str">
        <f t="shared" ca="1" si="169"/>
        <v/>
      </c>
      <c r="PR55" s="74" t="str">
        <f t="shared" ca="1" si="169"/>
        <v/>
      </c>
      <c r="PS55" s="74" t="str">
        <f t="shared" ca="1" si="169"/>
        <v/>
      </c>
      <c r="PT55" s="74" t="str">
        <f t="shared" ca="1" si="169"/>
        <v/>
      </c>
      <c r="PU55" s="74" t="str">
        <f t="shared" ca="1" si="169"/>
        <v/>
      </c>
      <c r="PV55" s="74" t="str">
        <f t="shared" ca="1" si="169"/>
        <v/>
      </c>
      <c r="PW55" s="74" t="str">
        <f t="shared" ca="1" si="169"/>
        <v/>
      </c>
      <c r="PX55" s="74" t="str">
        <f t="shared" ca="1" si="170"/>
        <v/>
      </c>
      <c r="PY55" s="74" t="str">
        <f t="shared" ca="1" si="170"/>
        <v/>
      </c>
      <c r="PZ55" s="74" t="str">
        <f t="shared" ca="1" si="170"/>
        <v/>
      </c>
      <c r="QA55" s="74" t="str">
        <f t="shared" ca="1" si="170"/>
        <v/>
      </c>
      <c r="QB55" s="74" t="str">
        <f t="shared" ca="1" si="170"/>
        <v/>
      </c>
      <c r="QC55" s="74" t="str">
        <f t="shared" ca="1" si="170"/>
        <v/>
      </c>
      <c r="QD55" s="74" t="str">
        <f t="shared" ca="1" si="170"/>
        <v/>
      </c>
      <c r="QE55" s="74" t="str">
        <f t="shared" ca="1" si="170"/>
        <v/>
      </c>
      <c r="QF55" s="74" t="str">
        <f t="shared" ca="1" si="170"/>
        <v/>
      </c>
      <c r="QG55" s="74" t="str">
        <f t="shared" ca="1" si="170"/>
        <v/>
      </c>
      <c r="QH55" s="74" t="str">
        <f t="shared" ca="1" si="171"/>
        <v/>
      </c>
      <c r="QI55" s="74" t="str">
        <f t="shared" ca="1" si="171"/>
        <v/>
      </c>
      <c r="QJ55" s="74" t="str">
        <f t="shared" ca="1" si="171"/>
        <v/>
      </c>
      <c r="QK55" s="74" t="str">
        <f t="shared" ca="1" si="171"/>
        <v/>
      </c>
      <c r="QL55" s="74" t="str">
        <f t="shared" ca="1" si="171"/>
        <v/>
      </c>
      <c r="QM55" s="74" t="str">
        <f t="shared" ca="1" si="171"/>
        <v/>
      </c>
      <c r="QN55" s="74" t="str">
        <f t="shared" ca="1" si="171"/>
        <v/>
      </c>
      <c r="QO55" s="74" t="str">
        <f t="shared" ca="1" si="171"/>
        <v/>
      </c>
      <c r="QP55" s="74" t="str">
        <f t="shared" ca="1" si="171"/>
        <v/>
      </c>
      <c r="QQ55" s="74" t="str">
        <f t="shared" ca="1" si="171"/>
        <v/>
      </c>
      <c r="QR55" s="74" t="str">
        <f t="shared" ca="1" si="172"/>
        <v/>
      </c>
      <c r="QS55" s="74" t="str">
        <f t="shared" ca="1" si="172"/>
        <v/>
      </c>
      <c r="QT55" s="74" t="str">
        <f t="shared" ca="1" si="172"/>
        <v/>
      </c>
      <c r="QU55" s="74" t="str">
        <f t="shared" ca="1" si="172"/>
        <v/>
      </c>
      <c r="QV55" s="74" t="str">
        <f t="shared" ca="1" si="172"/>
        <v/>
      </c>
      <c r="QW55" s="74" t="str">
        <f t="shared" ca="1" si="172"/>
        <v/>
      </c>
      <c r="QX55" s="74" t="str">
        <f t="shared" ca="1" si="172"/>
        <v/>
      </c>
      <c r="QY55" s="74" t="str">
        <f t="shared" ca="1" si="172"/>
        <v/>
      </c>
      <c r="QZ55" s="74" t="str">
        <f t="shared" ca="1" si="172"/>
        <v/>
      </c>
      <c r="RA55" s="74" t="str">
        <f t="shared" ca="1" si="172"/>
        <v/>
      </c>
      <c r="RB55" s="74" t="str">
        <f t="shared" ca="1" si="173"/>
        <v/>
      </c>
      <c r="RC55" s="74" t="str">
        <f t="shared" ca="1" si="173"/>
        <v/>
      </c>
      <c r="RD55" s="74" t="str">
        <f t="shared" ca="1" si="173"/>
        <v/>
      </c>
      <c r="RE55" s="74" t="str">
        <f t="shared" ca="1" si="173"/>
        <v/>
      </c>
      <c r="RF55" s="74" t="str">
        <f t="shared" ca="1" si="173"/>
        <v/>
      </c>
      <c r="RG55" s="74" t="str">
        <f t="shared" ca="1" si="173"/>
        <v/>
      </c>
      <c r="RH55" s="74" t="str">
        <f t="shared" ca="1" si="173"/>
        <v/>
      </c>
      <c r="RI55" s="74" t="str">
        <f t="shared" ca="1" si="173"/>
        <v/>
      </c>
      <c r="RJ55" s="74" t="str">
        <f t="shared" ca="1" si="173"/>
        <v/>
      </c>
      <c r="RK55" s="74" t="str">
        <f t="shared" ca="1" si="173"/>
        <v/>
      </c>
      <c r="RL55" s="74" t="str">
        <f t="shared" ca="1" si="174"/>
        <v/>
      </c>
      <c r="RM55" s="74" t="str">
        <f t="shared" ca="1" si="174"/>
        <v/>
      </c>
      <c r="RN55" s="74" t="str">
        <f t="shared" ca="1" si="174"/>
        <v/>
      </c>
      <c r="RO55" s="74" t="str">
        <f t="shared" ca="1" si="174"/>
        <v/>
      </c>
      <c r="RP55" s="74" t="str">
        <f t="shared" ca="1" si="174"/>
        <v/>
      </c>
      <c r="RQ55" s="74" t="str">
        <f t="shared" ca="1" si="174"/>
        <v/>
      </c>
      <c r="RR55" s="74" t="str">
        <f t="shared" ca="1" si="174"/>
        <v/>
      </c>
      <c r="RS55" s="74" t="str">
        <f t="shared" ca="1" si="174"/>
        <v/>
      </c>
      <c r="RT55" s="74" t="str">
        <f t="shared" ca="1" si="174"/>
        <v/>
      </c>
      <c r="RU55" s="74" t="str">
        <f t="shared" ca="1" si="174"/>
        <v/>
      </c>
      <c r="RV55" s="74" t="str">
        <f t="shared" ca="1" si="175"/>
        <v/>
      </c>
      <c r="RW55" s="74" t="str">
        <f t="shared" ca="1" si="175"/>
        <v/>
      </c>
      <c r="RX55" s="74" t="str">
        <f t="shared" ca="1" si="175"/>
        <v/>
      </c>
      <c r="RY55" s="74" t="str">
        <f t="shared" ca="1" si="175"/>
        <v/>
      </c>
      <c r="RZ55" s="74" t="str">
        <f t="shared" ca="1" si="175"/>
        <v/>
      </c>
      <c r="SA55" s="74" t="str">
        <f t="shared" ca="1" si="175"/>
        <v/>
      </c>
      <c r="SB55" s="74" t="str">
        <f t="shared" ca="1" si="175"/>
        <v/>
      </c>
      <c r="SC55" s="74" t="str">
        <f t="shared" ca="1" si="175"/>
        <v/>
      </c>
      <c r="SD55" s="74" t="str">
        <f t="shared" ca="1" si="175"/>
        <v/>
      </c>
      <c r="SE55" s="74" t="str">
        <f t="shared" ca="1" si="175"/>
        <v/>
      </c>
      <c r="SF55" s="74" t="str">
        <f t="shared" ca="1" si="176"/>
        <v/>
      </c>
      <c r="SG55" s="74" t="str">
        <f t="shared" ca="1" si="176"/>
        <v/>
      </c>
      <c r="SH55" s="74" t="str">
        <f t="shared" ca="1" si="176"/>
        <v/>
      </c>
      <c r="SI55" s="74" t="str">
        <f t="shared" ca="1" si="176"/>
        <v/>
      </c>
      <c r="SJ55" s="74" t="str">
        <f t="shared" ca="1" si="176"/>
        <v/>
      </c>
      <c r="SK55" s="74" t="str">
        <f t="shared" ca="1" si="176"/>
        <v/>
      </c>
      <c r="SL55" s="74" t="str">
        <f t="shared" ca="1" si="176"/>
        <v/>
      </c>
      <c r="SM55" s="74" t="str">
        <f t="shared" ca="1" si="176"/>
        <v/>
      </c>
      <c r="SN55" s="74" t="str">
        <f t="shared" ca="1" si="176"/>
        <v/>
      </c>
      <c r="SO55" s="74" t="str">
        <f t="shared" ca="1" si="176"/>
        <v/>
      </c>
      <c r="SP55" s="74" t="str">
        <f t="shared" ca="1" si="177"/>
        <v/>
      </c>
      <c r="SQ55" s="74" t="str">
        <f t="shared" ca="1" si="177"/>
        <v/>
      </c>
      <c r="SR55" s="74" t="str">
        <f t="shared" ca="1" si="177"/>
        <v/>
      </c>
      <c r="SS55" s="74" t="str">
        <f t="shared" ca="1" si="177"/>
        <v/>
      </c>
      <c r="ST55" s="74" t="str">
        <f t="shared" ca="1" si="177"/>
        <v/>
      </c>
      <c r="SU55" s="74" t="str">
        <f t="shared" ca="1" si="177"/>
        <v/>
      </c>
      <c r="SV55" s="74" t="str">
        <f t="shared" ca="1" si="177"/>
        <v/>
      </c>
      <c r="SW55" s="74" t="str">
        <f t="shared" ca="1" si="177"/>
        <v/>
      </c>
      <c r="SX55" s="74" t="str">
        <f t="shared" ca="1" si="177"/>
        <v/>
      </c>
      <c r="SY55" s="74" t="str">
        <f t="shared" ca="1" si="177"/>
        <v/>
      </c>
      <c r="SZ55" s="74" t="str">
        <f t="shared" ca="1" si="178"/>
        <v/>
      </c>
      <c r="TA55" s="74" t="str">
        <f t="shared" ca="1" si="178"/>
        <v/>
      </c>
      <c r="TB55" s="74" t="str">
        <f t="shared" ca="1" si="178"/>
        <v/>
      </c>
      <c r="TC55" s="74" t="str">
        <f t="shared" ca="1" si="178"/>
        <v/>
      </c>
      <c r="TD55" s="74" t="str">
        <f t="shared" ca="1" si="178"/>
        <v/>
      </c>
      <c r="TE55" s="74" t="str">
        <f t="shared" ca="1" si="178"/>
        <v/>
      </c>
      <c r="TF55" s="74" t="str">
        <f t="shared" ca="1" si="178"/>
        <v/>
      </c>
      <c r="TG55" s="74" t="str">
        <f t="shared" ca="1" si="178"/>
        <v/>
      </c>
      <c r="TH55" s="74" t="str">
        <f t="shared" ca="1" si="178"/>
        <v/>
      </c>
      <c r="TI55" s="74" t="str">
        <f t="shared" ca="1" si="178"/>
        <v/>
      </c>
      <c r="TJ55" s="74" t="str">
        <f t="shared" ca="1" si="179"/>
        <v/>
      </c>
      <c r="TK55" s="74" t="str">
        <f t="shared" ca="1" si="179"/>
        <v/>
      </c>
      <c r="TL55" s="74" t="str">
        <f t="shared" ca="1" si="179"/>
        <v/>
      </c>
      <c r="TM55" s="74" t="str">
        <f t="shared" ca="1" si="179"/>
        <v/>
      </c>
      <c r="TN55" s="74" t="str">
        <f t="shared" ca="1" si="179"/>
        <v/>
      </c>
      <c r="TO55" s="74" t="str">
        <f t="shared" ca="1" si="179"/>
        <v/>
      </c>
      <c r="TP55" s="74" t="str">
        <f t="shared" ca="1" si="179"/>
        <v/>
      </c>
      <c r="TQ55" s="74" t="str">
        <f t="shared" ca="1" si="179"/>
        <v/>
      </c>
      <c r="TR55" s="74" t="str">
        <f t="shared" ca="1" si="179"/>
        <v/>
      </c>
      <c r="TS55" s="74" t="str">
        <f t="shared" ca="1" si="179"/>
        <v/>
      </c>
      <c r="TT55" s="74" t="str">
        <f t="shared" ca="1" si="180"/>
        <v/>
      </c>
      <c r="TU55" s="74" t="str">
        <f t="shared" ca="1" si="180"/>
        <v/>
      </c>
      <c r="TV55" s="74" t="str">
        <f t="shared" ca="1" si="180"/>
        <v/>
      </c>
      <c r="TW55" s="74" t="str">
        <f t="shared" ca="1" si="180"/>
        <v/>
      </c>
      <c r="TX55" s="74" t="str">
        <f t="shared" ca="1" si="180"/>
        <v/>
      </c>
      <c r="TY55" s="74" t="str">
        <f t="shared" ca="1" si="180"/>
        <v/>
      </c>
      <c r="TZ55" s="74" t="str">
        <f t="shared" ca="1" si="180"/>
        <v/>
      </c>
      <c r="UA55" s="74" t="str">
        <f t="shared" ca="1" si="180"/>
        <v/>
      </c>
      <c r="UB55" s="74" t="str">
        <f t="shared" ca="1" si="180"/>
        <v/>
      </c>
      <c r="UC55" s="74" t="str">
        <f t="shared" ca="1" si="180"/>
        <v/>
      </c>
      <c r="UD55" s="74" t="str">
        <f t="shared" ca="1" si="181"/>
        <v/>
      </c>
      <c r="UE55" s="74" t="str">
        <f t="shared" ca="1" si="181"/>
        <v/>
      </c>
      <c r="UF55" s="74" t="str">
        <f t="shared" ca="1" si="181"/>
        <v/>
      </c>
      <c r="UG55" s="74" t="str">
        <f t="shared" ca="1" si="181"/>
        <v/>
      </c>
      <c r="UH55" s="74" t="str">
        <f t="shared" ca="1" si="181"/>
        <v/>
      </c>
      <c r="UI55" s="74" t="str">
        <f t="shared" ca="1" si="181"/>
        <v/>
      </c>
      <c r="UJ55" s="74" t="str">
        <f t="shared" ca="1" si="181"/>
        <v/>
      </c>
      <c r="UK55" s="74" t="str">
        <f t="shared" ca="1" si="181"/>
        <v/>
      </c>
      <c r="UL55" s="74" t="str">
        <f t="shared" ca="1" si="181"/>
        <v/>
      </c>
      <c r="UM55" s="74" t="str">
        <f t="shared" ca="1" si="181"/>
        <v/>
      </c>
      <c r="UN55" s="74" t="str">
        <f t="shared" ca="1" si="182"/>
        <v/>
      </c>
      <c r="UO55" s="74" t="str">
        <f t="shared" ca="1" si="182"/>
        <v/>
      </c>
      <c r="UP55" s="74" t="str">
        <f t="shared" ca="1" si="182"/>
        <v/>
      </c>
      <c r="UQ55" s="74" t="str">
        <f t="shared" ca="1" si="182"/>
        <v/>
      </c>
      <c r="UR55" s="74" t="str">
        <f t="shared" ca="1" si="182"/>
        <v/>
      </c>
      <c r="US55" s="74" t="str">
        <f t="shared" ca="1" si="182"/>
        <v/>
      </c>
      <c r="UT55" s="74" t="str">
        <f t="shared" ca="1" si="182"/>
        <v/>
      </c>
      <c r="UU55" s="74" t="str">
        <f t="shared" ca="1" si="182"/>
        <v/>
      </c>
      <c r="UV55" s="74" t="str">
        <f t="shared" ca="1" si="182"/>
        <v/>
      </c>
      <c r="UW55" s="74" t="str">
        <f t="shared" ca="1" si="182"/>
        <v/>
      </c>
      <c r="UX55" s="74" t="str">
        <f t="shared" ca="1" si="183"/>
        <v/>
      </c>
      <c r="UY55" s="74" t="str">
        <f t="shared" ca="1" si="183"/>
        <v/>
      </c>
      <c r="UZ55" s="74" t="str">
        <f t="shared" ca="1" si="183"/>
        <v/>
      </c>
      <c r="VA55" s="74" t="str">
        <f t="shared" ca="1" si="183"/>
        <v/>
      </c>
      <c r="VB55" s="74" t="str">
        <f t="shared" ca="1" si="183"/>
        <v/>
      </c>
      <c r="VC55" s="74" t="str">
        <f t="shared" ca="1" si="183"/>
        <v/>
      </c>
      <c r="VD55" s="74" t="str">
        <f t="shared" ca="1" si="183"/>
        <v/>
      </c>
      <c r="VE55" s="74" t="str">
        <f t="shared" ca="1" si="183"/>
        <v/>
      </c>
      <c r="VF55" s="74" t="str">
        <f t="shared" ca="1" si="183"/>
        <v/>
      </c>
      <c r="VG55" s="74" t="str">
        <f t="shared" ca="1" si="183"/>
        <v/>
      </c>
      <c r="VH55" s="74" t="str">
        <f t="shared" ca="1" si="184"/>
        <v/>
      </c>
      <c r="VI55" s="74" t="str">
        <f t="shared" ca="1" si="184"/>
        <v/>
      </c>
      <c r="VJ55" s="74" t="str">
        <f t="shared" ca="1" si="184"/>
        <v/>
      </c>
      <c r="VK55" s="74" t="str">
        <f t="shared" ca="1" si="184"/>
        <v/>
      </c>
      <c r="VL55" s="74" t="str">
        <f t="shared" ca="1" si="184"/>
        <v/>
      </c>
      <c r="VM55" s="74" t="str">
        <f t="shared" ca="1" si="184"/>
        <v/>
      </c>
      <c r="VN55" s="74" t="str">
        <f t="shared" ca="1" si="184"/>
        <v/>
      </c>
      <c r="VO55" s="74" t="str">
        <f t="shared" ca="1" si="184"/>
        <v/>
      </c>
      <c r="VP55" s="74" t="str">
        <f t="shared" ca="1" si="184"/>
        <v/>
      </c>
      <c r="VQ55" s="74" t="str">
        <f t="shared" ca="1" si="184"/>
        <v/>
      </c>
      <c r="VR55" s="74" t="str">
        <f t="shared" ca="1" si="184"/>
        <v/>
      </c>
      <c r="VS55" s="74" t="str">
        <f t="shared" ca="1" si="184"/>
        <v/>
      </c>
    </row>
    <row r="56" spans="1:591" s="80" customFormat="1" ht="21.6" customHeight="1" x14ac:dyDescent="0.3">
      <c r="A56" s="81"/>
      <c r="B56" s="84" t="str">
        <f>'CoS Tracker'!B12</f>
        <v>0901S</v>
      </c>
      <c r="C56" s="76"/>
      <c r="D56" s="76"/>
      <c r="E56" s="77"/>
      <c r="F56" s="78"/>
      <c r="G56" s="78">
        <f>Milestones43524[[#This Row],[Start]]+Milestones43524[[#This Row],[Days]]</f>
        <v>0</v>
      </c>
      <c r="H56" s="79"/>
      <c r="I56" s="76"/>
      <c r="J56" s="76" t="str">
        <f t="shared" ca="1" si="127"/>
        <v/>
      </c>
      <c r="K56" s="76" t="str">
        <f t="shared" ca="1" si="127"/>
        <v/>
      </c>
      <c r="L56" s="76" t="str">
        <f t="shared" ca="1" si="127"/>
        <v/>
      </c>
      <c r="M56" s="76" t="str">
        <f t="shared" ca="1" si="127"/>
        <v/>
      </c>
      <c r="N56" s="76" t="str">
        <f t="shared" ca="1" si="127"/>
        <v/>
      </c>
      <c r="O56" s="76" t="str">
        <f t="shared" ca="1" si="127"/>
        <v/>
      </c>
      <c r="P56" s="76" t="str">
        <f t="shared" ca="1" si="127"/>
        <v/>
      </c>
      <c r="Q56" s="76" t="str">
        <f t="shared" ca="1" si="127"/>
        <v/>
      </c>
      <c r="R56" s="76" t="str">
        <f t="shared" ca="1" si="127"/>
        <v/>
      </c>
      <c r="S56" s="76" t="str">
        <f t="shared" ca="1" si="127"/>
        <v/>
      </c>
      <c r="T56" s="76" t="str">
        <f t="shared" ca="1" si="128"/>
        <v/>
      </c>
      <c r="U56" s="76" t="str">
        <f t="shared" ca="1" si="128"/>
        <v/>
      </c>
      <c r="V56" s="76" t="str">
        <f t="shared" ca="1" si="128"/>
        <v/>
      </c>
      <c r="W56" s="76" t="str">
        <f t="shared" ca="1" si="128"/>
        <v/>
      </c>
      <c r="X56" s="76" t="str">
        <f t="shared" ca="1" si="128"/>
        <v/>
      </c>
      <c r="Y56" s="76" t="str">
        <f t="shared" ca="1" si="128"/>
        <v/>
      </c>
      <c r="Z56" s="76" t="str">
        <f t="shared" ca="1" si="128"/>
        <v/>
      </c>
      <c r="AA56" s="76" t="str">
        <f t="shared" ca="1" si="128"/>
        <v/>
      </c>
      <c r="AB56" s="76" t="str">
        <f t="shared" ca="1" si="128"/>
        <v/>
      </c>
      <c r="AC56" s="76" t="str">
        <f t="shared" ca="1" si="128"/>
        <v/>
      </c>
      <c r="AD56" s="76" t="str">
        <f t="shared" ca="1" si="129"/>
        <v/>
      </c>
      <c r="AE56" s="76" t="str">
        <f t="shared" ca="1" si="129"/>
        <v/>
      </c>
      <c r="AF56" s="76" t="str">
        <f t="shared" ca="1" si="129"/>
        <v/>
      </c>
      <c r="AG56" s="76" t="str">
        <f t="shared" ca="1" si="129"/>
        <v/>
      </c>
      <c r="AH56" s="76" t="str">
        <f t="shared" ca="1" si="129"/>
        <v/>
      </c>
      <c r="AI56" s="76" t="str">
        <f t="shared" ca="1" si="129"/>
        <v/>
      </c>
      <c r="AJ56" s="76" t="str">
        <f t="shared" ca="1" si="129"/>
        <v/>
      </c>
      <c r="AK56" s="76" t="str">
        <f t="shared" ca="1" si="129"/>
        <v/>
      </c>
      <c r="AL56" s="76" t="str">
        <f t="shared" ca="1" si="129"/>
        <v/>
      </c>
      <c r="AM56" s="76" t="str">
        <f t="shared" ca="1" si="129"/>
        <v/>
      </c>
      <c r="AN56" s="76" t="str">
        <f t="shared" ca="1" si="130"/>
        <v/>
      </c>
      <c r="AO56" s="76" t="str">
        <f t="shared" ca="1" si="130"/>
        <v/>
      </c>
      <c r="AP56" s="76" t="str">
        <f t="shared" ca="1" si="130"/>
        <v/>
      </c>
      <c r="AQ56" s="76" t="str">
        <f t="shared" ca="1" si="130"/>
        <v/>
      </c>
      <c r="AR56" s="76" t="str">
        <f t="shared" ca="1" si="130"/>
        <v/>
      </c>
      <c r="AS56" s="76" t="str">
        <f t="shared" ca="1" si="130"/>
        <v/>
      </c>
      <c r="AT56" s="76" t="str">
        <f t="shared" ca="1" si="130"/>
        <v/>
      </c>
      <c r="AU56" s="76" t="str">
        <f t="shared" ca="1" si="130"/>
        <v/>
      </c>
      <c r="AV56" s="76" t="str">
        <f t="shared" ca="1" si="130"/>
        <v/>
      </c>
      <c r="AW56" s="76" t="str">
        <f t="shared" ca="1" si="130"/>
        <v/>
      </c>
      <c r="AX56" s="76" t="str">
        <f t="shared" ca="1" si="131"/>
        <v/>
      </c>
      <c r="AY56" s="76" t="str">
        <f t="shared" ca="1" si="131"/>
        <v/>
      </c>
      <c r="AZ56" s="76" t="str">
        <f t="shared" ca="1" si="131"/>
        <v/>
      </c>
      <c r="BA56" s="76" t="str">
        <f t="shared" ca="1" si="131"/>
        <v/>
      </c>
      <c r="BB56" s="76" t="str">
        <f t="shared" ca="1" si="131"/>
        <v/>
      </c>
      <c r="BC56" s="76" t="str">
        <f t="shared" ca="1" si="131"/>
        <v/>
      </c>
      <c r="BD56" s="76" t="str">
        <f t="shared" ca="1" si="131"/>
        <v/>
      </c>
      <c r="BE56" s="76" t="str">
        <f t="shared" ca="1" si="131"/>
        <v/>
      </c>
      <c r="BF56" s="76" t="str">
        <f t="shared" ca="1" si="131"/>
        <v/>
      </c>
      <c r="BG56" s="76" t="str">
        <f t="shared" ca="1" si="131"/>
        <v/>
      </c>
      <c r="BH56" s="76" t="str">
        <f t="shared" ca="1" si="132"/>
        <v/>
      </c>
      <c r="BI56" s="76" t="str">
        <f t="shared" ca="1" si="132"/>
        <v/>
      </c>
      <c r="BJ56" s="76" t="str">
        <f t="shared" ca="1" si="132"/>
        <v/>
      </c>
      <c r="BK56" s="76" t="str">
        <f t="shared" ca="1" si="132"/>
        <v/>
      </c>
      <c r="BL56" s="76" t="str">
        <f t="shared" ca="1" si="132"/>
        <v/>
      </c>
      <c r="BM56" s="76" t="str">
        <f t="shared" ca="1" si="132"/>
        <v/>
      </c>
      <c r="BN56" s="76" t="str">
        <f t="shared" ca="1" si="132"/>
        <v/>
      </c>
      <c r="BO56" s="76" t="str">
        <f t="shared" ca="1" si="132"/>
        <v/>
      </c>
      <c r="BP56" s="76" t="str">
        <f t="shared" ca="1" si="132"/>
        <v/>
      </c>
      <c r="BQ56" s="76" t="str">
        <f t="shared" ca="1" si="132"/>
        <v/>
      </c>
      <c r="BR56" s="76" t="str">
        <f t="shared" ca="1" si="133"/>
        <v/>
      </c>
      <c r="BS56" s="76" t="str">
        <f t="shared" ca="1" si="133"/>
        <v/>
      </c>
      <c r="BT56" s="76" t="str">
        <f t="shared" ca="1" si="133"/>
        <v/>
      </c>
      <c r="BU56" s="76" t="str">
        <f t="shared" ca="1" si="133"/>
        <v/>
      </c>
      <c r="BV56" s="76" t="str">
        <f t="shared" ca="1" si="133"/>
        <v/>
      </c>
      <c r="BW56" s="76" t="str">
        <f t="shared" ca="1" si="133"/>
        <v/>
      </c>
      <c r="BX56" s="76" t="str">
        <f t="shared" ca="1" si="133"/>
        <v/>
      </c>
      <c r="BY56" s="76" t="str">
        <f t="shared" ca="1" si="133"/>
        <v/>
      </c>
      <c r="BZ56" s="76" t="str">
        <f t="shared" ca="1" si="133"/>
        <v/>
      </c>
      <c r="CA56" s="76" t="str">
        <f t="shared" ca="1" si="133"/>
        <v/>
      </c>
      <c r="CB56" s="76" t="str">
        <f t="shared" ca="1" si="134"/>
        <v/>
      </c>
      <c r="CC56" s="76" t="str">
        <f t="shared" ca="1" si="134"/>
        <v/>
      </c>
      <c r="CD56" s="76" t="str">
        <f t="shared" ca="1" si="134"/>
        <v/>
      </c>
      <c r="CE56" s="76" t="str">
        <f t="shared" ca="1" si="134"/>
        <v/>
      </c>
      <c r="CF56" s="76" t="str">
        <f t="shared" ca="1" si="134"/>
        <v/>
      </c>
      <c r="CG56" s="76" t="str">
        <f t="shared" ca="1" si="134"/>
        <v/>
      </c>
      <c r="CH56" s="76" t="str">
        <f t="shared" ca="1" si="134"/>
        <v/>
      </c>
      <c r="CI56" s="76" t="str">
        <f t="shared" ca="1" si="134"/>
        <v/>
      </c>
      <c r="CJ56" s="76" t="str">
        <f t="shared" ca="1" si="134"/>
        <v/>
      </c>
      <c r="CK56" s="76" t="str">
        <f t="shared" ca="1" si="134"/>
        <v/>
      </c>
      <c r="CL56" s="76" t="str">
        <f t="shared" ca="1" si="135"/>
        <v/>
      </c>
      <c r="CM56" s="76" t="str">
        <f t="shared" ca="1" si="135"/>
        <v/>
      </c>
      <c r="CN56" s="76" t="str">
        <f t="shared" ca="1" si="135"/>
        <v/>
      </c>
      <c r="CO56" s="76" t="str">
        <f t="shared" ca="1" si="135"/>
        <v/>
      </c>
      <c r="CP56" s="76" t="str">
        <f t="shared" ca="1" si="135"/>
        <v/>
      </c>
      <c r="CQ56" s="76" t="str">
        <f t="shared" ca="1" si="135"/>
        <v/>
      </c>
      <c r="CR56" s="76" t="str">
        <f t="shared" ca="1" si="135"/>
        <v/>
      </c>
      <c r="CS56" s="76" t="str">
        <f t="shared" ca="1" si="135"/>
        <v/>
      </c>
      <c r="CT56" s="76" t="str">
        <f t="shared" ca="1" si="135"/>
        <v/>
      </c>
      <c r="CU56" s="76" t="str">
        <f t="shared" ca="1" si="135"/>
        <v/>
      </c>
      <c r="CV56" s="76" t="str">
        <f t="shared" ca="1" si="136"/>
        <v/>
      </c>
      <c r="CW56" s="76" t="str">
        <f t="shared" ca="1" si="136"/>
        <v/>
      </c>
      <c r="CX56" s="76" t="str">
        <f t="shared" ca="1" si="136"/>
        <v/>
      </c>
      <c r="CY56" s="76" t="str">
        <f t="shared" ca="1" si="136"/>
        <v/>
      </c>
      <c r="CZ56" s="76" t="str">
        <f t="shared" ca="1" si="136"/>
        <v/>
      </c>
      <c r="DA56" s="76" t="str">
        <f t="shared" ca="1" si="136"/>
        <v/>
      </c>
      <c r="DB56" s="76" t="str">
        <f t="shared" ca="1" si="136"/>
        <v/>
      </c>
      <c r="DC56" s="76" t="str">
        <f t="shared" ca="1" si="136"/>
        <v/>
      </c>
      <c r="DD56" s="76" t="str">
        <f t="shared" ca="1" si="136"/>
        <v/>
      </c>
      <c r="DE56" s="76" t="str">
        <f t="shared" ca="1" si="136"/>
        <v/>
      </c>
      <c r="DF56" s="76" t="str">
        <f t="shared" ca="1" si="137"/>
        <v/>
      </c>
      <c r="DG56" s="76" t="str">
        <f t="shared" ca="1" si="137"/>
        <v/>
      </c>
      <c r="DH56" s="76" t="str">
        <f t="shared" ca="1" si="137"/>
        <v/>
      </c>
      <c r="DI56" s="76" t="str">
        <f t="shared" ca="1" si="137"/>
        <v/>
      </c>
      <c r="DJ56" s="76" t="str">
        <f t="shared" ca="1" si="137"/>
        <v/>
      </c>
      <c r="DK56" s="76" t="str">
        <f t="shared" ca="1" si="137"/>
        <v/>
      </c>
      <c r="DL56" s="76" t="str">
        <f t="shared" ca="1" si="137"/>
        <v/>
      </c>
      <c r="DM56" s="76" t="str">
        <f t="shared" ca="1" si="137"/>
        <v/>
      </c>
      <c r="DN56" s="76" t="str">
        <f t="shared" ca="1" si="137"/>
        <v/>
      </c>
      <c r="DO56" s="76" t="str">
        <f t="shared" ca="1" si="137"/>
        <v/>
      </c>
      <c r="DP56" s="76" t="str">
        <f t="shared" ca="1" si="138"/>
        <v/>
      </c>
      <c r="DQ56" s="76" t="str">
        <f t="shared" ca="1" si="138"/>
        <v/>
      </c>
      <c r="DR56" s="76" t="str">
        <f t="shared" ca="1" si="138"/>
        <v/>
      </c>
      <c r="DS56" s="76" t="str">
        <f t="shared" ca="1" si="138"/>
        <v/>
      </c>
      <c r="DT56" s="76" t="str">
        <f t="shared" ca="1" si="138"/>
        <v/>
      </c>
      <c r="DU56" s="76" t="str">
        <f t="shared" ca="1" si="138"/>
        <v/>
      </c>
      <c r="DV56" s="76" t="str">
        <f t="shared" ca="1" si="138"/>
        <v/>
      </c>
      <c r="DW56" s="76" t="str">
        <f t="shared" ca="1" si="138"/>
        <v/>
      </c>
      <c r="DX56" s="76" t="str">
        <f t="shared" ca="1" si="138"/>
        <v/>
      </c>
      <c r="DY56" s="76" t="str">
        <f t="shared" ca="1" si="138"/>
        <v/>
      </c>
      <c r="DZ56" s="76" t="str">
        <f t="shared" ca="1" si="139"/>
        <v/>
      </c>
      <c r="EA56" s="76" t="str">
        <f t="shared" ca="1" si="139"/>
        <v/>
      </c>
      <c r="EB56" s="76" t="str">
        <f t="shared" ca="1" si="139"/>
        <v/>
      </c>
      <c r="EC56" s="76" t="str">
        <f t="shared" ca="1" si="139"/>
        <v/>
      </c>
      <c r="ED56" s="76" t="str">
        <f t="shared" ca="1" si="139"/>
        <v/>
      </c>
      <c r="EE56" s="76" t="str">
        <f t="shared" ca="1" si="139"/>
        <v/>
      </c>
      <c r="EF56" s="76" t="str">
        <f t="shared" ca="1" si="139"/>
        <v/>
      </c>
      <c r="EG56" s="76" t="str">
        <f t="shared" ca="1" si="139"/>
        <v/>
      </c>
      <c r="EH56" s="76" t="str">
        <f t="shared" ca="1" si="139"/>
        <v/>
      </c>
      <c r="EI56" s="76" t="str">
        <f t="shared" ca="1" si="139"/>
        <v/>
      </c>
      <c r="EJ56" s="76" t="str">
        <f t="shared" ca="1" si="140"/>
        <v/>
      </c>
      <c r="EK56" s="76" t="str">
        <f t="shared" ca="1" si="140"/>
        <v/>
      </c>
      <c r="EL56" s="76" t="str">
        <f t="shared" ca="1" si="140"/>
        <v/>
      </c>
      <c r="EM56" s="76" t="str">
        <f t="shared" ca="1" si="140"/>
        <v/>
      </c>
      <c r="EN56" s="76" t="str">
        <f t="shared" ca="1" si="140"/>
        <v/>
      </c>
      <c r="EO56" s="76" t="str">
        <f t="shared" ca="1" si="140"/>
        <v/>
      </c>
      <c r="EP56" s="76" t="str">
        <f t="shared" ca="1" si="140"/>
        <v/>
      </c>
      <c r="EQ56" s="76" t="str">
        <f t="shared" ca="1" si="140"/>
        <v/>
      </c>
      <c r="ER56" s="76" t="str">
        <f t="shared" ca="1" si="140"/>
        <v/>
      </c>
      <c r="ES56" s="76" t="str">
        <f t="shared" ca="1" si="140"/>
        <v/>
      </c>
      <c r="ET56" s="76" t="str">
        <f t="shared" ca="1" si="141"/>
        <v/>
      </c>
      <c r="EU56" s="76" t="str">
        <f t="shared" ca="1" si="141"/>
        <v/>
      </c>
      <c r="EV56" s="76" t="str">
        <f t="shared" ca="1" si="141"/>
        <v/>
      </c>
      <c r="EW56" s="76" t="str">
        <f t="shared" ca="1" si="141"/>
        <v/>
      </c>
      <c r="EX56" s="76" t="str">
        <f t="shared" ca="1" si="141"/>
        <v/>
      </c>
      <c r="EY56" s="76" t="str">
        <f t="shared" ca="1" si="141"/>
        <v/>
      </c>
      <c r="EZ56" s="76" t="str">
        <f t="shared" ca="1" si="141"/>
        <v/>
      </c>
      <c r="FA56" s="76" t="str">
        <f t="shared" ca="1" si="141"/>
        <v/>
      </c>
      <c r="FB56" s="76" t="str">
        <f t="shared" ca="1" si="141"/>
        <v/>
      </c>
      <c r="FC56" s="76" t="str">
        <f t="shared" ca="1" si="141"/>
        <v/>
      </c>
      <c r="FD56" s="76" t="str">
        <f t="shared" ca="1" si="142"/>
        <v/>
      </c>
      <c r="FE56" s="76" t="str">
        <f t="shared" ca="1" si="142"/>
        <v/>
      </c>
      <c r="FF56" s="76" t="str">
        <f t="shared" ca="1" si="142"/>
        <v/>
      </c>
      <c r="FG56" s="76" t="str">
        <f t="shared" ca="1" si="142"/>
        <v/>
      </c>
      <c r="FH56" s="76" t="str">
        <f t="shared" ca="1" si="142"/>
        <v/>
      </c>
      <c r="FI56" s="76" t="str">
        <f t="shared" ca="1" si="142"/>
        <v/>
      </c>
      <c r="FJ56" s="76" t="str">
        <f t="shared" ca="1" si="142"/>
        <v/>
      </c>
      <c r="FK56" s="76" t="str">
        <f t="shared" ca="1" si="142"/>
        <v/>
      </c>
      <c r="FL56" s="76" t="str">
        <f t="shared" ca="1" si="142"/>
        <v/>
      </c>
      <c r="FM56" s="76" t="str">
        <f t="shared" ca="1" si="142"/>
        <v/>
      </c>
      <c r="FN56" s="76" t="str">
        <f t="shared" ca="1" si="143"/>
        <v/>
      </c>
      <c r="FO56" s="76" t="str">
        <f t="shared" ca="1" si="143"/>
        <v/>
      </c>
      <c r="FP56" s="76" t="str">
        <f t="shared" ca="1" si="143"/>
        <v/>
      </c>
      <c r="FQ56" s="76" t="str">
        <f t="shared" ca="1" si="143"/>
        <v/>
      </c>
      <c r="FR56" s="76" t="str">
        <f t="shared" ca="1" si="143"/>
        <v/>
      </c>
      <c r="FS56" s="76" t="str">
        <f t="shared" ca="1" si="143"/>
        <v/>
      </c>
      <c r="FT56" s="76" t="str">
        <f t="shared" ca="1" si="143"/>
        <v/>
      </c>
      <c r="FU56" s="76" t="str">
        <f t="shared" ca="1" si="143"/>
        <v/>
      </c>
      <c r="FV56" s="76" t="str">
        <f t="shared" ca="1" si="143"/>
        <v/>
      </c>
      <c r="FW56" s="76" t="str">
        <f t="shared" ca="1" si="143"/>
        <v/>
      </c>
      <c r="FX56" s="76" t="str">
        <f t="shared" ca="1" si="144"/>
        <v/>
      </c>
      <c r="FY56" s="76" t="str">
        <f t="shared" ca="1" si="144"/>
        <v/>
      </c>
      <c r="FZ56" s="76" t="str">
        <f t="shared" ca="1" si="144"/>
        <v/>
      </c>
      <c r="GA56" s="76" t="str">
        <f t="shared" ca="1" si="144"/>
        <v/>
      </c>
      <c r="GB56" s="76" t="str">
        <f t="shared" ca="1" si="144"/>
        <v/>
      </c>
      <c r="GC56" s="76" t="str">
        <f t="shared" ca="1" si="144"/>
        <v/>
      </c>
      <c r="GD56" s="76" t="str">
        <f t="shared" ca="1" si="144"/>
        <v/>
      </c>
      <c r="GE56" s="76" t="str">
        <f t="shared" ca="1" si="144"/>
        <v/>
      </c>
      <c r="GF56" s="76" t="str">
        <f t="shared" ca="1" si="144"/>
        <v/>
      </c>
      <c r="GG56" s="76" t="str">
        <f t="shared" ca="1" si="144"/>
        <v/>
      </c>
      <c r="GH56" s="76" t="str">
        <f t="shared" ca="1" si="145"/>
        <v/>
      </c>
      <c r="GI56" s="76" t="str">
        <f t="shared" ca="1" si="145"/>
        <v/>
      </c>
      <c r="GJ56" s="76" t="str">
        <f t="shared" ca="1" si="145"/>
        <v/>
      </c>
      <c r="GK56" s="76" t="str">
        <f t="shared" ca="1" si="145"/>
        <v/>
      </c>
      <c r="GL56" s="76" t="str">
        <f t="shared" ca="1" si="145"/>
        <v/>
      </c>
      <c r="GM56" s="76" t="str">
        <f t="shared" ca="1" si="145"/>
        <v/>
      </c>
      <c r="GN56" s="76" t="str">
        <f t="shared" ca="1" si="145"/>
        <v/>
      </c>
      <c r="GO56" s="76" t="str">
        <f t="shared" ca="1" si="145"/>
        <v/>
      </c>
      <c r="GP56" s="76" t="str">
        <f t="shared" ca="1" si="145"/>
        <v/>
      </c>
      <c r="GQ56" s="76" t="str">
        <f t="shared" ca="1" si="145"/>
        <v/>
      </c>
      <c r="GR56" s="76" t="str">
        <f t="shared" ca="1" si="146"/>
        <v/>
      </c>
      <c r="GS56" s="76" t="str">
        <f t="shared" ca="1" si="146"/>
        <v/>
      </c>
      <c r="GT56" s="76" t="str">
        <f t="shared" ca="1" si="146"/>
        <v/>
      </c>
      <c r="GU56" s="76" t="str">
        <f t="shared" ca="1" si="146"/>
        <v/>
      </c>
      <c r="GV56" s="76" t="str">
        <f t="shared" ca="1" si="146"/>
        <v/>
      </c>
      <c r="GW56" s="76" t="str">
        <f t="shared" ca="1" si="146"/>
        <v/>
      </c>
      <c r="GX56" s="76" t="str">
        <f t="shared" ca="1" si="146"/>
        <v/>
      </c>
      <c r="GY56" s="76" t="str">
        <f t="shared" ca="1" si="146"/>
        <v/>
      </c>
      <c r="GZ56" s="76" t="str">
        <f t="shared" ca="1" si="146"/>
        <v/>
      </c>
      <c r="HA56" s="76" t="str">
        <f t="shared" ca="1" si="146"/>
        <v/>
      </c>
      <c r="HB56" s="76" t="str">
        <f t="shared" ca="1" si="147"/>
        <v/>
      </c>
      <c r="HC56" s="76" t="str">
        <f t="shared" ca="1" si="147"/>
        <v/>
      </c>
      <c r="HD56" s="76" t="str">
        <f t="shared" ca="1" si="147"/>
        <v/>
      </c>
      <c r="HE56" s="76" t="str">
        <f t="shared" ca="1" si="147"/>
        <v/>
      </c>
      <c r="HF56" s="76" t="str">
        <f t="shared" ca="1" si="147"/>
        <v/>
      </c>
      <c r="HG56" s="76" t="str">
        <f t="shared" ca="1" si="147"/>
        <v/>
      </c>
      <c r="HH56" s="76" t="str">
        <f t="shared" ca="1" si="147"/>
        <v/>
      </c>
      <c r="HI56" s="76" t="str">
        <f t="shared" ca="1" si="147"/>
        <v/>
      </c>
      <c r="HJ56" s="76" t="str">
        <f t="shared" ca="1" si="147"/>
        <v/>
      </c>
      <c r="HK56" s="76" t="str">
        <f t="shared" ca="1" si="147"/>
        <v/>
      </c>
      <c r="HL56" s="76" t="str">
        <f t="shared" ca="1" si="148"/>
        <v/>
      </c>
      <c r="HM56" s="76" t="str">
        <f t="shared" ca="1" si="148"/>
        <v/>
      </c>
      <c r="HN56" s="76" t="str">
        <f t="shared" ca="1" si="148"/>
        <v/>
      </c>
      <c r="HO56" s="76" t="str">
        <f t="shared" ca="1" si="148"/>
        <v/>
      </c>
      <c r="HP56" s="76" t="str">
        <f t="shared" ca="1" si="148"/>
        <v/>
      </c>
      <c r="HQ56" s="76" t="str">
        <f t="shared" ca="1" si="148"/>
        <v/>
      </c>
      <c r="HR56" s="76" t="str">
        <f t="shared" ca="1" si="148"/>
        <v/>
      </c>
      <c r="HS56" s="76" t="str">
        <f t="shared" ca="1" si="148"/>
        <v/>
      </c>
      <c r="HT56" s="76" t="str">
        <f t="shared" ca="1" si="148"/>
        <v/>
      </c>
      <c r="HU56" s="76" t="str">
        <f t="shared" ca="1" si="148"/>
        <v/>
      </c>
      <c r="HV56" s="76" t="str">
        <f t="shared" ca="1" si="149"/>
        <v/>
      </c>
      <c r="HW56" s="76" t="str">
        <f t="shared" ca="1" si="149"/>
        <v/>
      </c>
      <c r="HX56" s="76" t="str">
        <f t="shared" ca="1" si="149"/>
        <v/>
      </c>
      <c r="HY56" s="76" t="str">
        <f t="shared" ca="1" si="149"/>
        <v/>
      </c>
      <c r="HZ56" s="76" t="str">
        <f t="shared" ca="1" si="149"/>
        <v/>
      </c>
      <c r="IA56" s="76" t="str">
        <f t="shared" ca="1" si="149"/>
        <v/>
      </c>
      <c r="IB56" s="76" t="str">
        <f t="shared" ca="1" si="149"/>
        <v/>
      </c>
      <c r="IC56" s="76" t="str">
        <f t="shared" ca="1" si="149"/>
        <v/>
      </c>
      <c r="ID56" s="76" t="str">
        <f t="shared" ca="1" si="149"/>
        <v/>
      </c>
      <c r="IE56" s="76" t="str">
        <f t="shared" ca="1" si="149"/>
        <v/>
      </c>
      <c r="IF56" s="76" t="str">
        <f t="shared" ca="1" si="150"/>
        <v/>
      </c>
      <c r="IG56" s="76" t="str">
        <f t="shared" ca="1" si="150"/>
        <v/>
      </c>
      <c r="IH56" s="76" t="str">
        <f t="shared" ca="1" si="150"/>
        <v/>
      </c>
      <c r="II56" s="76" t="str">
        <f t="shared" ca="1" si="150"/>
        <v/>
      </c>
      <c r="IJ56" s="76" t="str">
        <f t="shared" ca="1" si="150"/>
        <v/>
      </c>
      <c r="IK56" s="76" t="str">
        <f t="shared" ca="1" si="150"/>
        <v/>
      </c>
      <c r="IL56" s="76" t="str">
        <f t="shared" ca="1" si="150"/>
        <v/>
      </c>
      <c r="IM56" s="76" t="str">
        <f t="shared" ca="1" si="150"/>
        <v/>
      </c>
      <c r="IN56" s="76" t="str">
        <f t="shared" ca="1" si="150"/>
        <v/>
      </c>
      <c r="IO56" s="76" t="str">
        <f t="shared" ca="1" si="150"/>
        <v/>
      </c>
      <c r="IP56" s="76" t="str">
        <f t="shared" ca="1" si="151"/>
        <v/>
      </c>
      <c r="IQ56" s="76" t="str">
        <f t="shared" ca="1" si="151"/>
        <v/>
      </c>
      <c r="IR56" s="76" t="str">
        <f t="shared" ca="1" si="151"/>
        <v/>
      </c>
      <c r="IS56" s="76" t="str">
        <f t="shared" ca="1" si="151"/>
        <v/>
      </c>
      <c r="IT56" s="76" t="str">
        <f t="shared" ca="1" si="151"/>
        <v/>
      </c>
      <c r="IU56" s="76" t="str">
        <f t="shared" ca="1" si="151"/>
        <v/>
      </c>
      <c r="IV56" s="76" t="str">
        <f t="shared" ca="1" si="151"/>
        <v/>
      </c>
      <c r="IW56" s="76" t="str">
        <f t="shared" ca="1" si="151"/>
        <v/>
      </c>
      <c r="IX56" s="76" t="str">
        <f t="shared" ca="1" si="151"/>
        <v/>
      </c>
      <c r="IY56" s="76" t="str">
        <f t="shared" ca="1" si="151"/>
        <v/>
      </c>
      <c r="IZ56" s="76" t="str">
        <f t="shared" ca="1" si="152"/>
        <v/>
      </c>
      <c r="JA56" s="76" t="str">
        <f t="shared" ca="1" si="152"/>
        <v/>
      </c>
      <c r="JB56" s="76" t="str">
        <f t="shared" ca="1" si="152"/>
        <v/>
      </c>
      <c r="JC56" s="76" t="str">
        <f t="shared" ca="1" si="152"/>
        <v/>
      </c>
      <c r="JD56" s="76" t="str">
        <f t="shared" ca="1" si="152"/>
        <v/>
      </c>
      <c r="JE56" s="76" t="str">
        <f t="shared" ca="1" si="152"/>
        <v/>
      </c>
      <c r="JF56" s="76" t="str">
        <f t="shared" ca="1" si="152"/>
        <v/>
      </c>
      <c r="JG56" s="76" t="str">
        <f t="shared" ca="1" si="152"/>
        <v/>
      </c>
      <c r="JH56" s="76" t="str">
        <f t="shared" ca="1" si="152"/>
        <v/>
      </c>
      <c r="JI56" s="76" t="str">
        <f t="shared" ca="1" si="152"/>
        <v/>
      </c>
      <c r="JJ56" s="76" t="str">
        <f t="shared" ca="1" si="153"/>
        <v/>
      </c>
      <c r="JK56" s="76" t="str">
        <f t="shared" ca="1" si="153"/>
        <v/>
      </c>
      <c r="JL56" s="76" t="str">
        <f t="shared" ca="1" si="153"/>
        <v/>
      </c>
      <c r="JM56" s="76" t="str">
        <f t="shared" ca="1" si="153"/>
        <v/>
      </c>
      <c r="JN56" s="76" t="str">
        <f t="shared" ca="1" si="153"/>
        <v/>
      </c>
      <c r="JO56" s="76" t="str">
        <f t="shared" ca="1" si="153"/>
        <v/>
      </c>
      <c r="JP56" s="76" t="str">
        <f t="shared" ca="1" si="153"/>
        <v/>
      </c>
      <c r="JQ56" s="76" t="str">
        <f t="shared" ca="1" si="153"/>
        <v/>
      </c>
      <c r="JR56" s="76" t="str">
        <f t="shared" ca="1" si="153"/>
        <v/>
      </c>
      <c r="JS56" s="76" t="str">
        <f t="shared" ca="1" si="153"/>
        <v/>
      </c>
      <c r="JT56" s="76" t="str">
        <f t="shared" ca="1" si="154"/>
        <v/>
      </c>
      <c r="JU56" s="76" t="str">
        <f t="shared" ca="1" si="154"/>
        <v/>
      </c>
      <c r="JV56" s="76" t="str">
        <f t="shared" ca="1" si="154"/>
        <v/>
      </c>
      <c r="JW56" s="76" t="str">
        <f t="shared" ca="1" si="154"/>
        <v/>
      </c>
      <c r="JX56" s="76" t="str">
        <f t="shared" ca="1" si="154"/>
        <v/>
      </c>
      <c r="JY56" s="76" t="str">
        <f t="shared" ca="1" si="154"/>
        <v/>
      </c>
      <c r="JZ56" s="76" t="str">
        <f t="shared" ca="1" si="154"/>
        <v/>
      </c>
      <c r="KA56" s="76" t="str">
        <f t="shared" ca="1" si="154"/>
        <v/>
      </c>
      <c r="KB56" s="76" t="str">
        <f t="shared" ca="1" si="154"/>
        <v/>
      </c>
      <c r="KC56" s="76" t="str">
        <f t="shared" ca="1" si="154"/>
        <v/>
      </c>
      <c r="KD56" s="76" t="str">
        <f t="shared" ca="1" si="155"/>
        <v/>
      </c>
      <c r="KE56" s="76" t="str">
        <f t="shared" ca="1" si="155"/>
        <v/>
      </c>
      <c r="KF56" s="76" t="str">
        <f t="shared" ca="1" si="155"/>
        <v/>
      </c>
      <c r="KG56" s="76" t="str">
        <f t="shared" ca="1" si="155"/>
        <v/>
      </c>
      <c r="KH56" s="76" t="str">
        <f t="shared" ca="1" si="155"/>
        <v/>
      </c>
      <c r="KI56" s="76" t="str">
        <f t="shared" ca="1" si="155"/>
        <v/>
      </c>
      <c r="KJ56" s="76" t="str">
        <f t="shared" ca="1" si="155"/>
        <v/>
      </c>
      <c r="KK56" s="76" t="str">
        <f t="shared" ca="1" si="155"/>
        <v/>
      </c>
      <c r="KL56" s="76" t="str">
        <f t="shared" ca="1" si="155"/>
        <v/>
      </c>
      <c r="KM56" s="76" t="str">
        <f t="shared" ca="1" si="155"/>
        <v/>
      </c>
      <c r="KN56" s="76" t="str">
        <f t="shared" ca="1" si="156"/>
        <v/>
      </c>
      <c r="KO56" s="76" t="str">
        <f t="shared" ca="1" si="156"/>
        <v/>
      </c>
      <c r="KP56" s="76" t="str">
        <f t="shared" ca="1" si="156"/>
        <v/>
      </c>
      <c r="KQ56" s="76" t="str">
        <f t="shared" ca="1" si="156"/>
        <v/>
      </c>
      <c r="KR56" s="76" t="str">
        <f t="shared" ca="1" si="156"/>
        <v/>
      </c>
      <c r="KS56" s="76" t="str">
        <f t="shared" ca="1" si="156"/>
        <v/>
      </c>
      <c r="KT56" s="76" t="str">
        <f t="shared" ca="1" si="156"/>
        <v/>
      </c>
      <c r="KU56" s="76" t="str">
        <f t="shared" ca="1" si="156"/>
        <v/>
      </c>
      <c r="KV56" s="76" t="str">
        <f t="shared" ca="1" si="156"/>
        <v/>
      </c>
      <c r="KW56" s="76" t="str">
        <f t="shared" ca="1" si="156"/>
        <v/>
      </c>
      <c r="KX56" s="76" t="str">
        <f t="shared" ca="1" si="157"/>
        <v/>
      </c>
      <c r="KY56" s="76" t="str">
        <f t="shared" ca="1" si="157"/>
        <v/>
      </c>
      <c r="KZ56" s="76" t="str">
        <f t="shared" ca="1" si="157"/>
        <v/>
      </c>
      <c r="LA56" s="76" t="str">
        <f t="shared" ca="1" si="157"/>
        <v/>
      </c>
      <c r="LB56" s="76" t="str">
        <f t="shared" ca="1" si="157"/>
        <v/>
      </c>
      <c r="LC56" s="76" t="str">
        <f t="shared" ca="1" si="157"/>
        <v/>
      </c>
      <c r="LD56" s="76" t="str">
        <f t="shared" ca="1" si="157"/>
        <v/>
      </c>
      <c r="LE56" s="76" t="str">
        <f t="shared" ca="1" si="157"/>
        <v/>
      </c>
      <c r="LF56" s="76" t="str">
        <f t="shared" ca="1" si="157"/>
        <v/>
      </c>
      <c r="LG56" s="76" t="str">
        <f t="shared" ca="1" si="157"/>
        <v/>
      </c>
      <c r="LH56" s="76" t="str">
        <f t="shared" ca="1" si="158"/>
        <v/>
      </c>
      <c r="LI56" s="76" t="str">
        <f t="shared" ca="1" si="158"/>
        <v/>
      </c>
      <c r="LJ56" s="76" t="str">
        <f t="shared" ca="1" si="158"/>
        <v/>
      </c>
      <c r="LK56" s="76" t="str">
        <f t="shared" ca="1" si="158"/>
        <v/>
      </c>
      <c r="LL56" s="76" t="str">
        <f t="shared" ca="1" si="158"/>
        <v/>
      </c>
      <c r="LM56" s="76" t="str">
        <f t="shared" ca="1" si="158"/>
        <v/>
      </c>
      <c r="LN56" s="76" t="str">
        <f t="shared" ca="1" si="158"/>
        <v/>
      </c>
      <c r="LO56" s="76" t="str">
        <f t="shared" ca="1" si="158"/>
        <v/>
      </c>
      <c r="LP56" s="76" t="str">
        <f t="shared" ca="1" si="158"/>
        <v/>
      </c>
      <c r="LQ56" s="76" t="str">
        <f t="shared" ca="1" si="158"/>
        <v/>
      </c>
      <c r="LR56" s="76" t="str">
        <f t="shared" ca="1" si="159"/>
        <v/>
      </c>
      <c r="LS56" s="76" t="str">
        <f t="shared" ca="1" si="159"/>
        <v/>
      </c>
      <c r="LT56" s="76" t="str">
        <f t="shared" ca="1" si="159"/>
        <v/>
      </c>
      <c r="LU56" s="76" t="str">
        <f t="shared" ca="1" si="159"/>
        <v/>
      </c>
      <c r="LV56" s="76" t="str">
        <f t="shared" ca="1" si="159"/>
        <v/>
      </c>
      <c r="LW56" s="76" t="str">
        <f t="shared" ca="1" si="159"/>
        <v/>
      </c>
      <c r="LX56" s="76" t="str">
        <f t="shared" ca="1" si="159"/>
        <v/>
      </c>
      <c r="LY56" s="76" t="str">
        <f t="shared" ca="1" si="159"/>
        <v/>
      </c>
      <c r="LZ56" s="76" t="str">
        <f t="shared" ca="1" si="159"/>
        <v/>
      </c>
      <c r="MA56" s="76" t="str">
        <f t="shared" ca="1" si="159"/>
        <v/>
      </c>
      <c r="MB56" s="76" t="str">
        <f t="shared" ca="1" si="160"/>
        <v/>
      </c>
      <c r="MC56" s="76" t="str">
        <f t="shared" ca="1" si="160"/>
        <v/>
      </c>
      <c r="MD56" s="76" t="str">
        <f t="shared" ca="1" si="160"/>
        <v/>
      </c>
      <c r="ME56" s="76" t="str">
        <f t="shared" ca="1" si="160"/>
        <v/>
      </c>
      <c r="MF56" s="76" t="str">
        <f t="shared" ca="1" si="160"/>
        <v/>
      </c>
      <c r="MG56" s="76" t="str">
        <f t="shared" ca="1" si="160"/>
        <v/>
      </c>
      <c r="MH56" s="76" t="str">
        <f t="shared" ca="1" si="160"/>
        <v/>
      </c>
      <c r="MI56" s="76" t="str">
        <f t="shared" ca="1" si="160"/>
        <v/>
      </c>
      <c r="MJ56" s="76" t="str">
        <f t="shared" ca="1" si="160"/>
        <v/>
      </c>
      <c r="MK56" s="76" t="str">
        <f t="shared" ca="1" si="160"/>
        <v/>
      </c>
      <c r="ML56" s="76" t="str">
        <f t="shared" ca="1" si="161"/>
        <v/>
      </c>
      <c r="MM56" s="76" t="str">
        <f t="shared" ca="1" si="161"/>
        <v/>
      </c>
      <c r="MN56" s="76" t="str">
        <f t="shared" ca="1" si="161"/>
        <v/>
      </c>
      <c r="MO56" s="76" t="str">
        <f t="shared" ca="1" si="161"/>
        <v/>
      </c>
      <c r="MP56" s="76" t="str">
        <f t="shared" ca="1" si="161"/>
        <v/>
      </c>
      <c r="MQ56" s="76" t="str">
        <f t="shared" ca="1" si="161"/>
        <v/>
      </c>
      <c r="MR56" s="76" t="str">
        <f t="shared" ca="1" si="161"/>
        <v/>
      </c>
      <c r="MS56" s="76" t="str">
        <f t="shared" ca="1" si="161"/>
        <v/>
      </c>
      <c r="MT56" s="76" t="str">
        <f t="shared" ca="1" si="161"/>
        <v/>
      </c>
      <c r="MU56" s="76" t="str">
        <f t="shared" ca="1" si="161"/>
        <v/>
      </c>
      <c r="MV56" s="76" t="str">
        <f t="shared" ca="1" si="162"/>
        <v/>
      </c>
      <c r="MW56" s="76" t="str">
        <f t="shared" ca="1" si="162"/>
        <v/>
      </c>
      <c r="MX56" s="76" t="str">
        <f t="shared" ca="1" si="162"/>
        <v/>
      </c>
      <c r="MY56" s="76" t="str">
        <f t="shared" ca="1" si="162"/>
        <v/>
      </c>
      <c r="MZ56" s="76" t="str">
        <f t="shared" ca="1" si="162"/>
        <v/>
      </c>
      <c r="NA56" s="76" t="str">
        <f t="shared" ca="1" si="162"/>
        <v/>
      </c>
      <c r="NB56" s="76" t="str">
        <f t="shared" ca="1" si="162"/>
        <v/>
      </c>
      <c r="NC56" s="76" t="str">
        <f t="shared" ca="1" si="162"/>
        <v/>
      </c>
      <c r="ND56" s="76" t="str">
        <f t="shared" ca="1" si="162"/>
        <v/>
      </c>
      <c r="NE56" s="76" t="str">
        <f t="shared" ca="1" si="162"/>
        <v/>
      </c>
      <c r="NF56" s="76" t="str">
        <f t="shared" ca="1" si="163"/>
        <v/>
      </c>
      <c r="NG56" s="76" t="str">
        <f t="shared" ca="1" si="163"/>
        <v/>
      </c>
      <c r="NH56" s="76" t="str">
        <f t="shared" ca="1" si="163"/>
        <v/>
      </c>
      <c r="NI56" s="76" t="str">
        <f t="shared" ca="1" si="163"/>
        <v/>
      </c>
      <c r="NJ56" s="76" t="str">
        <f t="shared" ca="1" si="163"/>
        <v/>
      </c>
      <c r="NK56" s="76" t="str">
        <f t="shared" ca="1" si="163"/>
        <v/>
      </c>
      <c r="NL56" s="76" t="str">
        <f t="shared" ca="1" si="163"/>
        <v/>
      </c>
      <c r="NM56" s="76" t="str">
        <f t="shared" ca="1" si="163"/>
        <v/>
      </c>
      <c r="NN56" s="76" t="str">
        <f t="shared" ca="1" si="163"/>
        <v/>
      </c>
      <c r="NO56" s="76" t="str">
        <f t="shared" ca="1" si="163"/>
        <v/>
      </c>
      <c r="NP56" s="76" t="str">
        <f t="shared" ca="1" si="164"/>
        <v/>
      </c>
      <c r="NQ56" s="76" t="str">
        <f t="shared" ca="1" si="164"/>
        <v/>
      </c>
      <c r="NR56" s="76" t="str">
        <f t="shared" ca="1" si="164"/>
        <v/>
      </c>
      <c r="NS56" s="76" t="str">
        <f t="shared" ca="1" si="164"/>
        <v/>
      </c>
      <c r="NT56" s="76" t="str">
        <f t="shared" ca="1" si="164"/>
        <v/>
      </c>
      <c r="NU56" s="76" t="str">
        <f t="shared" ca="1" si="164"/>
        <v/>
      </c>
      <c r="NV56" s="76" t="str">
        <f t="shared" ca="1" si="164"/>
        <v/>
      </c>
      <c r="NW56" s="76" t="str">
        <f t="shared" ca="1" si="164"/>
        <v/>
      </c>
      <c r="NX56" s="76" t="str">
        <f t="shared" ca="1" si="164"/>
        <v/>
      </c>
      <c r="NY56" s="76" t="str">
        <f t="shared" ca="1" si="164"/>
        <v/>
      </c>
      <c r="NZ56" s="76" t="str">
        <f t="shared" ca="1" si="165"/>
        <v/>
      </c>
      <c r="OA56" s="76" t="str">
        <f t="shared" ca="1" si="165"/>
        <v/>
      </c>
      <c r="OB56" s="76" t="str">
        <f t="shared" ca="1" si="165"/>
        <v/>
      </c>
      <c r="OC56" s="76" t="str">
        <f t="shared" ca="1" si="165"/>
        <v/>
      </c>
      <c r="OD56" s="76" t="str">
        <f t="shared" ca="1" si="165"/>
        <v/>
      </c>
      <c r="OE56" s="76" t="str">
        <f t="shared" ca="1" si="165"/>
        <v/>
      </c>
      <c r="OF56" s="76" t="str">
        <f t="shared" ca="1" si="165"/>
        <v/>
      </c>
      <c r="OG56" s="76" t="str">
        <f t="shared" ca="1" si="165"/>
        <v/>
      </c>
      <c r="OH56" s="76" t="str">
        <f t="shared" ca="1" si="165"/>
        <v/>
      </c>
      <c r="OI56" s="76" t="str">
        <f t="shared" ca="1" si="165"/>
        <v/>
      </c>
      <c r="OJ56" s="76" t="str">
        <f t="shared" ca="1" si="166"/>
        <v/>
      </c>
      <c r="OK56" s="76" t="str">
        <f t="shared" ca="1" si="166"/>
        <v/>
      </c>
      <c r="OL56" s="76" t="str">
        <f t="shared" ca="1" si="166"/>
        <v/>
      </c>
      <c r="OM56" s="76" t="str">
        <f t="shared" ca="1" si="166"/>
        <v/>
      </c>
      <c r="ON56" s="76" t="str">
        <f t="shared" ca="1" si="166"/>
        <v/>
      </c>
      <c r="OO56" s="76" t="str">
        <f t="shared" ca="1" si="166"/>
        <v/>
      </c>
      <c r="OP56" s="76" t="str">
        <f t="shared" ca="1" si="166"/>
        <v/>
      </c>
      <c r="OQ56" s="76" t="str">
        <f t="shared" ca="1" si="166"/>
        <v/>
      </c>
      <c r="OR56" s="76" t="str">
        <f t="shared" ca="1" si="166"/>
        <v/>
      </c>
      <c r="OS56" s="76" t="str">
        <f t="shared" ca="1" si="166"/>
        <v/>
      </c>
      <c r="OT56" s="76" t="str">
        <f t="shared" ca="1" si="167"/>
        <v/>
      </c>
      <c r="OU56" s="76" t="str">
        <f t="shared" ca="1" si="167"/>
        <v/>
      </c>
      <c r="OV56" s="76" t="str">
        <f t="shared" ca="1" si="167"/>
        <v/>
      </c>
      <c r="OW56" s="76" t="str">
        <f t="shared" ca="1" si="167"/>
        <v/>
      </c>
      <c r="OX56" s="76" t="str">
        <f t="shared" ca="1" si="167"/>
        <v/>
      </c>
      <c r="OY56" s="76" t="str">
        <f t="shared" ca="1" si="167"/>
        <v/>
      </c>
      <c r="OZ56" s="76" t="str">
        <f t="shared" ca="1" si="167"/>
        <v/>
      </c>
      <c r="PA56" s="76" t="str">
        <f t="shared" ca="1" si="167"/>
        <v/>
      </c>
      <c r="PB56" s="76" t="str">
        <f t="shared" ca="1" si="167"/>
        <v/>
      </c>
      <c r="PC56" s="76" t="str">
        <f t="shared" ca="1" si="167"/>
        <v/>
      </c>
      <c r="PD56" s="76" t="str">
        <f t="shared" ca="1" si="168"/>
        <v/>
      </c>
      <c r="PE56" s="76" t="str">
        <f t="shared" ca="1" si="168"/>
        <v/>
      </c>
      <c r="PF56" s="76" t="str">
        <f t="shared" ca="1" si="168"/>
        <v/>
      </c>
      <c r="PG56" s="76" t="str">
        <f t="shared" ca="1" si="168"/>
        <v/>
      </c>
      <c r="PH56" s="76" t="str">
        <f t="shared" ca="1" si="168"/>
        <v/>
      </c>
      <c r="PI56" s="76" t="str">
        <f t="shared" ca="1" si="168"/>
        <v/>
      </c>
      <c r="PJ56" s="76" t="str">
        <f t="shared" ca="1" si="168"/>
        <v/>
      </c>
      <c r="PK56" s="76" t="str">
        <f t="shared" ca="1" si="168"/>
        <v/>
      </c>
      <c r="PL56" s="76" t="str">
        <f t="shared" ca="1" si="168"/>
        <v/>
      </c>
      <c r="PM56" s="76" t="str">
        <f t="shared" ca="1" si="168"/>
        <v/>
      </c>
      <c r="PN56" s="76" t="str">
        <f t="shared" ca="1" si="169"/>
        <v/>
      </c>
      <c r="PO56" s="76" t="str">
        <f t="shared" ca="1" si="169"/>
        <v/>
      </c>
      <c r="PP56" s="76" t="str">
        <f t="shared" ca="1" si="169"/>
        <v/>
      </c>
      <c r="PQ56" s="76" t="str">
        <f t="shared" ca="1" si="169"/>
        <v/>
      </c>
      <c r="PR56" s="76" t="str">
        <f t="shared" ca="1" si="169"/>
        <v/>
      </c>
      <c r="PS56" s="76" t="str">
        <f t="shared" ca="1" si="169"/>
        <v/>
      </c>
      <c r="PT56" s="76" t="str">
        <f t="shared" ca="1" si="169"/>
        <v/>
      </c>
      <c r="PU56" s="76" t="str">
        <f t="shared" ca="1" si="169"/>
        <v/>
      </c>
      <c r="PV56" s="76" t="str">
        <f t="shared" ca="1" si="169"/>
        <v/>
      </c>
      <c r="PW56" s="76" t="str">
        <f t="shared" ca="1" si="169"/>
        <v/>
      </c>
      <c r="PX56" s="76" t="str">
        <f t="shared" ca="1" si="170"/>
        <v/>
      </c>
      <c r="PY56" s="76" t="str">
        <f t="shared" ca="1" si="170"/>
        <v/>
      </c>
      <c r="PZ56" s="76" t="str">
        <f t="shared" ca="1" si="170"/>
        <v/>
      </c>
      <c r="QA56" s="76" t="str">
        <f t="shared" ca="1" si="170"/>
        <v/>
      </c>
      <c r="QB56" s="76" t="str">
        <f t="shared" ca="1" si="170"/>
        <v/>
      </c>
      <c r="QC56" s="76" t="str">
        <f t="shared" ca="1" si="170"/>
        <v/>
      </c>
      <c r="QD56" s="76" t="str">
        <f t="shared" ca="1" si="170"/>
        <v/>
      </c>
      <c r="QE56" s="76" t="str">
        <f t="shared" ca="1" si="170"/>
        <v/>
      </c>
      <c r="QF56" s="76" t="str">
        <f t="shared" ca="1" si="170"/>
        <v/>
      </c>
      <c r="QG56" s="76" t="str">
        <f t="shared" ca="1" si="170"/>
        <v/>
      </c>
      <c r="QH56" s="76" t="str">
        <f t="shared" ca="1" si="171"/>
        <v/>
      </c>
      <c r="QI56" s="76" t="str">
        <f t="shared" ca="1" si="171"/>
        <v/>
      </c>
      <c r="QJ56" s="76" t="str">
        <f t="shared" ca="1" si="171"/>
        <v/>
      </c>
      <c r="QK56" s="76" t="str">
        <f t="shared" ca="1" si="171"/>
        <v/>
      </c>
      <c r="QL56" s="76" t="str">
        <f t="shared" ca="1" si="171"/>
        <v/>
      </c>
      <c r="QM56" s="76" t="str">
        <f t="shared" ca="1" si="171"/>
        <v/>
      </c>
      <c r="QN56" s="76" t="str">
        <f t="shared" ca="1" si="171"/>
        <v/>
      </c>
      <c r="QO56" s="76" t="str">
        <f t="shared" ca="1" si="171"/>
        <v/>
      </c>
      <c r="QP56" s="76" t="str">
        <f t="shared" ca="1" si="171"/>
        <v/>
      </c>
      <c r="QQ56" s="76" t="str">
        <f t="shared" ca="1" si="171"/>
        <v/>
      </c>
      <c r="QR56" s="76" t="str">
        <f t="shared" ca="1" si="172"/>
        <v/>
      </c>
      <c r="QS56" s="76" t="str">
        <f t="shared" ca="1" si="172"/>
        <v/>
      </c>
      <c r="QT56" s="76" t="str">
        <f t="shared" ca="1" si="172"/>
        <v/>
      </c>
      <c r="QU56" s="76" t="str">
        <f t="shared" ca="1" si="172"/>
        <v/>
      </c>
      <c r="QV56" s="76" t="str">
        <f t="shared" ca="1" si="172"/>
        <v/>
      </c>
      <c r="QW56" s="76" t="str">
        <f t="shared" ca="1" si="172"/>
        <v/>
      </c>
      <c r="QX56" s="76" t="str">
        <f t="shared" ca="1" si="172"/>
        <v/>
      </c>
      <c r="QY56" s="76" t="str">
        <f t="shared" ca="1" si="172"/>
        <v/>
      </c>
      <c r="QZ56" s="76" t="str">
        <f t="shared" ca="1" si="172"/>
        <v/>
      </c>
      <c r="RA56" s="76" t="str">
        <f t="shared" ca="1" si="172"/>
        <v/>
      </c>
      <c r="RB56" s="76" t="str">
        <f t="shared" ca="1" si="173"/>
        <v/>
      </c>
      <c r="RC56" s="76" t="str">
        <f t="shared" ca="1" si="173"/>
        <v/>
      </c>
      <c r="RD56" s="76" t="str">
        <f t="shared" ca="1" si="173"/>
        <v/>
      </c>
      <c r="RE56" s="76" t="str">
        <f t="shared" ca="1" si="173"/>
        <v/>
      </c>
      <c r="RF56" s="76" t="str">
        <f t="shared" ca="1" si="173"/>
        <v/>
      </c>
      <c r="RG56" s="76" t="str">
        <f t="shared" ca="1" si="173"/>
        <v/>
      </c>
      <c r="RH56" s="76" t="str">
        <f t="shared" ca="1" si="173"/>
        <v/>
      </c>
      <c r="RI56" s="76" t="str">
        <f t="shared" ca="1" si="173"/>
        <v/>
      </c>
      <c r="RJ56" s="76" t="str">
        <f t="shared" ca="1" si="173"/>
        <v/>
      </c>
      <c r="RK56" s="76" t="str">
        <f t="shared" ca="1" si="173"/>
        <v/>
      </c>
      <c r="RL56" s="76" t="str">
        <f t="shared" ca="1" si="174"/>
        <v/>
      </c>
      <c r="RM56" s="76" t="str">
        <f t="shared" ca="1" si="174"/>
        <v/>
      </c>
      <c r="RN56" s="76" t="str">
        <f t="shared" ca="1" si="174"/>
        <v/>
      </c>
      <c r="RO56" s="76" t="str">
        <f t="shared" ca="1" si="174"/>
        <v/>
      </c>
      <c r="RP56" s="76" t="str">
        <f t="shared" ca="1" si="174"/>
        <v/>
      </c>
      <c r="RQ56" s="76" t="str">
        <f t="shared" ca="1" si="174"/>
        <v/>
      </c>
      <c r="RR56" s="76" t="str">
        <f t="shared" ca="1" si="174"/>
        <v/>
      </c>
      <c r="RS56" s="76" t="str">
        <f t="shared" ca="1" si="174"/>
        <v/>
      </c>
      <c r="RT56" s="76" t="str">
        <f t="shared" ca="1" si="174"/>
        <v/>
      </c>
      <c r="RU56" s="76" t="str">
        <f t="shared" ca="1" si="174"/>
        <v/>
      </c>
      <c r="RV56" s="76" t="str">
        <f t="shared" ca="1" si="175"/>
        <v/>
      </c>
      <c r="RW56" s="76" t="str">
        <f t="shared" ca="1" si="175"/>
        <v/>
      </c>
      <c r="RX56" s="76" t="str">
        <f t="shared" ca="1" si="175"/>
        <v/>
      </c>
      <c r="RY56" s="76" t="str">
        <f t="shared" ca="1" si="175"/>
        <v/>
      </c>
      <c r="RZ56" s="76" t="str">
        <f t="shared" ca="1" si="175"/>
        <v/>
      </c>
      <c r="SA56" s="76" t="str">
        <f t="shared" ca="1" si="175"/>
        <v/>
      </c>
      <c r="SB56" s="76" t="str">
        <f t="shared" ca="1" si="175"/>
        <v/>
      </c>
      <c r="SC56" s="76" t="str">
        <f t="shared" ca="1" si="175"/>
        <v/>
      </c>
      <c r="SD56" s="76" t="str">
        <f t="shared" ca="1" si="175"/>
        <v/>
      </c>
      <c r="SE56" s="76" t="str">
        <f t="shared" ca="1" si="175"/>
        <v/>
      </c>
      <c r="SF56" s="76" t="str">
        <f t="shared" ca="1" si="176"/>
        <v/>
      </c>
      <c r="SG56" s="76" t="str">
        <f t="shared" ca="1" si="176"/>
        <v/>
      </c>
      <c r="SH56" s="76" t="str">
        <f t="shared" ca="1" si="176"/>
        <v/>
      </c>
      <c r="SI56" s="76" t="str">
        <f t="shared" ca="1" si="176"/>
        <v/>
      </c>
      <c r="SJ56" s="76" t="str">
        <f t="shared" ca="1" si="176"/>
        <v/>
      </c>
      <c r="SK56" s="76" t="str">
        <f t="shared" ca="1" si="176"/>
        <v/>
      </c>
      <c r="SL56" s="76" t="str">
        <f t="shared" ca="1" si="176"/>
        <v/>
      </c>
      <c r="SM56" s="76" t="str">
        <f t="shared" ca="1" si="176"/>
        <v/>
      </c>
      <c r="SN56" s="76" t="str">
        <f t="shared" ca="1" si="176"/>
        <v/>
      </c>
      <c r="SO56" s="76" t="str">
        <f t="shared" ca="1" si="176"/>
        <v/>
      </c>
      <c r="SP56" s="76" t="str">
        <f t="shared" ca="1" si="177"/>
        <v/>
      </c>
      <c r="SQ56" s="76" t="str">
        <f t="shared" ca="1" si="177"/>
        <v/>
      </c>
      <c r="SR56" s="76" t="str">
        <f t="shared" ca="1" si="177"/>
        <v/>
      </c>
      <c r="SS56" s="76" t="str">
        <f t="shared" ca="1" si="177"/>
        <v/>
      </c>
      <c r="ST56" s="76" t="str">
        <f t="shared" ca="1" si="177"/>
        <v/>
      </c>
      <c r="SU56" s="76" t="str">
        <f t="shared" ca="1" si="177"/>
        <v/>
      </c>
      <c r="SV56" s="76" t="str">
        <f t="shared" ca="1" si="177"/>
        <v/>
      </c>
      <c r="SW56" s="76" t="str">
        <f t="shared" ca="1" si="177"/>
        <v/>
      </c>
      <c r="SX56" s="76" t="str">
        <f t="shared" ca="1" si="177"/>
        <v/>
      </c>
      <c r="SY56" s="76" t="str">
        <f t="shared" ca="1" si="177"/>
        <v/>
      </c>
      <c r="SZ56" s="76" t="str">
        <f t="shared" ca="1" si="178"/>
        <v/>
      </c>
      <c r="TA56" s="76" t="str">
        <f t="shared" ca="1" si="178"/>
        <v/>
      </c>
      <c r="TB56" s="76" t="str">
        <f t="shared" ca="1" si="178"/>
        <v/>
      </c>
      <c r="TC56" s="76" t="str">
        <f t="shared" ca="1" si="178"/>
        <v/>
      </c>
      <c r="TD56" s="76" t="str">
        <f t="shared" ca="1" si="178"/>
        <v/>
      </c>
      <c r="TE56" s="76" t="str">
        <f t="shared" ca="1" si="178"/>
        <v/>
      </c>
      <c r="TF56" s="76" t="str">
        <f t="shared" ca="1" si="178"/>
        <v/>
      </c>
      <c r="TG56" s="76" t="str">
        <f t="shared" ca="1" si="178"/>
        <v/>
      </c>
      <c r="TH56" s="76" t="str">
        <f t="shared" ca="1" si="178"/>
        <v/>
      </c>
      <c r="TI56" s="76" t="str">
        <f t="shared" ca="1" si="178"/>
        <v/>
      </c>
      <c r="TJ56" s="76" t="str">
        <f t="shared" ca="1" si="179"/>
        <v/>
      </c>
      <c r="TK56" s="76" t="str">
        <f t="shared" ca="1" si="179"/>
        <v/>
      </c>
      <c r="TL56" s="76" t="str">
        <f t="shared" ca="1" si="179"/>
        <v/>
      </c>
      <c r="TM56" s="76" t="str">
        <f t="shared" ca="1" si="179"/>
        <v/>
      </c>
      <c r="TN56" s="76" t="str">
        <f t="shared" ca="1" si="179"/>
        <v/>
      </c>
      <c r="TO56" s="76" t="str">
        <f t="shared" ca="1" si="179"/>
        <v/>
      </c>
      <c r="TP56" s="76" t="str">
        <f t="shared" ca="1" si="179"/>
        <v/>
      </c>
      <c r="TQ56" s="76" t="str">
        <f t="shared" ca="1" si="179"/>
        <v/>
      </c>
      <c r="TR56" s="76" t="str">
        <f t="shared" ca="1" si="179"/>
        <v/>
      </c>
      <c r="TS56" s="76" t="str">
        <f t="shared" ca="1" si="179"/>
        <v/>
      </c>
      <c r="TT56" s="76" t="str">
        <f t="shared" ca="1" si="180"/>
        <v/>
      </c>
      <c r="TU56" s="76" t="str">
        <f t="shared" ca="1" si="180"/>
        <v/>
      </c>
      <c r="TV56" s="76" t="str">
        <f t="shared" ca="1" si="180"/>
        <v/>
      </c>
      <c r="TW56" s="76" t="str">
        <f t="shared" ca="1" si="180"/>
        <v/>
      </c>
      <c r="TX56" s="76" t="str">
        <f t="shared" ca="1" si="180"/>
        <v/>
      </c>
      <c r="TY56" s="76" t="str">
        <f t="shared" ca="1" si="180"/>
        <v/>
      </c>
      <c r="TZ56" s="76" t="str">
        <f t="shared" ca="1" si="180"/>
        <v/>
      </c>
      <c r="UA56" s="76" t="str">
        <f t="shared" ca="1" si="180"/>
        <v/>
      </c>
      <c r="UB56" s="76" t="str">
        <f t="shared" ca="1" si="180"/>
        <v/>
      </c>
      <c r="UC56" s="76" t="str">
        <f t="shared" ca="1" si="180"/>
        <v/>
      </c>
      <c r="UD56" s="76" t="str">
        <f t="shared" ca="1" si="181"/>
        <v/>
      </c>
      <c r="UE56" s="76" t="str">
        <f t="shared" ca="1" si="181"/>
        <v/>
      </c>
      <c r="UF56" s="76" t="str">
        <f t="shared" ca="1" si="181"/>
        <v/>
      </c>
      <c r="UG56" s="76" t="str">
        <f t="shared" ca="1" si="181"/>
        <v/>
      </c>
      <c r="UH56" s="76" t="str">
        <f t="shared" ca="1" si="181"/>
        <v/>
      </c>
      <c r="UI56" s="76" t="str">
        <f t="shared" ca="1" si="181"/>
        <v/>
      </c>
      <c r="UJ56" s="76" t="str">
        <f t="shared" ca="1" si="181"/>
        <v/>
      </c>
      <c r="UK56" s="76" t="str">
        <f t="shared" ca="1" si="181"/>
        <v/>
      </c>
      <c r="UL56" s="76" t="str">
        <f t="shared" ca="1" si="181"/>
        <v/>
      </c>
      <c r="UM56" s="76" t="str">
        <f t="shared" ca="1" si="181"/>
        <v/>
      </c>
      <c r="UN56" s="76" t="str">
        <f t="shared" ca="1" si="182"/>
        <v/>
      </c>
      <c r="UO56" s="76" t="str">
        <f t="shared" ca="1" si="182"/>
        <v/>
      </c>
      <c r="UP56" s="76" t="str">
        <f t="shared" ca="1" si="182"/>
        <v/>
      </c>
      <c r="UQ56" s="76" t="str">
        <f t="shared" ca="1" si="182"/>
        <v/>
      </c>
      <c r="UR56" s="76" t="str">
        <f t="shared" ca="1" si="182"/>
        <v/>
      </c>
      <c r="US56" s="76" t="str">
        <f t="shared" ca="1" si="182"/>
        <v/>
      </c>
      <c r="UT56" s="76" t="str">
        <f t="shared" ca="1" si="182"/>
        <v/>
      </c>
      <c r="UU56" s="76" t="str">
        <f t="shared" ca="1" si="182"/>
        <v/>
      </c>
      <c r="UV56" s="76" t="str">
        <f t="shared" ca="1" si="182"/>
        <v/>
      </c>
      <c r="UW56" s="76" t="str">
        <f t="shared" ca="1" si="182"/>
        <v/>
      </c>
      <c r="UX56" s="76" t="str">
        <f t="shared" ca="1" si="183"/>
        <v/>
      </c>
      <c r="UY56" s="76" t="str">
        <f t="shared" ca="1" si="183"/>
        <v/>
      </c>
      <c r="UZ56" s="76" t="str">
        <f t="shared" ca="1" si="183"/>
        <v/>
      </c>
      <c r="VA56" s="76" t="str">
        <f t="shared" ca="1" si="183"/>
        <v/>
      </c>
      <c r="VB56" s="76" t="str">
        <f t="shared" ca="1" si="183"/>
        <v/>
      </c>
      <c r="VC56" s="76" t="str">
        <f t="shared" ca="1" si="183"/>
        <v/>
      </c>
      <c r="VD56" s="76" t="str">
        <f t="shared" ca="1" si="183"/>
        <v/>
      </c>
      <c r="VE56" s="76" t="str">
        <f t="shared" ca="1" si="183"/>
        <v/>
      </c>
      <c r="VF56" s="76" t="str">
        <f t="shared" ca="1" si="183"/>
        <v/>
      </c>
      <c r="VG56" s="76" t="str">
        <f t="shared" ca="1" si="183"/>
        <v/>
      </c>
      <c r="VH56" s="76" t="str">
        <f t="shared" ca="1" si="184"/>
        <v/>
      </c>
      <c r="VI56" s="76" t="str">
        <f t="shared" ca="1" si="184"/>
        <v/>
      </c>
      <c r="VJ56" s="76" t="str">
        <f t="shared" ca="1" si="184"/>
        <v/>
      </c>
      <c r="VK56" s="76" t="str">
        <f t="shared" ca="1" si="184"/>
        <v/>
      </c>
      <c r="VL56" s="76" t="str">
        <f t="shared" ca="1" si="184"/>
        <v/>
      </c>
      <c r="VM56" s="76" t="str">
        <f t="shared" ca="1" si="184"/>
        <v/>
      </c>
      <c r="VN56" s="76" t="str">
        <f t="shared" ca="1" si="184"/>
        <v/>
      </c>
      <c r="VO56" s="76" t="str">
        <f t="shared" ca="1" si="184"/>
        <v/>
      </c>
      <c r="VP56" s="76" t="str">
        <f t="shared" ca="1" si="184"/>
        <v/>
      </c>
      <c r="VQ56" s="76" t="str">
        <f t="shared" ca="1" si="184"/>
        <v/>
      </c>
      <c r="VR56" s="76" t="str">
        <f t="shared" ca="1" si="184"/>
        <v/>
      </c>
      <c r="VS56" s="76" t="str">
        <f t="shared" ca="1" si="184"/>
        <v/>
      </c>
    </row>
    <row r="57" spans="1:591" s="17" customFormat="1" ht="21.6" customHeight="1" x14ac:dyDescent="0.3">
      <c r="A57" s="81"/>
      <c r="B57" s="28" t="s">
        <v>94</v>
      </c>
      <c r="C57" s="19" t="s">
        <v>74</v>
      </c>
      <c r="D57" s="19"/>
      <c r="E57" s="27"/>
      <c r="F57" s="26">
        <f>F31+15</f>
        <v>46010</v>
      </c>
      <c r="G57" s="26">
        <f>Milestones43524[[#This Row],[Start]]+Milestones43524[[#This Row],[Days]]</f>
        <v>46014</v>
      </c>
      <c r="H57" s="25">
        <v>4</v>
      </c>
      <c r="I57" s="19"/>
      <c r="J57" s="75" t="str">
        <f t="shared" ca="1" si="127"/>
        <v/>
      </c>
      <c r="K57" s="75" t="str">
        <f t="shared" ca="1" si="127"/>
        <v/>
      </c>
      <c r="L57" s="75" t="str">
        <f t="shared" ca="1" si="127"/>
        <v/>
      </c>
      <c r="M57" s="75" t="str">
        <f t="shared" ca="1" si="127"/>
        <v/>
      </c>
      <c r="N57" s="75" t="str">
        <f t="shared" ca="1" si="127"/>
        <v/>
      </c>
      <c r="O57" s="75" t="str">
        <f t="shared" ca="1" si="127"/>
        <v/>
      </c>
      <c r="P57" s="75" t="str">
        <f t="shared" ca="1" si="127"/>
        <v/>
      </c>
      <c r="Q57" s="75" t="str">
        <f t="shared" ca="1" si="127"/>
        <v/>
      </c>
      <c r="R57" s="75" t="str">
        <f t="shared" ca="1" si="127"/>
        <v/>
      </c>
      <c r="S57" s="75" t="str">
        <f t="shared" ca="1" si="127"/>
        <v/>
      </c>
      <c r="T57" s="75" t="str">
        <f t="shared" ca="1" si="128"/>
        <v/>
      </c>
      <c r="U57" s="75" t="str">
        <f t="shared" ca="1" si="128"/>
        <v/>
      </c>
      <c r="V57" s="75" t="str">
        <f t="shared" ca="1" si="128"/>
        <v/>
      </c>
      <c r="W57" s="75" t="str">
        <f t="shared" ca="1" si="128"/>
        <v/>
      </c>
      <c r="X57" s="75" t="str">
        <f t="shared" ca="1" si="128"/>
        <v/>
      </c>
      <c r="Y57" s="75" t="str">
        <f t="shared" ca="1" si="128"/>
        <v/>
      </c>
      <c r="Z57" s="75" t="str">
        <f t="shared" ca="1" si="128"/>
        <v/>
      </c>
      <c r="AA57" s="75" t="str">
        <f t="shared" ca="1" si="128"/>
        <v/>
      </c>
      <c r="AB57" s="75" t="str">
        <f t="shared" ca="1" si="128"/>
        <v/>
      </c>
      <c r="AC57" s="75" t="str">
        <f t="shared" ca="1" si="128"/>
        <v/>
      </c>
      <c r="AD57" s="75" t="str">
        <f t="shared" ca="1" si="129"/>
        <v/>
      </c>
      <c r="AE57" s="75" t="str">
        <f t="shared" ca="1" si="129"/>
        <v/>
      </c>
      <c r="AF57" s="75" t="str">
        <f t="shared" ca="1" si="129"/>
        <v/>
      </c>
      <c r="AG57" s="75" t="str">
        <f t="shared" ca="1" si="129"/>
        <v/>
      </c>
      <c r="AH57" s="75" t="str">
        <f t="shared" ca="1" si="129"/>
        <v/>
      </c>
      <c r="AI57" s="75" t="str">
        <f t="shared" ca="1" si="129"/>
        <v/>
      </c>
      <c r="AJ57" s="75" t="str">
        <f t="shared" ca="1" si="129"/>
        <v/>
      </c>
      <c r="AK57" s="75" t="str">
        <f t="shared" ca="1" si="129"/>
        <v/>
      </c>
      <c r="AL57" s="75" t="str">
        <f t="shared" ca="1" si="129"/>
        <v/>
      </c>
      <c r="AM57" s="75" t="str">
        <f t="shared" ca="1" si="129"/>
        <v/>
      </c>
      <c r="AN57" s="75" t="str">
        <f t="shared" ca="1" si="130"/>
        <v/>
      </c>
      <c r="AO57" s="75" t="str">
        <f t="shared" ca="1" si="130"/>
        <v/>
      </c>
      <c r="AP57" s="75" t="str">
        <f t="shared" ca="1" si="130"/>
        <v/>
      </c>
      <c r="AQ57" s="75" t="str">
        <f t="shared" ca="1" si="130"/>
        <v/>
      </c>
      <c r="AR57" s="75" t="str">
        <f t="shared" ca="1" si="130"/>
        <v/>
      </c>
      <c r="AS57" s="75" t="str">
        <f t="shared" ca="1" si="130"/>
        <v/>
      </c>
      <c r="AT57" s="75" t="str">
        <f t="shared" ca="1" si="130"/>
        <v/>
      </c>
      <c r="AU57" s="75" t="str">
        <f t="shared" ca="1" si="130"/>
        <v/>
      </c>
      <c r="AV57" s="75" t="str">
        <f t="shared" ca="1" si="130"/>
        <v/>
      </c>
      <c r="AW57" s="75" t="str">
        <f t="shared" ca="1" si="130"/>
        <v/>
      </c>
      <c r="AX57" s="75" t="str">
        <f t="shared" ca="1" si="131"/>
        <v/>
      </c>
      <c r="AY57" s="75" t="str">
        <f t="shared" ca="1" si="131"/>
        <v/>
      </c>
      <c r="AZ57" s="75" t="str">
        <f t="shared" ca="1" si="131"/>
        <v/>
      </c>
      <c r="BA57" s="75" t="str">
        <f t="shared" ca="1" si="131"/>
        <v/>
      </c>
      <c r="BB57" s="75" t="str">
        <f t="shared" ca="1" si="131"/>
        <v/>
      </c>
      <c r="BC57" s="75" t="str">
        <f t="shared" ca="1" si="131"/>
        <v/>
      </c>
      <c r="BD57" s="75" t="str">
        <f t="shared" ca="1" si="131"/>
        <v/>
      </c>
      <c r="BE57" s="75" t="str">
        <f t="shared" ca="1" si="131"/>
        <v/>
      </c>
      <c r="BF57" s="75" t="str">
        <f t="shared" ca="1" si="131"/>
        <v/>
      </c>
      <c r="BG57" s="75" t="str">
        <f t="shared" ca="1" si="131"/>
        <v/>
      </c>
      <c r="BH57" s="75" t="str">
        <f t="shared" ca="1" si="132"/>
        <v/>
      </c>
      <c r="BI57" s="75" t="str">
        <f t="shared" ca="1" si="132"/>
        <v/>
      </c>
      <c r="BJ57" s="75" t="str">
        <f t="shared" ca="1" si="132"/>
        <v/>
      </c>
      <c r="BK57" s="75" t="str">
        <f t="shared" ca="1" si="132"/>
        <v/>
      </c>
      <c r="BL57" s="75" t="str">
        <f t="shared" ca="1" si="132"/>
        <v/>
      </c>
      <c r="BM57" s="75" t="str">
        <f t="shared" ca="1" si="132"/>
        <v/>
      </c>
      <c r="BN57" s="75" t="str">
        <f t="shared" ca="1" si="132"/>
        <v/>
      </c>
      <c r="BO57" s="75" t="str">
        <f t="shared" ca="1" si="132"/>
        <v/>
      </c>
      <c r="BP57" s="75" t="str">
        <f t="shared" ca="1" si="132"/>
        <v/>
      </c>
      <c r="BQ57" s="75" t="str">
        <f t="shared" ca="1" si="132"/>
        <v/>
      </c>
      <c r="BR57" s="75" t="str">
        <f t="shared" ca="1" si="133"/>
        <v/>
      </c>
      <c r="BS57" s="75" t="str">
        <f t="shared" ca="1" si="133"/>
        <v/>
      </c>
      <c r="BT57" s="75" t="str">
        <f t="shared" ca="1" si="133"/>
        <v/>
      </c>
      <c r="BU57" s="75" t="str">
        <f t="shared" ca="1" si="133"/>
        <v/>
      </c>
      <c r="BV57" s="75" t="str">
        <f t="shared" ca="1" si="133"/>
        <v/>
      </c>
      <c r="BW57" s="75" t="str">
        <f t="shared" ca="1" si="133"/>
        <v/>
      </c>
      <c r="BX57" s="75" t="str">
        <f t="shared" ca="1" si="133"/>
        <v/>
      </c>
      <c r="BY57" s="75" t="str">
        <f t="shared" ca="1" si="133"/>
        <v/>
      </c>
      <c r="BZ57" s="75" t="str">
        <f t="shared" ca="1" si="133"/>
        <v/>
      </c>
      <c r="CA57" s="75" t="str">
        <f t="shared" ca="1" si="133"/>
        <v/>
      </c>
      <c r="CB57" s="75" t="str">
        <f t="shared" ca="1" si="134"/>
        <v/>
      </c>
      <c r="CC57" s="75" t="str">
        <f t="shared" ca="1" si="134"/>
        <v/>
      </c>
      <c r="CD57" s="75" t="str">
        <f t="shared" ca="1" si="134"/>
        <v/>
      </c>
      <c r="CE57" s="75" t="str">
        <f t="shared" ca="1" si="134"/>
        <v/>
      </c>
      <c r="CF57" s="75" t="str">
        <f t="shared" ca="1" si="134"/>
        <v/>
      </c>
      <c r="CG57" s="75" t="str">
        <f t="shared" ca="1" si="134"/>
        <v/>
      </c>
      <c r="CH57" s="75" t="str">
        <f t="shared" ca="1" si="134"/>
        <v/>
      </c>
      <c r="CI57" s="75" t="str">
        <f t="shared" ca="1" si="134"/>
        <v/>
      </c>
      <c r="CJ57" s="75" t="str">
        <f t="shared" ca="1" si="134"/>
        <v/>
      </c>
      <c r="CK57" s="75" t="str">
        <f t="shared" ca="1" si="134"/>
        <v/>
      </c>
      <c r="CL57" s="75" t="str">
        <f t="shared" ca="1" si="135"/>
        <v/>
      </c>
      <c r="CM57" s="75" t="str">
        <f t="shared" ca="1" si="135"/>
        <v/>
      </c>
      <c r="CN57" s="75" t="str">
        <f t="shared" ca="1" si="135"/>
        <v/>
      </c>
      <c r="CO57" s="75" t="str">
        <f t="shared" ca="1" si="135"/>
        <v/>
      </c>
      <c r="CP57" s="75" t="str">
        <f t="shared" ca="1" si="135"/>
        <v/>
      </c>
      <c r="CQ57" s="75" t="str">
        <f t="shared" ca="1" si="135"/>
        <v/>
      </c>
      <c r="CR57" s="75" t="str">
        <f t="shared" ca="1" si="135"/>
        <v/>
      </c>
      <c r="CS57" s="75" t="str">
        <f t="shared" ca="1" si="135"/>
        <v/>
      </c>
      <c r="CT57" s="75" t="str">
        <f t="shared" ca="1" si="135"/>
        <v/>
      </c>
      <c r="CU57" s="75" t="str">
        <f t="shared" ca="1" si="135"/>
        <v/>
      </c>
      <c r="CV57" s="75" t="str">
        <f t="shared" ca="1" si="136"/>
        <v/>
      </c>
      <c r="CW57" s="75" t="str">
        <f t="shared" ca="1" si="136"/>
        <v/>
      </c>
      <c r="CX57" s="75" t="str">
        <f t="shared" ca="1" si="136"/>
        <v/>
      </c>
      <c r="CY57" s="75" t="str">
        <f t="shared" ca="1" si="136"/>
        <v/>
      </c>
      <c r="CZ57" s="75" t="str">
        <f t="shared" ca="1" si="136"/>
        <v/>
      </c>
      <c r="DA57" s="75" t="str">
        <f t="shared" ca="1" si="136"/>
        <v/>
      </c>
      <c r="DB57" s="75" t="str">
        <f t="shared" ca="1" si="136"/>
        <v/>
      </c>
      <c r="DC57" s="75" t="str">
        <f t="shared" ca="1" si="136"/>
        <v/>
      </c>
      <c r="DD57" s="75" t="str">
        <f t="shared" ca="1" si="136"/>
        <v/>
      </c>
      <c r="DE57" s="75" t="str">
        <f t="shared" ca="1" si="136"/>
        <v/>
      </c>
      <c r="DF57" s="75" t="str">
        <f t="shared" ca="1" si="137"/>
        <v/>
      </c>
      <c r="DG57" s="75" t="str">
        <f t="shared" ca="1" si="137"/>
        <v/>
      </c>
      <c r="DH57" s="75" t="str">
        <f t="shared" ca="1" si="137"/>
        <v/>
      </c>
      <c r="DI57" s="75" t="str">
        <f t="shared" ca="1" si="137"/>
        <v/>
      </c>
      <c r="DJ57" s="75" t="str">
        <f t="shared" ca="1" si="137"/>
        <v/>
      </c>
      <c r="DK57" s="75" t="str">
        <f t="shared" ca="1" si="137"/>
        <v/>
      </c>
      <c r="DL57" s="75" t="str">
        <f t="shared" ca="1" si="137"/>
        <v/>
      </c>
      <c r="DM57" s="75" t="str">
        <f t="shared" ca="1" si="137"/>
        <v/>
      </c>
      <c r="DN57" s="75" t="str">
        <f t="shared" ca="1" si="137"/>
        <v/>
      </c>
      <c r="DO57" s="75" t="str">
        <f t="shared" ca="1" si="137"/>
        <v/>
      </c>
      <c r="DP57" s="75" t="str">
        <f t="shared" ca="1" si="138"/>
        <v/>
      </c>
      <c r="DQ57" s="75" t="str">
        <f t="shared" ca="1" si="138"/>
        <v/>
      </c>
      <c r="DR57" s="75" t="str">
        <f t="shared" ca="1" si="138"/>
        <v/>
      </c>
      <c r="DS57" s="75" t="str">
        <f t="shared" ca="1" si="138"/>
        <v/>
      </c>
      <c r="DT57" s="75" t="str">
        <f t="shared" ca="1" si="138"/>
        <v/>
      </c>
      <c r="DU57" s="75" t="str">
        <f t="shared" ca="1" si="138"/>
        <v/>
      </c>
      <c r="DV57" s="75" t="str">
        <f t="shared" ca="1" si="138"/>
        <v/>
      </c>
      <c r="DW57" s="75" t="str">
        <f t="shared" ca="1" si="138"/>
        <v/>
      </c>
      <c r="DX57" s="75" t="str">
        <f t="shared" ca="1" si="138"/>
        <v/>
      </c>
      <c r="DY57" s="75" t="str">
        <f t="shared" ca="1" si="138"/>
        <v/>
      </c>
      <c r="DZ57" s="75" t="str">
        <f t="shared" ca="1" si="139"/>
        <v/>
      </c>
      <c r="EA57" s="75" t="str">
        <f t="shared" ca="1" si="139"/>
        <v/>
      </c>
      <c r="EB57" s="75" t="str">
        <f t="shared" ca="1" si="139"/>
        <v/>
      </c>
      <c r="EC57" s="75" t="str">
        <f t="shared" ca="1" si="139"/>
        <v/>
      </c>
      <c r="ED57" s="75" t="str">
        <f t="shared" ca="1" si="139"/>
        <v/>
      </c>
      <c r="EE57" s="75" t="str">
        <f t="shared" ca="1" si="139"/>
        <v/>
      </c>
      <c r="EF57" s="75" t="str">
        <f t="shared" ca="1" si="139"/>
        <v/>
      </c>
      <c r="EG57" s="75" t="str">
        <f t="shared" ca="1" si="139"/>
        <v/>
      </c>
      <c r="EH57" s="75" t="str">
        <f t="shared" ca="1" si="139"/>
        <v/>
      </c>
      <c r="EI57" s="75" t="str">
        <f t="shared" ca="1" si="139"/>
        <v/>
      </c>
      <c r="EJ57" s="75" t="str">
        <f t="shared" ca="1" si="140"/>
        <v/>
      </c>
      <c r="EK57" s="75" t="str">
        <f t="shared" ca="1" si="140"/>
        <v/>
      </c>
      <c r="EL57" s="75" t="str">
        <f t="shared" ca="1" si="140"/>
        <v/>
      </c>
      <c r="EM57" s="75" t="str">
        <f t="shared" ca="1" si="140"/>
        <v/>
      </c>
      <c r="EN57" s="75" t="str">
        <f t="shared" ca="1" si="140"/>
        <v/>
      </c>
      <c r="EO57" s="75" t="str">
        <f t="shared" ca="1" si="140"/>
        <v/>
      </c>
      <c r="EP57" s="75" t="str">
        <f t="shared" ca="1" si="140"/>
        <v/>
      </c>
      <c r="EQ57" s="75" t="str">
        <f t="shared" ca="1" si="140"/>
        <v/>
      </c>
      <c r="ER57" s="75" t="str">
        <f t="shared" ca="1" si="140"/>
        <v/>
      </c>
      <c r="ES57" s="75" t="str">
        <f t="shared" ca="1" si="140"/>
        <v/>
      </c>
      <c r="ET57" s="75" t="str">
        <f t="shared" ca="1" si="141"/>
        <v/>
      </c>
      <c r="EU57" s="75" t="str">
        <f t="shared" ca="1" si="141"/>
        <v/>
      </c>
      <c r="EV57" s="75" t="str">
        <f t="shared" ca="1" si="141"/>
        <v/>
      </c>
      <c r="EW57" s="75" t="str">
        <f t="shared" ca="1" si="141"/>
        <v/>
      </c>
      <c r="EX57" s="75" t="str">
        <f t="shared" ca="1" si="141"/>
        <v/>
      </c>
      <c r="EY57" s="75" t="str">
        <f t="shared" ca="1" si="141"/>
        <v/>
      </c>
      <c r="EZ57" s="75" t="str">
        <f t="shared" ca="1" si="141"/>
        <v/>
      </c>
      <c r="FA57" s="75" t="str">
        <f t="shared" ca="1" si="141"/>
        <v/>
      </c>
      <c r="FB57" s="75" t="str">
        <f t="shared" ca="1" si="141"/>
        <v/>
      </c>
      <c r="FC57" s="75" t="str">
        <f t="shared" ca="1" si="141"/>
        <v/>
      </c>
      <c r="FD57" s="75" t="str">
        <f t="shared" ca="1" si="142"/>
        <v/>
      </c>
      <c r="FE57" s="75" t="str">
        <f t="shared" ca="1" si="142"/>
        <v/>
      </c>
      <c r="FF57" s="75" t="str">
        <f t="shared" ca="1" si="142"/>
        <v/>
      </c>
      <c r="FG57" s="75" t="str">
        <f t="shared" ca="1" si="142"/>
        <v/>
      </c>
      <c r="FH57" s="75" t="str">
        <f t="shared" ca="1" si="142"/>
        <v/>
      </c>
      <c r="FI57" s="75" t="str">
        <f t="shared" ca="1" si="142"/>
        <v/>
      </c>
      <c r="FJ57" s="75" t="str">
        <f t="shared" ca="1" si="142"/>
        <v/>
      </c>
      <c r="FK57" s="75" t="str">
        <f t="shared" ca="1" si="142"/>
        <v/>
      </c>
      <c r="FL57" s="75" t="str">
        <f t="shared" ca="1" si="142"/>
        <v/>
      </c>
      <c r="FM57" s="75" t="str">
        <f t="shared" ca="1" si="142"/>
        <v/>
      </c>
      <c r="FN57" s="75" t="str">
        <f t="shared" ca="1" si="143"/>
        <v/>
      </c>
      <c r="FO57" s="75" t="str">
        <f t="shared" ca="1" si="143"/>
        <v/>
      </c>
      <c r="FP57" s="75" t="str">
        <f t="shared" ca="1" si="143"/>
        <v/>
      </c>
      <c r="FQ57" s="75" t="str">
        <f t="shared" ca="1" si="143"/>
        <v/>
      </c>
      <c r="FR57" s="75" t="str">
        <f t="shared" ca="1" si="143"/>
        <v/>
      </c>
      <c r="FS57" s="75" t="str">
        <f t="shared" ca="1" si="143"/>
        <v/>
      </c>
      <c r="FT57" s="75" t="str">
        <f t="shared" ca="1" si="143"/>
        <v/>
      </c>
      <c r="FU57" s="75" t="str">
        <f t="shared" ca="1" si="143"/>
        <v/>
      </c>
      <c r="FV57" s="75" t="str">
        <f t="shared" ca="1" si="143"/>
        <v/>
      </c>
      <c r="FW57" s="75" t="str">
        <f t="shared" ca="1" si="143"/>
        <v/>
      </c>
      <c r="FX57" s="75" t="str">
        <f t="shared" ca="1" si="144"/>
        <v/>
      </c>
      <c r="FY57" s="75" t="str">
        <f t="shared" ca="1" si="144"/>
        <v/>
      </c>
      <c r="FZ57" s="75" t="str">
        <f t="shared" ca="1" si="144"/>
        <v/>
      </c>
      <c r="GA57" s="75" t="str">
        <f t="shared" ca="1" si="144"/>
        <v/>
      </c>
      <c r="GB57" s="75" t="str">
        <f t="shared" ca="1" si="144"/>
        <v/>
      </c>
      <c r="GC57" s="75" t="str">
        <f t="shared" ca="1" si="144"/>
        <v/>
      </c>
      <c r="GD57" s="75" t="str">
        <f t="shared" ca="1" si="144"/>
        <v/>
      </c>
      <c r="GE57" s="75" t="str">
        <f t="shared" ca="1" si="144"/>
        <v/>
      </c>
      <c r="GF57" s="75" t="str">
        <f t="shared" ca="1" si="144"/>
        <v/>
      </c>
      <c r="GG57" s="75" t="str">
        <f t="shared" ca="1" si="144"/>
        <v/>
      </c>
      <c r="GH57" s="75" t="str">
        <f t="shared" ca="1" si="145"/>
        <v/>
      </c>
      <c r="GI57" s="75" t="str">
        <f t="shared" ca="1" si="145"/>
        <v/>
      </c>
      <c r="GJ57" s="75" t="str">
        <f t="shared" ca="1" si="145"/>
        <v/>
      </c>
      <c r="GK57" s="75" t="str">
        <f t="shared" ca="1" si="145"/>
        <v/>
      </c>
      <c r="GL57" s="75" t="str">
        <f t="shared" ca="1" si="145"/>
        <v/>
      </c>
      <c r="GM57" s="75" t="str">
        <f t="shared" ca="1" si="145"/>
        <v/>
      </c>
      <c r="GN57" s="75" t="str">
        <f t="shared" ca="1" si="145"/>
        <v/>
      </c>
      <c r="GO57" s="75" t="str">
        <f t="shared" ca="1" si="145"/>
        <v/>
      </c>
      <c r="GP57" s="75" t="str">
        <f t="shared" ca="1" si="145"/>
        <v/>
      </c>
      <c r="GQ57" s="75" t="str">
        <f t="shared" ca="1" si="145"/>
        <v/>
      </c>
      <c r="GR57" s="75" t="str">
        <f t="shared" ca="1" si="146"/>
        <v/>
      </c>
      <c r="GS57" s="75" t="str">
        <f t="shared" ca="1" si="146"/>
        <v/>
      </c>
      <c r="GT57" s="75" t="str">
        <f t="shared" ca="1" si="146"/>
        <v/>
      </c>
      <c r="GU57" s="75" t="str">
        <f t="shared" ca="1" si="146"/>
        <v/>
      </c>
      <c r="GV57" s="75" t="str">
        <f t="shared" ca="1" si="146"/>
        <v/>
      </c>
      <c r="GW57" s="75" t="str">
        <f t="shared" ca="1" si="146"/>
        <v/>
      </c>
      <c r="GX57" s="75" t="str">
        <f t="shared" ca="1" si="146"/>
        <v/>
      </c>
      <c r="GY57" s="75" t="str">
        <f t="shared" ca="1" si="146"/>
        <v/>
      </c>
      <c r="GZ57" s="75" t="str">
        <f t="shared" ca="1" si="146"/>
        <v/>
      </c>
      <c r="HA57" s="75" t="str">
        <f t="shared" ca="1" si="146"/>
        <v/>
      </c>
      <c r="HB57" s="75" t="str">
        <f t="shared" ca="1" si="147"/>
        <v/>
      </c>
      <c r="HC57" s="75" t="str">
        <f t="shared" ca="1" si="147"/>
        <v/>
      </c>
      <c r="HD57" s="75" t="str">
        <f t="shared" ca="1" si="147"/>
        <v/>
      </c>
      <c r="HE57" s="75" t="str">
        <f t="shared" ca="1" si="147"/>
        <v/>
      </c>
      <c r="HF57" s="75" t="str">
        <f t="shared" ca="1" si="147"/>
        <v/>
      </c>
      <c r="HG57" s="75" t="str">
        <f t="shared" ca="1" si="147"/>
        <v/>
      </c>
      <c r="HH57" s="75" t="str">
        <f t="shared" ca="1" si="147"/>
        <v/>
      </c>
      <c r="HI57" s="75" t="str">
        <f t="shared" ca="1" si="147"/>
        <v/>
      </c>
      <c r="HJ57" s="75" t="str">
        <f t="shared" ca="1" si="147"/>
        <v/>
      </c>
      <c r="HK57" s="75" t="str">
        <f t="shared" ca="1" si="147"/>
        <v/>
      </c>
      <c r="HL57" s="75" t="str">
        <f t="shared" ca="1" si="148"/>
        <v/>
      </c>
      <c r="HM57" s="75" t="str">
        <f t="shared" ca="1" si="148"/>
        <v/>
      </c>
      <c r="HN57" s="75" t="str">
        <f t="shared" ca="1" si="148"/>
        <v/>
      </c>
      <c r="HO57" s="75" t="str">
        <f t="shared" ca="1" si="148"/>
        <v/>
      </c>
      <c r="HP57" s="75" t="str">
        <f t="shared" ca="1" si="148"/>
        <v/>
      </c>
      <c r="HQ57" s="75" t="str">
        <f t="shared" ca="1" si="148"/>
        <v/>
      </c>
      <c r="HR57" s="75" t="str">
        <f t="shared" ca="1" si="148"/>
        <v/>
      </c>
      <c r="HS57" s="75" t="str">
        <f t="shared" ca="1" si="148"/>
        <v/>
      </c>
      <c r="HT57" s="75" t="str">
        <f t="shared" ca="1" si="148"/>
        <v/>
      </c>
      <c r="HU57" s="75" t="str">
        <f t="shared" ca="1" si="148"/>
        <v/>
      </c>
      <c r="HV57" s="75" t="str">
        <f t="shared" ca="1" si="149"/>
        <v/>
      </c>
      <c r="HW57" s="75" t="str">
        <f t="shared" ca="1" si="149"/>
        <v/>
      </c>
      <c r="HX57" s="75" t="str">
        <f t="shared" ca="1" si="149"/>
        <v/>
      </c>
      <c r="HY57" s="75" t="str">
        <f t="shared" ca="1" si="149"/>
        <v/>
      </c>
      <c r="HZ57" s="75" t="str">
        <f t="shared" ca="1" si="149"/>
        <v/>
      </c>
      <c r="IA57" s="75" t="str">
        <f t="shared" ca="1" si="149"/>
        <v/>
      </c>
      <c r="IB57" s="75" t="str">
        <f t="shared" ca="1" si="149"/>
        <v/>
      </c>
      <c r="IC57" s="75" t="str">
        <f t="shared" ca="1" si="149"/>
        <v/>
      </c>
      <c r="ID57" s="75" t="str">
        <f t="shared" ca="1" si="149"/>
        <v/>
      </c>
      <c r="IE57" s="75" t="str">
        <f t="shared" ca="1" si="149"/>
        <v/>
      </c>
      <c r="IF57" s="75" t="str">
        <f t="shared" ca="1" si="150"/>
        <v/>
      </c>
      <c r="IG57" s="75" t="str">
        <f t="shared" ca="1" si="150"/>
        <v/>
      </c>
      <c r="IH57" s="75" t="str">
        <f t="shared" ca="1" si="150"/>
        <v/>
      </c>
      <c r="II57" s="75" t="str">
        <f t="shared" ca="1" si="150"/>
        <v/>
      </c>
      <c r="IJ57" s="75" t="str">
        <f t="shared" ca="1" si="150"/>
        <v/>
      </c>
      <c r="IK57" s="75" t="str">
        <f t="shared" ca="1" si="150"/>
        <v/>
      </c>
      <c r="IL57" s="75" t="str">
        <f t="shared" ca="1" si="150"/>
        <v/>
      </c>
      <c r="IM57" s="75" t="str">
        <f t="shared" ca="1" si="150"/>
        <v/>
      </c>
      <c r="IN57" s="75" t="str">
        <f t="shared" ca="1" si="150"/>
        <v/>
      </c>
      <c r="IO57" s="75" t="str">
        <f t="shared" ca="1" si="150"/>
        <v/>
      </c>
      <c r="IP57" s="75" t="str">
        <f t="shared" ca="1" si="151"/>
        <v/>
      </c>
      <c r="IQ57" s="75" t="str">
        <f t="shared" ca="1" si="151"/>
        <v/>
      </c>
      <c r="IR57" s="75" t="str">
        <f t="shared" ca="1" si="151"/>
        <v/>
      </c>
      <c r="IS57" s="75" t="str">
        <f t="shared" ca="1" si="151"/>
        <v/>
      </c>
      <c r="IT57" s="75" t="str">
        <f t="shared" ca="1" si="151"/>
        <v/>
      </c>
      <c r="IU57" s="75" t="str">
        <f t="shared" ca="1" si="151"/>
        <v/>
      </c>
      <c r="IV57" s="75" t="str">
        <f t="shared" ca="1" si="151"/>
        <v/>
      </c>
      <c r="IW57" s="75" t="str">
        <f t="shared" ca="1" si="151"/>
        <v/>
      </c>
      <c r="IX57" s="75" t="str">
        <f t="shared" ca="1" si="151"/>
        <v/>
      </c>
      <c r="IY57" s="75" t="str">
        <f t="shared" ca="1" si="151"/>
        <v/>
      </c>
      <c r="IZ57" s="75" t="str">
        <f t="shared" ca="1" si="152"/>
        <v/>
      </c>
      <c r="JA57" s="75" t="str">
        <f t="shared" ca="1" si="152"/>
        <v/>
      </c>
      <c r="JB57" s="75" t="str">
        <f t="shared" ca="1" si="152"/>
        <v/>
      </c>
      <c r="JC57" s="75" t="str">
        <f t="shared" ca="1" si="152"/>
        <v/>
      </c>
      <c r="JD57" s="75" t="str">
        <f t="shared" ca="1" si="152"/>
        <v/>
      </c>
      <c r="JE57" s="75" t="str">
        <f t="shared" ca="1" si="152"/>
        <v/>
      </c>
      <c r="JF57" s="75" t="str">
        <f t="shared" ca="1" si="152"/>
        <v/>
      </c>
      <c r="JG57" s="75" t="str">
        <f t="shared" ca="1" si="152"/>
        <v/>
      </c>
      <c r="JH57" s="75" t="str">
        <f t="shared" ca="1" si="152"/>
        <v/>
      </c>
      <c r="JI57" s="75" t="str">
        <f t="shared" ca="1" si="152"/>
        <v/>
      </c>
      <c r="JJ57" s="75" t="str">
        <f t="shared" ca="1" si="153"/>
        <v/>
      </c>
      <c r="JK57" s="75" t="str">
        <f t="shared" ca="1" si="153"/>
        <v/>
      </c>
      <c r="JL57" s="75" t="str">
        <f t="shared" ca="1" si="153"/>
        <v/>
      </c>
      <c r="JM57" s="75" t="str">
        <f t="shared" ca="1" si="153"/>
        <v/>
      </c>
      <c r="JN57" s="75" t="str">
        <f t="shared" ca="1" si="153"/>
        <v/>
      </c>
      <c r="JO57" s="75" t="str">
        <f t="shared" ca="1" si="153"/>
        <v/>
      </c>
      <c r="JP57" s="75" t="str">
        <f t="shared" ca="1" si="153"/>
        <v/>
      </c>
      <c r="JQ57" s="75" t="str">
        <f t="shared" ca="1" si="153"/>
        <v/>
      </c>
      <c r="JR57" s="75" t="str">
        <f t="shared" ca="1" si="153"/>
        <v/>
      </c>
      <c r="JS57" s="75" t="str">
        <f t="shared" ca="1" si="153"/>
        <v/>
      </c>
      <c r="JT57" s="75" t="str">
        <f t="shared" ca="1" si="154"/>
        <v/>
      </c>
      <c r="JU57" s="75" t="str">
        <f t="shared" ca="1" si="154"/>
        <v/>
      </c>
      <c r="JV57" s="75" t="str">
        <f t="shared" ca="1" si="154"/>
        <v/>
      </c>
      <c r="JW57" s="75" t="str">
        <f t="shared" ca="1" si="154"/>
        <v/>
      </c>
      <c r="JX57" s="75" t="str">
        <f t="shared" ca="1" si="154"/>
        <v/>
      </c>
      <c r="JY57" s="75" t="str">
        <f t="shared" ca="1" si="154"/>
        <v/>
      </c>
      <c r="JZ57" s="75" t="str">
        <f t="shared" ca="1" si="154"/>
        <v/>
      </c>
      <c r="KA57" s="75" t="str">
        <f t="shared" ca="1" si="154"/>
        <v/>
      </c>
      <c r="KB57" s="75" t="str">
        <f t="shared" ca="1" si="154"/>
        <v/>
      </c>
      <c r="KC57" s="75" t="str">
        <f t="shared" ca="1" si="154"/>
        <v/>
      </c>
      <c r="KD57" s="75" t="str">
        <f t="shared" ca="1" si="155"/>
        <v/>
      </c>
      <c r="KE57" s="75" t="str">
        <f t="shared" ca="1" si="155"/>
        <v/>
      </c>
      <c r="KF57" s="75" t="str">
        <f t="shared" ca="1" si="155"/>
        <v/>
      </c>
      <c r="KG57" s="75" t="str">
        <f t="shared" ca="1" si="155"/>
        <v/>
      </c>
      <c r="KH57" s="75" t="str">
        <f t="shared" ca="1" si="155"/>
        <v/>
      </c>
      <c r="KI57" s="75" t="str">
        <f t="shared" ca="1" si="155"/>
        <v/>
      </c>
      <c r="KJ57" s="75" t="str">
        <f t="shared" ca="1" si="155"/>
        <v/>
      </c>
      <c r="KK57" s="75" t="str">
        <f t="shared" ca="1" si="155"/>
        <v/>
      </c>
      <c r="KL57" s="75" t="str">
        <f t="shared" ca="1" si="155"/>
        <v/>
      </c>
      <c r="KM57" s="75" t="str">
        <f t="shared" ca="1" si="155"/>
        <v/>
      </c>
      <c r="KN57" s="75" t="str">
        <f t="shared" ca="1" si="156"/>
        <v/>
      </c>
      <c r="KO57" s="75" t="str">
        <f t="shared" ca="1" si="156"/>
        <v/>
      </c>
      <c r="KP57" s="75" t="str">
        <f t="shared" ca="1" si="156"/>
        <v/>
      </c>
      <c r="KQ57" s="75" t="str">
        <f t="shared" ca="1" si="156"/>
        <v/>
      </c>
      <c r="KR57" s="75" t="str">
        <f t="shared" ca="1" si="156"/>
        <v/>
      </c>
      <c r="KS57" s="75" t="str">
        <f t="shared" ca="1" si="156"/>
        <v/>
      </c>
      <c r="KT57" s="75" t="str">
        <f t="shared" ca="1" si="156"/>
        <v/>
      </c>
      <c r="KU57" s="75" t="str">
        <f t="shared" ca="1" si="156"/>
        <v/>
      </c>
      <c r="KV57" s="75" t="str">
        <f t="shared" ca="1" si="156"/>
        <v/>
      </c>
      <c r="KW57" s="75" t="str">
        <f t="shared" ca="1" si="156"/>
        <v/>
      </c>
      <c r="KX57" s="75" t="str">
        <f t="shared" ca="1" si="157"/>
        <v/>
      </c>
      <c r="KY57" s="75" t="str">
        <f t="shared" ca="1" si="157"/>
        <v/>
      </c>
      <c r="KZ57" s="75" t="str">
        <f t="shared" ca="1" si="157"/>
        <v/>
      </c>
      <c r="LA57" s="75" t="str">
        <f t="shared" ca="1" si="157"/>
        <v/>
      </c>
      <c r="LB57" s="75" t="str">
        <f t="shared" ca="1" si="157"/>
        <v/>
      </c>
      <c r="LC57" s="75" t="str">
        <f t="shared" ca="1" si="157"/>
        <v/>
      </c>
      <c r="LD57" s="75" t="str">
        <f t="shared" ca="1" si="157"/>
        <v/>
      </c>
      <c r="LE57" s="75" t="str">
        <f t="shared" ca="1" si="157"/>
        <v/>
      </c>
      <c r="LF57" s="75" t="str">
        <f t="shared" ca="1" si="157"/>
        <v/>
      </c>
      <c r="LG57" s="75" t="str">
        <f t="shared" ca="1" si="157"/>
        <v/>
      </c>
      <c r="LH57" s="75" t="str">
        <f t="shared" ca="1" si="158"/>
        <v/>
      </c>
      <c r="LI57" s="75" t="str">
        <f t="shared" ca="1" si="158"/>
        <v/>
      </c>
      <c r="LJ57" s="75" t="str">
        <f t="shared" ca="1" si="158"/>
        <v/>
      </c>
      <c r="LK57" s="75" t="str">
        <f t="shared" ca="1" si="158"/>
        <v/>
      </c>
      <c r="LL57" s="75" t="str">
        <f t="shared" ca="1" si="158"/>
        <v/>
      </c>
      <c r="LM57" s="75" t="str">
        <f t="shared" ca="1" si="158"/>
        <v/>
      </c>
      <c r="LN57" s="75" t="str">
        <f t="shared" ca="1" si="158"/>
        <v/>
      </c>
      <c r="LO57" s="75" t="str">
        <f t="shared" ca="1" si="158"/>
        <v/>
      </c>
      <c r="LP57" s="75" t="str">
        <f t="shared" ca="1" si="158"/>
        <v/>
      </c>
      <c r="LQ57" s="75" t="str">
        <f t="shared" ca="1" si="158"/>
        <v/>
      </c>
      <c r="LR57" s="75" t="str">
        <f t="shared" ca="1" si="159"/>
        <v/>
      </c>
      <c r="LS57" s="75" t="str">
        <f t="shared" ca="1" si="159"/>
        <v/>
      </c>
      <c r="LT57" s="75" t="str">
        <f t="shared" ca="1" si="159"/>
        <v/>
      </c>
      <c r="LU57" s="75" t="str">
        <f t="shared" ca="1" si="159"/>
        <v/>
      </c>
      <c r="LV57" s="75" t="str">
        <f t="shared" ca="1" si="159"/>
        <v/>
      </c>
      <c r="LW57" s="75" t="str">
        <f t="shared" ca="1" si="159"/>
        <v/>
      </c>
      <c r="LX57" s="75" t="str">
        <f t="shared" ca="1" si="159"/>
        <v/>
      </c>
      <c r="LY57" s="75" t="str">
        <f t="shared" ca="1" si="159"/>
        <v/>
      </c>
      <c r="LZ57" s="75" t="str">
        <f t="shared" ca="1" si="159"/>
        <v/>
      </c>
      <c r="MA57" s="75" t="str">
        <f t="shared" ca="1" si="159"/>
        <v/>
      </c>
      <c r="MB57" s="75" t="str">
        <f t="shared" ca="1" si="160"/>
        <v/>
      </c>
      <c r="MC57" s="75" t="str">
        <f t="shared" ca="1" si="160"/>
        <v/>
      </c>
      <c r="MD57" s="75" t="str">
        <f t="shared" ca="1" si="160"/>
        <v/>
      </c>
      <c r="ME57" s="75" t="str">
        <f t="shared" ca="1" si="160"/>
        <v/>
      </c>
      <c r="MF57" s="75" t="str">
        <f t="shared" ca="1" si="160"/>
        <v/>
      </c>
      <c r="MG57" s="75" t="str">
        <f t="shared" ca="1" si="160"/>
        <v/>
      </c>
      <c r="MH57" s="75" t="str">
        <f t="shared" ca="1" si="160"/>
        <v/>
      </c>
      <c r="MI57" s="75" t="str">
        <f t="shared" ca="1" si="160"/>
        <v/>
      </c>
      <c r="MJ57" s="75" t="str">
        <f t="shared" ca="1" si="160"/>
        <v/>
      </c>
      <c r="MK57" s="75" t="str">
        <f t="shared" ca="1" si="160"/>
        <v/>
      </c>
      <c r="ML57" s="75" t="str">
        <f t="shared" ca="1" si="161"/>
        <v/>
      </c>
      <c r="MM57" s="75" t="str">
        <f t="shared" ca="1" si="161"/>
        <v/>
      </c>
      <c r="MN57" s="75" t="str">
        <f t="shared" ca="1" si="161"/>
        <v/>
      </c>
      <c r="MO57" s="75" t="str">
        <f t="shared" ca="1" si="161"/>
        <v/>
      </c>
      <c r="MP57" s="75" t="str">
        <f t="shared" ca="1" si="161"/>
        <v/>
      </c>
      <c r="MQ57" s="75" t="str">
        <f t="shared" ca="1" si="161"/>
        <v/>
      </c>
      <c r="MR57" s="75" t="str">
        <f t="shared" ca="1" si="161"/>
        <v/>
      </c>
      <c r="MS57" s="75" t="str">
        <f t="shared" ca="1" si="161"/>
        <v/>
      </c>
      <c r="MT57" s="75" t="str">
        <f t="shared" ca="1" si="161"/>
        <v/>
      </c>
      <c r="MU57" s="75" t="str">
        <f t="shared" ca="1" si="161"/>
        <v/>
      </c>
      <c r="MV57" s="75" t="str">
        <f t="shared" ca="1" si="162"/>
        <v/>
      </c>
      <c r="MW57" s="75" t="str">
        <f t="shared" ca="1" si="162"/>
        <v/>
      </c>
      <c r="MX57" s="75" t="str">
        <f t="shared" ca="1" si="162"/>
        <v/>
      </c>
      <c r="MY57" s="75" t="str">
        <f t="shared" ca="1" si="162"/>
        <v/>
      </c>
      <c r="MZ57" s="75" t="str">
        <f t="shared" ca="1" si="162"/>
        <v/>
      </c>
      <c r="NA57" s="75" t="str">
        <f t="shared" ca="1" si="162"/>
        <v/>
      </c>
      <c r="NB57" s="75" t="str">
        <f t="shared" ca="1" si="162"/>
        <v/>
      </c>
      <c r="NC57" s="75" t="str">
        <f t="shared" ca="1" si="162"/>
        <v/>
      </c>
      <c r="ND57" s="75" t="str">
        <f t="shared" ca="1" si="162"/>
        <v/>
      </c>
      <c r="NE57" s="75" t="str">
        <f t="shared" ca="1" si="162"/>
        <v/>
      </c>
      <c r="NF57" s="75" t="str">
        <f t="shared" ca="1" si="163"/>
        <v/>
      </c>
      <c r="NG57" s="75" t="str">
        <f t="shared" ca="1" si="163"/>
        <v/>
      </c>
      <c r="NH57" s="75" t="str">
        <f t="shared" ca="1" si="163"/>
        <v/>
      </c>
      <c r="NI57" s="75" t="str">
        <f t="shared" ca="1" si="163"/>
        <v/>
      </c>
      <c r="NJ57" s="75" t="str">
        <f t="shared" ca="1" si="163"/>
        <v/>
      </c>
      <c r="NK57" s="75" t="str">
        <f t="shared" ca="1" si="163"/>
        <v/>
      </c>
      <c r="NL57" s="75" t="str">
        <f t="shared" ca="1" si="163"/>
        <v/>
      </c>
      <c r="NM57" s="75" t="str">
        <f t="shared" ca="1" si="163"/>
        <v/>
      </c>
      <c r="NN57" s="75" t="str">
        <f t="shared" ca="1" si="163"/>
        <v/>
      </c>
      <c r="NO57" s="75" t="str">
        <f t="shared" ca="1" si="163"/>
        <v/>
      </c>
      <c r="NP57" s="75" t="str">
        <f t="shared" ca="1" si="164"/>
        <v/>
      </c>
      <c r="NQ57" s="75" t="str">
        <f t="shared" ca="1" si="164"/>
        <v/>
      </c>
      <c r="NR57" s="75" t="str">
        <f t="shared" ca="1" si="164"/>
        <v/>
      </c>
      <c r="NS57" s="75" t="str">
        <f t="shared" ca="1" si="164"/>
        <v/>
      </c>
      <c r="NT57" s="75" t="str">
        <f t="shared" ca="1" si="164"/>
        <v/>
      </c>
      <c r="NU57" s="75" t="str">
        <f t="shared" ca="1" si="164"/>
        <v/>
      </c>
      <c r="NV57" s="75" t="str">
        <f t="shared" ca="1" si="164"/>
        <v/>
      </c>
      <c r="NW57" s="75" t="str">
        <f t="shared" ca="1" si="164"/>
        <v/>
      </c>
      <c r="NX57" s="75" t="str">
        <f t="shared" ca="1" si="164"/>
        <v/>
      </c>
      <c r="NY57" s="75" t="str">
        <f t="shared" ca="1" si="164"/>
        <v/>
      </c>
      <c r="NZ57" s="75" t="str">
        <f t="shared" ca="1" si="165"/>
        <v/>
      </c>
      <c r="OA57" s="75" t="str">
        <f t="shared" ca="1" si="165"/>
        <v/>
      </c>
      <c r="OB57" s="75" t="str">
        <f t="shared" ca="1" si="165"/>
        <v/>
      </c>
      <c r="OC57" s="75" t="str">
        <f t="shared" ca="1" si="165"/>
        <v/>
      </c>
      <c r="OD57" s="75" t="str">
        <f t="shared" ca="1" si="165"/>
        <v/>
      </c>
      <c r="OE57" s="75" t="str">
        <f t="shared" ca="1" si="165"/>
        <v/>
      </c>
      <c r="OF57" s="75" t="str">
        <f t="shared" ca="1" si="165"/>
        <v/>
      </c>
      <c r="OG57" s="75" t="str">
        <f t="shared" ca="1" si="165"/>
        <v/>
      </c>
      <c r="OH57" s="75" t="str">
        <f t="shared" ca="1" si="165"/>
        <v/>
      </c>
      <c r="OI57" s="75" t="str">
        <f t="shared" ca="1" si="165"/>
        <v/>
      </c>
      <c r="OJ57" s="75" t="str">
        <f t="shared" ca="1" si="166"/>
        <v/>
      </c>
      <c r="OK57" s="75" t="str">
        <f t="shared" ca="1" si="166"/>
        <v/>
      </c>
      <c r="OL57" s="75" t="str">
        <f t="shared" ca="1" si="166"/>
        <v/>
      </c>
      <c r="OM57" s="75" t="str">
        <f t="shared" ca="1" si="166"/>
        <v/>
      </c>
      <c r="ON57" s="75" t="str">
        <f t="shared" ca="1" si="166"/>
        <v/>
      </c>
      <c r="OO57" s="75" t="str">
        <f t="shared" ca="1" si="166"/>
        <v/>
      </c>
      <c r="OP57" s="75" t="str">
        <f t="shared" ca="1" si="166"/>
        <v/>
      </c>
      <c r="OQ57" s="75" t="str">
        <f t="shared" ca="1" si="166"/>
        <v/>
      </c>
      <c r="OR57" s="75" t="str">
        <f t="shared" ca="1" si="166"/>
        <v/>
      </c>
      <c r="OS57" s="75" t="str">
        <f t="shared" ca="1" si="166"/>
        <v/>
      </c>
      <c r="OT57" s="75" t="str">
        <f t="shared" ca="1" si="167"/>
        <v/>
      </c>
      <c r="OU57" s="75" t="str">
        <f t="shared" ca="1" si="167"/>
        <v/>
      </c>
      <c r="OV57" s="75" t="str">
        <f t="shared" ca="1" si="167"/>
        <v/>
      </c>
      <c r="OW57" s="75" t="str">
        <f t="shared" ca="1" si="167"/>
        <v/>
      </c>
      <c r="OX57" s="75" t="str">
        <f t="shared" ca="1" si="167"/>
        <v/>
      </c>
      <c r="OY57" s="75" t="str">
        <f t="shared" ca="1" si="167"/>
        <v/>
      </c>
      <c r="OZ57" s="75" t="str">
        <f t="shared" ca="1" si="167"/>
        <v/>
      </c>
      <c r="PA57" s="75" t="str">
        <f t="shared" ca="1" si="167"/>
        <v/>
      </c>
      <c r="PB57" s="75" t="str">
        <f t="shared" ca="1" si="167"/>
        <v/>
      </c>
      <c r="PC57" s="75" t="str">
        <f t="shared" ca="1" si="167"/>
        <v/>
      </c>
      <c r="PD57" s="75" t="str">
        <f t="shared" ca="1" si="168"/>
        <v/>
      </c>
      <c r="PE57" s="75" t="str">
        <f t="shared" ca="1" si="168"/>
        <v/>
      </c>
      <c r="PF57" s="75" t="str">
        <f t="shared" ca="1" si="168"/>
        <v/>
      </c>
      <c r="PG57" s="75" t="str">
        <f t="shared" ca="1" si="168"/>
        <v/>
      </c>
      <c r="PH57" s="75" t="str">
        <f t="shared" ca="1" si="168"/>
        <v/>
      </c>
      <c r="PI57" s="75" t="str">
        <f t="shared" ca="1" si="168"/>
        <v/>
      </c>
      <c r="PJ57" s="75" t="str">
        <f t="shared" ca="1" si="168"/>
        <v/>
      </c>
      <c r="PK57" s="75" t="str">
        <f t="shared" ca="1" si="168"/>
        <v/>
      </c>
      <c r="PL57" s="75" t="str">
        <f t="shared" ca="1" si="168"/>
        <v/>
      </c>
      <c r="PM57" s="75" t="str">
        <f t="shared" ca="1" si="168"/>
        <v/>
      </c>
      <c r="PN57" s="75" t="str">
        <f t="shared" ca="1" si="169"/>
        <v/>
      </c>
      <c r="PO57" s="75" t="str">
        <f t="shared" ca="1" si="169"/>
        <v/>
      </c>
      <c r="PP57" s="75" t="str">
        <f t="shared" ca="1" si="169"/>
        <v/>
      </c>
      <c r="PQ57" s="75" t="str">
        <f t="shared" ca="1" si="169"/>
        <v/>
      </c>
      <c r="PR57" s="75" t="str">
        <f t="shared" ca="1" si="169"/>
        <v/>
      </c>
      <c r="PS57" s="75" t="str">
        <f t="shared" ca="1" si="169"/>
        <v/>
      </c>
      <c r="PT57" s="75" t="str">
        <f t="shared" ca="1" si="169"/>
        <v/>
      </c>
      <c r="PU57" s="75" t="str">
        <f t="shared" ca="1" si="169"/>
        <v/>
      </c>
      <c r="PV57" s="75" t="str">
        <f t="shared" ca="1" si="169"/>
        <v/>
      </c>
      <c r="PW57" s="75" t="str">
        <f t="shared" ca="1" si="169"/>
        <v/>
      </c>
      <c r="PX57" s="75" t="str">
        <f t="shared" ca="1" si="170"/>
        <v/>
      </c>
      <c r="PY57" s="75" t="str">
        <f t="shared" ca="1" si="170"/>
        <v/>
      </c>
      <c r="PZ57" s="75" t="str">
        <f t="shared" ca="1" si="170"/>
        <v/>
      </c>
      <c r="QA57" s="75" t="str">
        <f t="shared" ca="1" si="170"/>
        <v/>
      </c>
      <c r="QB57" s="75" t="str">
        <f t="shared" ca="1" si="170"/>
        <v/>
      </c>
      <c r="QC57" s="75" t="str">
        <f t="shared" ca="1" si="170"/>
        <v/>
      </c>
      <c r="QD57" s="75" t="str">
        <f t="shared" ca="1" si="170"/>
        <v/>
      </c>
      <c r="QE57" s="75" t="str">
        <f t="shared" ca="1" si="170"/>
        <v/>
      </c>
      <c r="QF57" s="75" t="str">
        <f t="shared" ca="1" si="170"/>
        <v/>
      </c>
      <c r="QG57" s="75" t="str">
        <f t="shared" ca="1" si="170"/>
        <v/>
      </c>
      <c r="QH57" s="75" t="str">
        <f t="shared" ca="1" si="171"/>
        <v/>
      </c>
      <c r="QI57" s="75" t="str">
        <f t="shared" ca="1" si="171"/>
        <v/>
      </c>
      <c r="QJ57" s="75" t="str">
        <f t="shared" ca="1" si="171"/>
        <v/>
      </c>
      <c r="QK57" s="75" t="str">
        <f t="shared" ca="1" si="171"/>
        <v/>
      </c>
      <c r="QL57" s="75" t="str">
        <f t="shared" ca="1" si="171"/>
        <v/>
      </c>
      <c r="QM57" s="75" t="str">
        <f t="shared" ca="1" si="171"/>
        <v/>
      </c>
      <c r="QN57" s="75" t="str">
        <f t="shared" ca="1" si="171"/>
        <v/>
      </c>
      <c r="QO57" s="75" t="str">
        <f t="shared" ca="1" si="171"/>
        <v/>
      </c>
      <c r="QP57" s="75" t="str">
        <f t="shared" ca="1" si="171"/>
        <v/>
      </c>
      <c r="QQ57" s="75" t="str">
        <f t="shared" ca="1" si="171"/>
        <v/>
      </c>
      <c r="QR57" s="75" t="str">
        <f t="shared" ca="1" si="172"/>
        <v/>
      </c>
      <c r="QS57" s="75" t="str">
        <f t="shared" ca="1" si="172"/>
        <v/>
      </c>
      <c r="QT57" s="75" t="str">
        <f t="shared" ca="1" si="172"/>
        <v/>
      </c>
      <c r="QU57" s="75" t="str">
        <f t="shared" ca="1" si="172"/>
        <v/>
      </c>
      <c r="QV57" s="75" t="str">
        <f t="shared" ca="1" si="172"/>
        <v/>
      </c>
      <c r="QW57" s="75" t="str">
        <f t="shared" ca="1" si="172"/>
        <v/>
      </c>
      <c r="QX57" s="75" t="str">
        <f t="shared" ca="1" si="172"/>
        <v/>
      </c>
      <c r="QY57" s="75" t="str">
        <f t="shared" ca="1" si="172"/>
        <v/>
      </c>
      <c r="QZ57" s="75" t="str">
        <f t="shared" ca="1" si="172"/>
        <v/>
      </c>
      <c r="RA57" s="75" t="str">
        <f t="shared" ca="1" si="172"/>
        <v/>
      </c>
      <c r="RB57" s="75" t="str">
        <f t="shared" ca="1" si="173"/>
        <v/>
      </c>
      <c r="RC57" s="75" t="str">
        <f t="shared" ca="1" si="173"/>
        <v/>
      </c>
      <c r="RD57" s="75" t="str">
        <f t="shared" ca="1" si="173"/>
        <v/>
      </c>
      <c r="RE57" s="75" t="str">
        <f t="shared" ca="1" si="173"/>
        <v/>
      </c>
      <c r="RF57" s="75" t="str">
        <f t="shared" ca="1" si="173"/>
        <v/>
      </c>
      <c r="RG57" s="75" t="str">
        <f t="shared" ca="1" si="173"/>
        <v/>
      </c>
      <c r="RH57" s="75" t="str">
        <f t="shared" ca="1" si="173"/>
        <v/>
      </c>
      <c r="RI57" s="75" t="str">
        <f t="shared" ca="1" si="173"/>
        <v/>
      </c>
      <c r="RJ57" s="75" t="str">
        <f t="shared" ca="1" si="173"/>
        <v/>
      </c>
      <c r="RK57" s="75" t="str">
        <f t="shared" ca="1" si="173"/>
        <v/>
      </c>
      <c r="RL57" s="75" t="str">
        <f t="shared" ca="1" si="174"/>
        <v/>
      </c>
      <c r="RM57" s="75" t="str">
        <f t="shared" ca="1" si="174"/>
        <v/>
      </c>
      <c r="RN57" s="75" t="str">
        <f t="shared" ca="1" si="174"/>
        <v/>
      </c>
      <c r="RO57" s="75" t="str">
        <f t="shared" ca="1" si="174"/>
        <v/>
      </c>
      <c r="RP57" s="75" t="str">
        <f t="shared" ca="1" si="174"/>
        <v/>
      </c>
      <c r="RQ57" s="75" t="str">
        <f t="shared" ca="1" si="174"/>
        <v/>
      </c>
      <c r="RR57" s="75" t="str">
        <f t="shared" ca="1" si="174"/>
        <v/>
      </c>
      <c r="RS57" s="75" t="str">
        <f t="shared" ca="1" si="174"/>
        <v/>
      </c>
      <c r="RT57" s="75" t="str">
        <f t="shared" ca="1" si="174"/>
        <v/>
      </c>
      <c r="RU57" s="75" t="str">
        <f t="shared" ca="1" si="174"/>
        <v/>
      </c>
      <c r="RV57" s="75" t="str">
        <f t="shared" ca="1" si="175"/>
        <v/>
      </c>
      <c r="RW57" s="75" t="str">
        <f t="shared" ca="1" si="175"/>
        <v/>
      </c>
      <c r="RX57" s="75" t="str">
        <f t="shared" ca="1" si="175"/>
        <v/>
      </c>
      <c r="RY57" s="75" t="str">
        <f t="shared" ca="1" si="175"/>
        <v/>
      </c>
      <c r="RZ57" s="75" t="str">
        <f t="shared" ca="1" si="175"/>
        <v/>
      </c>
      <c r="SA57" s="75" t="str">
        <f t="shared" ca="1" si="175"/>
        <v/>
      </c>
      <c r="SB57" s="75" t="str">
        <f t="shared" ca="1" si="175"/>
        <v/>
      </c>
      <c r="SC57" s="75" t="str">
        <f t="shared" ca="1" si="175"/>
        <v/>
      </c>
      <c r="SD57" s="75" t="str">
        <f t="shared" ca="1" si="175"/>
        <v/>
      </c>
      <c r="SE57" s="75" t="str">
        <f t="shared" ca="1" si="175"/>
        <v/>
      </c>
      <c r="SF57" s="75" t="str">
        <f t="shared" ca="1" si="176"/>
        <v/>
      </c>
      <c r="SG57" s="75" t="str">
        <f t="shared" ca="1" si="176"/>
        <v/>
      </c>
      <c r="SH57" s="75" t="str">
        <f t="shared" ca="1" si="176"/>
        <v/>
      </c>
      <c r="SI57" s="75" t="str">
        <f t="shared" ca="1" si="176"/>
        <v/>
      </c>
      <c r="SJ57" s="75" t="str">
        <f t="shared" ca="1" si="176"/>
        <v/>
      </c>
      <c r="SK57" s="75" t="str">
        <f t="shared" ca="1" si="176"/>
        <v/>
      </c>
      <c r="SL57" s="75" t="str">
        <f t="shared" ca="1" si="176"/>
        <v/>
      </c>
      <c r="SM57" s="75" t="str">
        <f t="shared" ca="1" si="176"/>
        <v/>
      </c>
      <c r="SN57" s="75" t="str">
        <f t="shared" ca="1" si="176"/>
        <v/>
      </c>
      <c r="SO57" s="75" t="str">
        <f t="shared" ca="1" si="176"/>
        <v/>
      </c>
      <c r="SP57" s="75" t="str">
        <f t="shared" ca="1" si="177"/>
        <v/>
      </c>
      <c r="SQ57" s="75" t="str">
        <f t="shared" ca="1" si="177"/>
        <v/>
      </c>
      <c r="SR57" s="75" t="str">
        <f t="shared" ca="1" si="177"/>
        <v/>
      </c>
      <c r="SS57" s="75" t="str">
        <f t="shared" ca="1" si="177"/>
        <v/>
      </c>
      <c r="ST57" s="75" t="str">
        <f t="shared" ca="1" si="177"/>
        <v/>
      </c>
      <c r="SU57" s="75" t="str">
        <f t="shared" ca="1" si="177"/>
        <v/>
      </c>
      <c r="SV57" s="75" t="str">
        <f t="shared" ca="1" si="177"/>
        <v/>
      </c>
      <c r="SW57" s="75" t="str">
        <f t="shared" ca="1" si="177"/>
        <v/>
      </c>
      <c r="SX57" s="75" t="str">
        <f t="shared" ca="1" si="177"/>
        <v/>
      </c>
      <c r="SY57" s="75" t="str">
        <f t="shared" ca="1" si="177"/>
        <v/>
      </c>
      <c r="SZ57" s="75" t="str">
        <f t="shared" ca="1" si="178"/>
        <v/>
      </c>
      <c r="TA57" s="75" t="str">
        <f t="shared" ca="1" si="178"/>
        <v/>
      </c>
      <c r="TB57" s="75" t="str">
        <f t="shared" ca="1" si="178"/>
        <v/>
      </c>
      <c r="TC57" s="75" t="str">
        <f t="shared" ca="1" si="178"/>
        <v/>
      </c>
      <c r="TD57" s="75" t="str">
        <f t="shared" ca="1" si="178"/>
        <v/>
      </c>
      <c r="TE57" s="75" t="str">
        <f t="shared" ca="1" si="178"/>
        <v/>
      </c>
      <c r="TF57" s="75" t="str">
        <f t="shared" ca="1" si="178"/>
        <v/>
      </c>
      <c r="TG57" s="75" t="str">
        <f t="shared" ca="1" si="178"/>
        <v/>
      </c>
      <c r="TH57" s="75" t="str">
        <f t="shared" ca="1" si="178"/>
        <v/>
      </c>
      <c r="TI57" s="75" t="str">
        <f t="shared" ca="1" si="178"/>
        <v/>
      </c>
      <c r="TJ57" s="75" t="str">
        <f t="shared" ca="1" si="179"/>
        <v/>
      </c>
      <c r="TK57" s="75" t="str">
        <f t="shared" ca="1" si="179"/>
        <v/>
      </c>
      <c r="TL57" s="75" t="str">
        <f t="shared" ca="1" si="179"/>
        <v/>
      </c>
      <c r="TM57" s="75" t="str">
        <f t="shared" ca="1" si="179"/>
        <v/>
      </c>
      <c r="TN57" s="75" t="str">
        <f t="shared" ca="1" si="179"/>
        <v/>
      </c>
      <c r="TO57" s="75" t="str">
        <f t="shared" ca="1" si="179"/>
        <v/>
      </c>
      <c r="TP57" s="75" t="str">
        <f t="shared" ca="1" si="179"/>
        <v/>
      </c>
      <c r="TQ57" s="75" t="str">
        <f t="shared" ca="1" si="179"/>
        <v/>
      </c>
      <c r="TR57" s="75" t="str">
        <f t="shared" ca="1" si="179"/>
        <v/>
      </c>
      <c r="TS57" s="75" t="str">
        <f t="shared" ca="1" si="179"/>
        <v/>
      </c>
      <c r="TT57" s="75" t="str">
        <f t="shared" ca="1" si="180"/>
        <v/>
      </c>
      <c r="TU57" s="75" t="str">
        <f t="shared" ca="1" si="180"/>
        <v/>
      </c>
      <c r="TV57" s="75" t="str">
        <f t="shared" ca="1" si="180"/>
        <v/>
      </c>
      <c r="TW57" s="75" t="str">
        <f t="shared" ca="1" si="180"/>
        <v/>
      </c>
      <c r="TX57" s="75" t="str">
        <f t="shared" ca="1" si="180"/>
        <v/>
      </c>
      <c r="TY57" s="75" t="str">
        <f t="shared" ca="1" si="180"/>
        <v/>
      </c>
      <c r="TZ57" s="75" t="str">
        <f t="shared" ca="1" si="180"/>
        <v/>
      </c>
      <c r="UA57" s="75" t="str">
        <f t="shared" ca="1" si="180"/>
        <v/>
      </c>
      <c r="UB57" s="75" t="str">
        <f t="shared" ca="1" si="180"/>
        <v/>
      </c>
      <c r="UC57" s="75" t="str">
        <f t="shared" ca="1" si="180"/>
        <v/>
      </c>
      <c r="UD57" s="75" t="str">
        <f t="shared" ca="1" si="181"/>
        <v/>
      </c>
      <c r="UE57" s="75" t="str">
        <f t="shared" ca="1" si="181"/>
        <v/>
      </c>
      <c r="UF57" s="75" t="str">
        <f t="shared" ca="1" si="181"/>
        <v/>
      </c>
      <c r="UG57" s="75" t="str">
        <f t="shared" ca="1" si="181"/>
        <v/>
      </c>
      <c r="UH57" s="75" t="str">
        <f t="shared" ca="1" si="181"/>
        <v/>
      </c>
      <c r="UI57" s="75" t="str">
        <f t="shared" ca="1" si="181"/>
        <v/>
      </c>
      <c r="UJ57" s="75" t="str">
        <f t="shared" ca="1" si="181"/>
        <v/>
      </c>
      <c r="UK57" s="75" t="str">
        <f t="shared" ca="1" si="181"/>
        <v/>
      </c>
      <c r="UL57" s="75" t="str">
        <f t="shared" ca="1" si="181"/>
        <v/>
      </c>
      <c r="UM57" s="75" t="str">
        <f t="shared" ca="1" si="181"/>
        <v/>
      </c>
      <c r="UN57" s="75" t="str">
        <f t="shared" ca="1" si="182"/>
        <v/>
      </c>
      <c r="UO57" s="75" t="str">
        <f t="shared" ca="1" si="182"/>
        <v/>
      </c>
      <c r="UP57" s="75" t="str">
        <f t="shared" ca="1" si="182"/>
        <v/>
      </c>
      <c r="UQ57" s="75" t="str">
        <f t="shared" ca="1" si="182"/>
        <v/>
      </c>
      <c r="UR57" s="75" t="str">
        <f t="shared" ca="1" si="182"/>
        <v/>
      </c>
      <c r="US57" s="75" t="str">
        <f t="shared" ca="1" si="182"/>
        <v/>
      </c>
      <c r="UT57" s="75" t="str">
        <f t="shared" ca="1" si="182"/>
        <v/>
      </c>
      <c r="UU57" s="75" t="str">
        <f t="shared" ca="1" si="182"/>
        <v/>
      </c>
      <c r="UV57" s="75" t="str">
        <f t="shared" ca="1" si="182"/>
        <v/>
      </c>
      <c r="UW57" s="75" t="str">
        <f t="shared" ca="1" si="182"/>
        <v/>
      </c>
      <c r="UX57" s="75" t="str">
        <f t="shared" ca="1" si="183"/>
        <v/>
      </c>
      <c r="UY57" s="75" t="str">
        <f t="shared" ca="1" si="183"/>
        <v/>
      </c>
      <c r="UZ57" s="75" t="str">
        <f t="shared" ca="1" si="183"/>
        <v/>
      </c>
      <c r="VA57" s="75" t="str">
        <f t="shared" ca="1" si="183"/>
        <v/>
      </c>
      <c r="VB57" s="75" t="str">
        <f t="shared" ca="1" si="183"/>
        <v/>
      </c>
      <c r="VC57" s="75" t="str">
        <f t="shared" ca="1" si="183"/>
        <v/>
      </c>
      <c r="VD57" s="75" t="str">
        <f t="shared" ca="1" si="183"/>
        <v/>
      </c>
      <c r="VE57" s="75" t="str">
        <f t="shared" ca="1" si="183"/>
        <v/>
      </c>
      <c r="VF57" s="75" t="str">
        <f t="shared" ca="1" si="183"/>
        <v/>
      </c>
      <c r="VG57" s="75" t="str">
        <f t="shared" ca="1" si="183"/>
        <v/>
      </c>
      <c r="VH57" s="75" t="str">
        <f t="shared" ca="1" si="184"/>
        <v/>
      </c>
      <c r="VI57" s="75" t="str">
        <f t="shared" ca="1" si="184"/>
        <v/>
      </c>
      <c r="VJ57" s="75" t="str">
        <f t="shared" ca="1" si="184"/>
        <v/>
      </c>
      <c r="VK57" s="75" t="str">
        <f t="shared" ca="1" si="184"/>
        <v/>
      </c>
      <c r="VL57" s="75" t="str">
        <f t="shared" ca="1" si="184"/>
        <v/>
      </c>
      <c r="VM57" s="75" t="str">
        <f t="shared" ca="1" si="184"/>
        <v/>
      </c>
      <c r="VN57" s="75" t="str">
        <f t="shared" ca="1" si="184"/>
        <v/>
      </c>
      <c r="VO57" s="75" t="str">
        <f t="shared" ca="1" si="184"/>
        <v/>
      </c>
      <c r="VP57" s="75" t="str">
        <f t="shared" ca="1" si="184"/>
        <v/>
      </c>
      <c r="VQ57" s="75" t="str">
        <f t="shared" ca="1" si="184"/>
        <v/>
      </c>
      <c r="VR57" s="75" t="str">
        <f t="shared" ca="1" si="184"/>
        <v/>
      </c>
      <c r="VS57" s="75" t="str">
        <f t="shared" ca="1" si="184"/>
        <v/>
      </c>
    </row>
    <row r="58" spans="1:591" s="17" customFormat="1" ht="21.6" customHeight="1" x14ac:dyDescent="0.3">
      <c r="A58" s="81"/>
      <c r="B58" s="28" t="s">
        <v>93</v>
      </c>
      <c r="C58" s="19" t="s">
        <v>75</v>
      </c>
      <c r="D58" s="19"/>
      <c r="E58" s="27"/>
      <c r="F58" s="26">
        <f>F57+3</f>
        <v>46013</v>
      </c>
      <c r="G58" s="26">
        <f>Milestones43524[[#This Row],[Start]]+Milestones43524[[#This Row],[Days]]</f>
        <v>46027</v>
      </c>
      <c r="H58" s="25">
        <v>14</v>
      </c>
      <c r="I58" s="19"/>
      <c r="J58" s="24" t="str">
        <f t="shared" ref="J58:S68" ca="1" si="185">IF(AND($C58="Goal",J$7&gt;=$F58,J$7&lt;=$F58+$H58-1),2,IF(AND($C58="Milestone",J$7&gt;=$F58,J$7&lt;=$F58+$H58-1),1,""))</f>
        <v/>
      </c>
      <c r="K58" s="24" t="str">
        <f t="shared" ca="1" si="185"/>
        <v/>
      </c>
      <c r="L58" s="24" t="str">
        <f t="shared" ca="1" si="185"/>
        <v/>
      </c>
      <c r="M58" s="24" t="str">
        <f t="shared" ca="1" si="185"/>
        <v/>
      </c>
      <c r="N58" s="24" t="str">
        <f t="shared" ca="1" si="185"/>
        <v/>
      </c>
      <c r="O58" s="24" t="str">
        <f t="shared" ca="1" si="185"/>
        <v/>
      </c>
      <c r="P58" s="24" t="str">
        <f t="shared" ca="1" si="185"/>
        <v/>
      </c>
      <c r="Q58" s="24" t="str">
        <f t="shared" ca="1" si="185"/>
        <v/>
      </c>
      <c r="R58" s="24" t="str">
        <f t="shared" ca="1" si="185"/>
        <v/>
      </c>
      <c r="S58" s="24" t="str">
        <f t="shared" ca="1" si="185"/>
        <v/>
      </c>
      <c r="T58" s="24" t="str">
        <f t="shared" ref="T58:AC68" ca="1" si="186">IF(AND($C58="Goal",T$7&gt;=$F58,T$7&lt;=$F58+$H58-1),2,IF(AND($C58="Milestone",T$7&gt;=$F58,T$7&lt;=$F58+$H58-1),1,""))</f>
        <v/>
      </c>
      <c r="U58" s="24" t="str">
        <f t="shared" ca="1" si="186"/>
        <v/>
      </c>
      <c r="V58" s="24" t="str">
        <f t="shared" ca="1" si="186"/>
        <v/>
      </c>
      <c r="W58" s="24" t="str">
        <f t="shared" ca="1" si="186"/>
        <v/>
      </c>
      <c r="X58" s="24" t="str">
        <f t="shared" ca="1" si="186"/>
        <v/>
      </c>
      <c r="Y58" s="24" t="str">
        <f t="shared" ca="1" si="186"/>
        <v/>
      </c>
      <c r="Z58" s="24" t="str">
        <f t="shared" ca="1" si="186"/>
        <v/>
      </c>
      <c r="AA58" s="24" t="str">
        <f t="shared" ca="1" si="186"/>
        <v/>
      </c>
      <c r="AB58" s="24" t="str">
        <f t="shared" ca="1" si="186"/>
        <v/>
      </c>
      <c r="AC58" s="24" t="str">
        <f t="shared" ca="1" si="186"/>
        <v/>
      </c>
      <c r="AD58" s="24" t="str">
        <f t="shared" ref="AD58:AM68" ca="1" si="187">IF(AND($C58="Goal",AD$7&gt;=$F58,AD$7&lt;=$F58+$H58-1),2,IF(AND($C58="Milestone",AD$7&gt;=$F58,AD$7&lt;=$F58+$H58-1),1,""))</f>
        <v/>
      </c>
      <c r="AE58" s="24" t="str">
        <f t="shared" ca="1" si="187"/>
        <v/>
      </c>
      <c r="AF58" s="24" t="str">
        <f t="shared" ca="1" si="187"/>
        <v/>
      </c>
      <c r="AG58" s="24" t="str">
        <f t="shared" ca="1" si="187"/>
        <v/>
      </c>
      <c r="AH58" s="24" t="str">
        <f t="shared" ca="1" si="187"/>
        <v/>
      </c>
      <c r="AI58" s="24" t="str">
        <f t="shared" ca="1" si="187"/>
        <v/>
      </c>
      <c r="AJ58" s="24" t="str">
        <f t="shared" ca="1" si="187"/>
        <v/>
      </c>
      <c r="AK58" s="24" t="str">
        <f t="shared" ca="1" si="187"/>
        <v/>
      </c>
      <c r="AL58" s="24" t="str">
        <f t="shared" ca="1" si="187"/>
        <v/>
      </c>
      <c r="AM58" s="24" t="str">
        <f t="shared" ca="1" si="187"/>
        <v/>
      </c>
      <c r="AN58" s="24" t="str">
        <f t="shared" ref="AN58:AW68" ca="1" si="188">IF(AND($C58="Goal",AN$7&gt;=$F58,AN$7&lt;=$F58+$H58-1),2,IF(AND($C58="Milestone",AN$7&gt;=$F58,AN$7&lt;=$F58+$H58-1),1,""))</f>
        <v/>
      </c>
      <c r="AO58" s="24" t="str">
        <f t="shared" ca="1" si="188"/>
        <v/>
      </c>
      <c r="AP58" s="24" t="str">
        <f t="shared" ca="1" si="188"/>
        <v/>
      </c>
      <c r="AQ58" s="24" t="str">
        <f t="shared" ca="1" si="188"/>
        <v/>
      </c>
      <c r="AR58" s="24" t="str">
        <f t="shared" ca="1" si="188"/>
        <v/>
      </c>
      <c r="AS58" s="24" t="str">
        <f t="shared" ca="1" si="188"/>
        <v/>
      </c>
      <c r="AT58" s="24" t="str">
        <f t="shared" ca="1" si="188"/>
        <v/>
      </c>
      <c r="AU58" s="24" t="str">
        <f t="shared" ca="1" si="188"/>
        <v/>
      </c>
      <c r="AV58" s="24" t="str">
        <f t="shared" ca="1" si="188"/>
        <v/>
      </c>
      <c r="AW58" s="24" t="str">
        <f t="shared" ca="1" si="188"/>
        <v/>
      </c>
      <c r="AX58" s="24" t="str">
        <f t="shared" ref="AX58:BG68" ca="1" si="189">IF(AND($C58="Goal",AX$7&gt;=$F58,AX$7&lt;=$F58+$H58-1),2,IF(AND($C58="Milestone",AX$7&gt;=$F58,AX$7&lt;=$F58+$H58-1),1,""))</f>
        <v/>
      </c>
      <c r="AY58" s="24" t="str">
        <f t="shared" ca="1" si="189"/>
        <v/>
      </c>
      <c r="AZ58" s="24" t="str">
        <f t="shared" ca="1" si="189"/>
        <v/>
      </c>
      <c r="BA58" s="24" t="str">
        <f t="shared" ca="1" si="189"/>
        <v/>
      </c>
      <c r="BB58" s="24" t="str">
        <f t="shared" ca="1" si="189"/>
        <v/>
      </c>
      <c r="BC58" s="24" t="str">
        <f t="shared" ca="1" si="189"/>
        <v/>
      </c>
      <c r="BD58" s="24" t="str">
        <f t="shared" ca="1" si="189"/>
        <v/>
      </c>
      <c r="BE58" s="24" t="str">
        <f t="shared" ca="1" si="189"/>
        <v/>
      </c>
      <c r="BF58" s="24" t="str">
        <f t="shared" ca="1" si="189"/>
        <v/>
      </c>
      <c r="BG58" s="24" t="str">
        <f t="shared" ca="1" si="189"/>
        <v/>
      </c>
      <c r="BH58" s="24" t="str">
        <f t="shared" ref="BH58:BQ68" ca="1" si="190">IF(AND($C58="Goal",BH$7&gt;=$F58,BH$7&lt;=$F58+$H58-1),2,IF(AND($C58="Milestone",BH$7&gt;=$F58,BH$7&lt;=$F58+$H58-1),1,""))</f>
        <v/>
      </c>
      <c r="BI58" s="24" t="str">
        <f t="shared" ca="1" si="190"/>
        <v/>
      </c>
      <c r="BJ58" s="24" t="str">
        <f t="shared" ca="1" si="190"/>
        <v/>
      </c>
      <c r="BK58" s="24" t="str">
        <f t="shared" ca="1" si="190"/>
        <v/>
      </c>
      <c r="BL58" s="24" t="str">
        <f t="shared" ca="1" si="190"/>
        <v/>
      </c>
      <c r="BM58" s="24" t="str">
        <f t="shared" ca="1" si="190"/>
        <v/>
      </c>
      <c r="BN58" s="24" t="str">
        <f t="shared" ca="1" si="190"/>
        <v/>
      </c>
      <c r="BO58" s="24" t="str">
        <f t="shared" ca="1" si="190"/>
        <v/>
      </c>
      <c r="BP58" s="24" t="str">
        <f t="shared" ca="1" si="190"/>
        <v/>
      </c>
      <c r="BQ58" s="24" t="str">
        <f t="shared" ca="1" si="190"/>
        <v/>
      </c>
      <c r="BR58" s="24" t="str">
        <f t="shared" ref="BR58:CA68" ca="1" si="191">IF(AND($C58="Goal",BR$7&gt;=$F58,BR$7&lt;=$F58+$H58-1),2,IF(AND($C58="Milestone",BR$7&gt;=$F58,BR$7&lt;=$F58+$H58-1),1,""))</f>
        <v/>
      </c>
      <c r="BS58" s="24" t="str">
        <f t="shared" ca="1" si="191"/>
        <v/>
      </c>
      <c r="BT58" s="24" t="str">
        <f t="shared" ca="1" si="191"/>
        <v/>
      </c>
      <c r="BU58" s="24" t="str">
        <f t="shared" ca="1" si="191"/>
        <v/>
      </c>
      <c r="BV58" s="24" t="str">
        <f t="shared" ca="1" si="191"/>
        <v/>
      </c>
      <c r="BW58" s="24" t="str">
        <f t="shared" ca="1" si="191"/>
        <v/>
      </c>
      <c r="BX58" s="24" t="str">
        <f t="shared" ca="1" si="191"/>
        <v/>
      </c>
      <c r="BY58" s="24" t="str">
        <f t="shared" ca="1" si="191"/>
        <v/>
      </c>
      <c r="BZ58" s="24" t="str">
        <f t="shared" ca="1" si="191"/>
        <v/>
      </c>
      <c r="CA58" s="24" t="str">
        <f t="shared" ca="1" si="191"/>
        <v/>
      </c>
      <c r="CB58" s="24" t="str">
        <f t="shared" ref="CB58:CK68" ca="1" si="192">IF(AND($C58="Goal",CB$7&gt;=$F58,CB$7&lt;=$F58+$H58-1),2,IF(AND($C58="Milestone",CB$7&gt;=$F58,CB$7&lt;=$F58+$H58-1),1,""))</f>
        <v/>
      </c>
      <c r="CC58" s="24" t="str">
        <f t="shared" ca="1" si="192"/>
        <v/>
      </c>
      <c r="CD58" s="24" t="str">
        <f t="shared" ca="1" si="192"/>
        <v/>
      </c>
      <c r="CE58" s="24" t="str">
        <f t="shared" ca="1" si="192"/>
        <v/>
      </c>
      <c r="CF58" s="24" t="str">
        <f t="shared" ca="1" si="192"/>
        <v/>
      </c>
      <c r="CG58" s="24" t="str">
        <f t="shared" ca="1" si="192"/>
        <v/>
      </c>
      <c r="CH58" s="24" t="str">
        <f t="shared" ca="1" si="192"/>
        <v/>
      </c>
      <c r="CI58" s="24" t="str">
        <f t="shared" ca="1" si="192"/>
        <v/>
      </c>
      <c r="CJ58" s="24" t="str">
        <f t="shared" ca="1" si="192"/>
        <v/>
      </c>
      <c r="CK58" s="24" t="str">
        <f t="shared" ca="1" si="192"/>
        <v/>
      </c>
      <c r="CL58" s="24" t="str">
        <f t="shared" ref="CL58:CU68" ca="1" si="193">IF(AND($C58="Goal",CL$7&gt;=$F58,CL$7&lt;=$F58+$H58-1),2,IF(AND($C58="Milestone",CL$7&gt;=$F58,CL$7&lt;=$F58+$H58-1),1,""))</f>
        <v/>
      </c>
      <c r="CM58" s="24" t="str">
        <f t="shared" ca="1" si="193"/>
        <v/>
      </c>
      <c r="CN58" s="24" t="str">
        <f t="shared" ca="1" si="193"/>
        <v/>
      </c>
      <c r="CO58" s="24" t="str">
        <f t="shared" ca="1" si="193"/>
        <v/>
      </c>
      <c r="CP58" s="24" t="str">
        <f t="shared" ca="1" si="193"/>
        <v/>
      </c>
      <c r="CQ58" s="24" t="str">
        <f t="shared" ca="1" si="193"/>
        <v/>
      </c>
      <c r="CR58" s="24" t="str">
        <f t="shared" ca="1" si="193"/>
        <v/>
      </c>
      <c r="CS58" s="24" t="str">
        <f t="shared" ca="1" si="193"/>
        <v/>
      </c>
      <c r="CT58" s="24" t="str">
        <f t="shared" ca="1" si="193"/>
        <v/>
      </c>
      <c r="CU58" s="24" t="str">
        <f t="shared" ca="1" si="193"/>
        <v/>
      </c>
      <c r="CV58" s="24" t="str">
        <f t="shared" ref="CV58:DE68" ca="1" si="194">IF(AND($C58="Goal",CV$7&gt;=$F58,CV$7&lt;=$F58+$H58-1),2,IF(AND($C58="Milestone",CV$7&gt;=$F58,CV$7&lt;=$F58+$H58-1),1,""))</f>
        <v/>
      </c>
      <c r="CW58" s="24" t="str">
        <f t="shared" ca="1" si="194"/>
        <v/>
      </c>
      <c r="CX58" s="24" t="str">
        <f t="shared" ca="1" si="194"/>
        <v/>
      </c>
      <c r="CY58" s="24" t="str">
        <f t="shared" ca="1" si="194"/>
        <v/>
      </c>
      <c r="CZ58" s="24" t="str">
        <f t="shared" ca="1" si="194"/>
        <v/>
      </c>
      <c r="DA58" s="24" t="str">
        <f t="shared" ca="1" si="194"/>
        <v/>
      </c>
      <c r="DB58" s="24" t="str">
        <f t="shared" ca="1" si="194"/>
        <v/>
      </c>
      <c r="DC58" s="24" t="str">
        <f t="shared" ca="1" si="194"/>
        <v/>
      </c>
      <c r="DD58" s="24" t="str">
        <f t="shared" ca="1" si="194"/>
        <v/>
      </c>
      <c r="DE58" s="24" t="str">
        <f t="shared" ca="1" si="194"/>
        <v/>
      </c>
      <c r="DF58" s="24" t="str">
        <f t="shared" ref="DF58:DO68" ca="1" si="195">IF(AND($C58="Goal",DF$7&gt;=$F58,DF$7&lt;=$F58+$H58-1),2,IF(AND($C58="Milestone",DF$7&gt;=$F58,DF$7&lt;=$F58+$H58-1),1,""))</f>
        <v/>
      </c>
      <c r="DG58" s="24" t="str">
        <f t="shared" ca="1" si="195"/>
        <v/>
      </c>
      <c r="DH58" s="24" t="str">
        <f t="shared" ca="1" si="195"/>
        <v/>
      </c>
      <c r="DI58" s="24" t="str">
        <f t="shared" ca="1" si="195"/>
        <v/>
      </c>
      <c r="DJ58" s="24" t="str">
        <f t="shared" ca="1" si="195"/>
        <v/>
      </c>
      <c r="DK58" s="24" t="str">
        <f t="shared" ca="1" si="195"/>
        <v/>
      </c>
      <c r="DL58" s="24" t="str">
        <f t="shared" ca="1" si="195"/>
        <v/>
      </c>
      <c r="DM58" s="24" t="str">
        <f t="shared" ca="1" si="195"/>
        <v/>
      </c>
      <c r="DN58" s="24" t="str">
        <f t="shared" ca="1" si="195"/>
        <v/>
      </c>
      <c r="DO58" s="24" t="str">
        <f t="shared" ca="1" si="195"/>
        <v/>
      </c>
      <c r="DP58" s="24" t="str">
        <f t="shared" ref="DP58:DY68" ca="1" si="196">IF(AND($C58="Goal",DP$7&gt;=$F58,DP$7&lt;=$F58+$H58-1),2,IF(AND($C58="Milestone",DP$7&gt;=$F58,DP$7&lt;=$F58+$H58-1),1,""))</f>
        <v/>
      </c>
      <c r="DQ58" s="24" t="str">
        <f t="shared" ca="1" si="196"/>
        <v/>
      </c>
      <c r="DR58" s="24" t="str">
        <f t="shared" ca="1" si="196"/>
        <v/>
      </c>
      <c r="DS58" s="24" t="str">
        <f t="shared" ca="1" si="196"/>
        <v/>
      </c>
      <c r="DT58" s="24" t="str">
        <f t="shared" ca="1" si="196"/>
        <v/>
      </c>
      <c r="DU58" s="24" t="str">
        <f t="shared" ca="1" si="196"/>
        <v/>
      </c>
      <c r="DV58" s="24" t="str">
        <f t="shared" ca="1" si="196"/>
        <v/>
      </c>
      <c r="DW58" s="24" t="str">
        <f t="shared" ca="1" si="196"/>
        <v/>
      </c>
      <c r="DX58" s="24" t="str">
        <f t="shared" ca="1" si="196"/>
        <v/>
      </c>
      <c r="DY58" s="24" t="str">
        <f t="shared" ca="1" si="196"/>
        <v/>
      </c>
      <c r="DZ58" s="24" t="str">
        <f t="shared" ref="DZ58:EI68" ca="1" si="197">IF(AND($C58="Goal",DZ$7&gt;=$F58,DZ$7&lt;=$F58+$H58-1),2,IF(AND($C58="Milestone",DZ$7&gt;=$F58,DZ$7&lt;=$F58+$H58-1),1,""))</f>
        <v/>
      </c>
      <c r="EA58" s="24" t="str">
        <f t="shared" ca="1" si="197"/>
        <v/>
      </c>
      <c r="EB58" s="24" t="str">
        <f t="shared" ca="1" si="197"/>
        <v/>
      </c>
      <c r="EC58" s="24" t="str">
        <f t="shared" ca="1" si="197"/>
        <v/>
      </c>
      <c r="ED58" s="24" t="str">
        <f t="shared" ca="1" si="197"/>
        <v/>
      </c>
      <c r="EE58" s="24" t="str">
        <f t="shared" ca="1" si="197"/>
        <v/>
      </c>
      <c r="EF58" s="24" t="str">
        <f t="shared" ca="1" si="197"/>
        <v/>
      </c>
      <c r="EG58" s="24" t="str">
        <f t="shared" ca="1" si="197"/>
        <v/>
      </c>
      <c r="EH58" s="24" t="str">
        <f t="shared" ca="1" si="197"/>
        <v/>
      </c>
      <c r="EI58" s="24" t="str">
        <f t="shared" ca="1" si="197"/>
        <v/>
      </c>
      <c r="EJ58" s="24" t="str">
        <f t="shared" ref="EJ58:ES68" ca="1" si="198">IF(AND($C58="Goal",EJ$7&gt;=$F58,EJ$7&lt;=$F58+$H58-1),2,IF(AND($C58="Milestone",EJ$7&gt;=$F58,EJ$7&lt;=$F58+$H58-1),1,""))</f>
        <v/>
      </c>
      <c r="EK58" s="24" t="str">
        <f t="shared" ca="1" si="198"/>
        <v/>
      </c>
      <c r="EL58" s="24" t="str">
        <f t="shared" ca="1" si="198"/>
        <v/>
      </c>
      <c r="EM58" s="24" t="str">
        <f t="shared" ca="1" si="198"/>
        <v/>
      </c>
      <c r="EN58" s="24" t="str">
        <f t="shared" ca="1" si="198"/>
        <v/>
      </c>
      <c r="EO58" s="24" t="str">
        <f t="shared" ca="1" si="198"/>
        <v/>
      </c>
      <c r="EP58" s="24" t="str">
        <f t="shared" ca="1" si="198"/>
        <v/>
      </c>
      <c r="EQ58" s="24" t="str">
        <f t="shared" ca="1" si="198"/>
        <v/>
      </c>
      <c r="ER58" s="24" t="str">
        <f t="shared" ca="1" si="198"/>
        <v/>
      </c>
      <c r="ES58" s="24" t="str">
        <f t="shared" ca="1" si="198"/>
        <v/>
      </c>
      <c r="ET58" s="24" t="str">
        <f t="shared" ref="ET58:FC68" ca="1" si="199">IF(AND($C58="Goal",ET$7&gt;=$F58,ET$7&lt;=$F58+$H58-1),2,IF(AND($C58="Milestone",ET$7&gt;=$F58,ET$7&lt;=$F58+$H58-1),1,""))</f>
        <v/>
      </c>
      <c r="EU58" s="24" t="str">
        <f t="shared" ca="1" si="199"/>
        <v/>
      </c>
      <c r="EV58" s="24" t="str">
        <f t="shared" ca="1" si="199"/>
        <v/>
      </c>
      <c r="EW58" s="24" t="str">
        <f t="shared" ca="1" si="199"/>
        <v/>
      </c>
      <c r="EX58" s="24" t="str">
        <f t="shared" ca="1" si="199"/>
        <v/>
      </c>
      <c r="EY58" s="24" t="str">
        <f t="shared" ca="1" si="199"/>
        <v/>
      </c>
      <c r="EZ58" s="24" t="str">
        <f t="shared" ca="1" si="199"/>
        <v/>
      </c>
      <c r="FA58" s="24" t="str">
        <f t="shared" ca="1" si="199"/>
        <v/>
      </c>
      <c r="FB58" s="24" t="str">
        <f t="shared" ca="1" si="199"/>
        <v/>
      </c>
      <c r="FC58" s="24" t="str">
        <f t="shared" ca="1" si="199"/>
        <v/>
      </c>
      <c r="FD58" s="24" t="str">
        <f t="shared" ref="FD58:FM68" ca="1" si="200">IF(AND($C58="Goal",FD$7&gt;=$F58,FD$7&lt;=$F58+$H58-1),2,IF(AND($C58="Milestone",FD$7&gt;=$F58,FD$7&lt;=$F58+$H58-1),1,""))</f>
        <v/>
      </c>
      <c r="FE58" s="24" t="str">
        <f t="shared" ca="1" si="200"/>
        <v/>
      </c>
      <c r="FF58" s="24" t="str">
        <f t="shared" ca="1" si="200"/>
        <v/>
      </c>
      <c r="FG58" s="24" t="str">
        <f t="shared" ca="1" si="200"/>
        <v/>
      </c>
      <c r="FH58" s="24" t="str">
        <f t="shared" ca="1" si="200"/>
        <v/>
      </c>
      <c r="FI58" s="24" t="str">
        <f t="shared" ca="1" si="200"/>
        <v/>
      </c>
      <c r="FJ58" s="24" t="str">
        <f t="shared" ca="1" si="200"/>
        <v/>
      </c>
      <c r="FK58" s="24" t="str">
        <f t="shared" ca="1" si="200"/>
        <v/>
      </c>
      <c r="FL58" s="24" t="str">
        <f t="shared" ca="1" si="200"/>
        <v/>
      </c>
      <c r="FM58" s="24" t="str">
        <f t="shared" ca="1" si="200"/>
        <v/>
      </c>
      <c r="FN58" s="24" t="str">
        <f t="shared" ref="FN58:FW68" ca="1" si="201">IF(AND($C58="Goal",FN$7&gt;=$F58,FN$7&lt;=$F58+$H58-1),2,IF(AND($C58="Milestone",FN$7&gt;=$F58,FN$7&lt;=$F58+$H58-1),1,""))</f>
        <v/>
      </c>
      <c r="FO58" s="24" t="str">
        <f t="shared" ca="1" si="201"/>
        <v/>
      </c>
      <c r="FP58" s="24" t="str">
        <f t="shared" ca="1" si="201"/>
        <v/>
      </c>
      <c r="FQ58" s="24" t="str">
        <f t="shared" ca="1" si="201"/>
        <v/>
      </c>
      <c r="FR58" s="24" t="str">
        <f t="shared" ca="1" si="201"/>
        <v/>
      </c>
      <c r="FS58" s="24" t="str">
        <f t="shared" ca="1" si="201"/>
        <v/>
      </c>
      <c r="FT58" s="24" t="str">
        <f t="shared" ca="1" si="201"/>
        <v/>
      </c>
      <c r="FU58" s="24" t="str">
        <f t="shared" ca="1" si="201"/>
        <v/>
      </c>
      <c r="FV58" s="24" t="str">
        <f t="shared" ca="1" si="201"/>
        <v/>
      </c>
      <c r="FW58" s="24" t="str">
        <f t="shared" ca="1" si="201"/>
        <v/>
      </c>
      <c r="FX58" s="24" t="str">
        <f t="shared" ref="FX58:GG68" ca="1" si="202">IF(AND($C58="Goal",FX$7&gt;=$F58,FX$7&lt;=$F58+$H58-1),2,IF(AND($C58="Milestone",FX$7&gt;=$F58,FX$7&lt;=$F58+$H58-1),1,""))</f>
        <v/>
      </c>
      <c r="FY58" s="24" t="str">
        <f t="shared" ca="1" si="202"/>
        <v/>
      </c>
      <c r="FZ58" s="24" t="str">
        <f t="shared" ca="1" si="202"/>
        <v/>
      </c>
      <c r="GA58" s="24" t="str">
        <f t="shared" ca="1" si="202"/>
        <v/>
      </c>
      <c r="GB58" s="24" t="str">
        <f t="shared" ca="1" si="202"/>
        <v/>
      </c>
      <c r="GC58" s="24" t="str">
        <f t="shared" ca="1" si="202"/>
        <v/>
      </c>
      <c r="GD58" s="24" t="str">
        <f t="shared" ca="1" si="202"/>
        <v/>
      </c>
      <c r="GE58" s="24" t="str">
        <f t="shared" ca="1" si="202"/>
        <v/>
      </c>
      <c r="GF58" s="24" t="str">
        <f t="shared" ca="1" si="202"/>
        <v/>
      </c>
      <c r="GG58" s="24" t="str">
        <f t="shared" ca="1" si="202"/>
        <v/>
      </c>
      <c r="GH58" s="24" t="str">
        <f t="shared" ref="GH58:GQ68" ca="1" si="203">IF(AND($C58="Goal",GH$7&gt;=$F58,GH$7&lt;=$F58+$H58-1),2,IF(AND($C58="Milestone",GH$7&gt;=$F58,GH$7&lt;=$F58+$H58-1),1,""))</f>
        <v/>
      </c>
      <c r="GI58" s="24" t="str">
        <f t="shared" ca="1" si="203"/>
        <v/>
      </c>
      <c r="GJ58" s="24" t="str">
        <f t="shared" ca="1" si="203"/>
        <v/>
      </c>
      <c r="GK58" s="24" t="str">
        <f t="shared" ca="1" si="203"/>
        <v/>
      </c>
      <c r="GL58" s="24" t="str">
        <f t="shared" ca="1" si="203"/>
        <v/>
      </c>
      <c r="GM58" s="24" t="str">
        <f t="shared" ca="1" si="203"/>
        <v/>
      </c>
      <c r="GN58" s="24" t="str">
        <f t="shared" ca="1" si="203"/>
        <v/>
      </c>
      <c r="GO58" s="24" t="str">
        <f t="shared" ca="1" si="203"/>
        <v/>
      </c>
      <c r="GP58" s="24" t="str">
        <f t="shared" ca="1" si="203"/>
        <v/>
      </c>
      <c r="GQ58" s="24" t="str">
        <f t="shared" ca="1" si="203"/>
        <v/>
      </c>
      <c r="GR58" s="24" t="str">
        <f t="shared" ref="GR58:HA68" ca="1" si="204">IF(AND($C58="Goal",GR$7&gt;=$F58,GR$7&lt;=$F58+$H58-1),2,IF(AND($C58="Milestone",GR$7&gt;=$F58,GR$7&lt;=$F58+$H58-1),1,""))</f>
        <v/>
      </c>
      <c r="GS58" s="24" t="str">
        <f t="shared" ca="1" si="204"/>
        <v/>
      </c>
      <c r="GT58" s="24" t="str">
        <f t="shared" ca="1" si="204"/>
        <v/>
      </c>
      <c r="GU58" s="24" t="str">
        <f t="shared" ca="1" si="204"/>
        <v/>
      </c>
      <c r="GV58" s="24" t="str">
        <f t="shared" ca="1" si="204"/>
        <v/>
      </c>
      <c r="GW58" s="24" t="str">
        <f t="shared" ca="1" si="204"/>
        <v/>
      </c>
      <c r="GX58" s="24" t="str">
        <f t="shared" ca="1" si="204"/>
        <v/>
      </c>
      <c r="GY58" s="24" t="str">
        <f t="shared" ca="1" si="204"/>
        <v/>
      </c>
      <c r="GZ58" s="24" t="str">
        <f t="shared" ca="1" si="204"/>
        <v/>
      </c>
      <c r="HA58" s="24" t="str">
        <f t="shared" ca="1" si="204"/>
        <v/>
      </c>
      <c r="HB58" s="24" t="str">
        <f t="shared" ref="HB58:HK68" ca="1" si="205">IF(AND($C58="Goal",HB$7&gt;=$F58,HB$7&lt;=$F58+$H58-1),2,IF(AND($C58="Milestone",HB$7&gt;=$F58,HB$7&lt;=$F58+$H58-1),1,""))</f>
        <v/>
      </c>
      <c r="HC58" s="24" t="str">
        <f t="shared" ca="1" si="205"/>
        <v/>
      </c>
      <c r="HD58" s="24" t="str">
        <f t="shared" ca="1" si="205"/>
        <v/>
      </c>
      <c r="HE58" s="24" t="str">
        <f t="shared" ca="1" si="205"/>
        <v/>
      </c>
      <c r="HF58" s="24" t="str">
        <f t="shared" ca="1" si="205"/>
        <v/>
      </c>
      <c r="HG58" s="24" t="str">
        <f t="shared" ca="1" si="205"/>
        <v/>
      </c>
      <c r="HH58" s="24" t="str">
        <f t="shared" ca="1" si="205"/>
        <v/>
      </c>
      <c r="HI58" s="24" t="str">
        <f t="shared" ca="1" si="205"/>
        <v/>
      </c>
      <c r="HJ58" s="24" t="str">
        <f t="shared" ca="1" si="205"/>
        <v/>
      </c>
      <c r="HK58" s="24" t="str">
        <f t="shared" ca="1" si="205"/>
        <v/>
      </c>
      <c r="HL58" s="24" t="str">
        <f t="shared" ref="HL58:HU68" ca="1" si="206">IF(AND($C58="Goal",HL$7&gt;=$F58,HL$7&lt;=$F58+$H58-1),2,IF(AND($C58="Milestone",HL$7&gt;=$F58,HL$7&lt;=$F58+$H58-1),1,""))</f>
        <v/>
      </c>
      <c r="HM58" s="24" t="str">
        <f t="shared" ca="1" si="206"/>
        <v/>
      </c>
      <c r="HN58" s="24" t="str">
        <f t="shared" ca="1" si="206"/>
        <v/>
      </c>
      <c r="HO58" s="24" t="str">
        <f t="shared" ca="1" si="206"/>
        <v/>
      </c>
      <c r="HP58" s="24" t="str">
        <f t="shared" ca="1" si="206"/>
        <v/>
      </c>
      <c r="HQ58" s="24" t="str">
        <f t="shared" ca="1" si="206"/>
        <v/>
      </c>
      <c r="HR58" s="24" t="str">
        <f t="shared" ca="1" si="206"/>
        <v/>
      </c>
      <c r="HS58" s="24" t="str">
        <f t="shared" ca="1" si="206"/>
        <v/>
      </c>
      <c r="HT58" s="24" t="str">
        <f t="shared" ca="1" si="206"/>
        <v/>
      </c>
      <c r="HU58" s="24" t="str">
        <f t="shared" ca="1" si="206"/>
        <v/>
      </c>
      <c r="HV58" s="24" t="str">
        <f t="shared" ref="HV58:IE68" ca="1" si="207">IF(AND($C58="Goal",HV$7&gt;=$F58,HV$7&lt;=$F58+$H58-1),2,IF(AND($C58="Milestone",HV$7&gt;=$F58,HV$7&lt;=$F58+$H58-1),1,""))</f>
        <v/>
      </c>
      <c r="HW58" s="24" t="str">
        <f t="shared" ca="1" si="207"/>
        <v/>
      </c>
      <c r="HX58" s="24" t="str">
        <f t="shared" ca="1" si="207"/>
        <v/>
      </c>
      <c r="HY58" s="24" t="str">
        <f t="shared" ca="1" si="207"/>
        <v/>
      </c>
      <c r="HZ58" s="24" t="str">
        <f t="shared" ca="1" si="207"/>
        <v/>
      </c>
      <c r="IA58" s="24" t="str">
        <f t="shared" ca="1" si="207"/>
        <v/>
      </c>
      <c r="IB58" s="24" t="str">
        <f t="shared" ca="1" si="207"/>
        <v/>
      </c>
      <c r="IC58" s="24" t="str">
        <f t="shared" ca="1" si="207"/>
        <v/>
      </c>
      <c r="ID58" s="24" t="str">
        <f t="shared" ca="1" si="207"/>
        <v/>
      </c>
      <c r="IE58" s="24" t="str">
        <f t="shared" ca="1" si="207"/>
        <v/>
      </c>
      <c r="IF58" s="24" t="str">
        <f t="shared" ref="IF58:IO68" ca="1" si="208">IF(AND($C58="Goal",IF$7&gt;=$F58,IF$7&lt;=$F58+$H58-1),2,IF(AND($C58="Milestone",IF$7&gt;=$F58,IF$7&lt;=$F58+$H58-1),1,""))</f>
        <v/>
      </c>
      <c r="IG58" s="24" t="str">
        <f t="shared" ca="1" si="208"/>
        <v/>
      </c>
      <c r="IH58" s="24" t="str">
        <f t="shared" ca="1" si="208"/>
        <v/>
      </c>
      <c r="II58" s="24" t="str">
        <f t="shared" ca="1" si="208"/>
        <v/>
      </c>
      <c r="IJ58" s="24" t="str">
        <f t="shared" ca="1" si="208"/>
        <v/>
      </c>
      <c r="IK58" s="24" t="str">
        <f t="shared" ca="1" si="208"/>
        <v/>
      </c>
      <c r="IL58" s="24" t="str">
        <f t="shared" ca="1" si="208"/>
        <v/>
      </c>
      <c r="IM58" s="24" t="str">
        <f t="shared" ca="1" si="208"/>
        <v/>
      </c>
      <c r="IN58" s="24" t="str">
        <f t="shared" ca="1" si="208"/>
        <v/>
      </c>
      <c r="IO58" s="24" t="str">
        <f t="shared" ca="1" si="208"/>
        <v/>
      </c>
      <c r="IP58" s="24" t="str">
        <f t="shared" ref="IP58:IY68" ca="1" si="209">IF(AND($C58="Goal",IP$7&gt;=$F58,IP$7&lt;=$F58+$H58-1),2,IF(AND($C58="Milestone",IP$7&gt;=$F58,IP$7&lt;=$F58+$H58-1),1,""))</f>
        <v/>
      </c>
      <c r="IQ58" s="24" t="str">
        <f t="shared" ca="1" si="209"/>
        <v/>
      </c>
      <c r="IR58" s="24" t="str">
        <f t="shared" ca="1" si="209"/>
        <v/>
      </c>
      <c r="IS58" s="24" t="str">
        <f t="shared" ca="1" si="209"/>
        <v/>
      </c>
      <c r="IT58" s="24" t="str">
        <f t="shared" ca="1" si="209"/>
        <v/>
      </c>
      <c r="IU58" s="24" t="str">
        <f t="shared" ca="1" si="209"/>
        <v/>
      </c>
      <c r="IV58" s="24" t="str">
        <f t="shared" ca="1" si="209"/>
        <v/>
      </c>
      <c r="IW58" s="24" t="str">
        <f t="shared" ca="1" si="209"/>
        <v/>
      </c>
      <c r="IX58" s="24" t="str">
        <f t="shared" ca="1" si="209"/>
        <v/>
      </c>
      <c r="IY58" s="24" t="str">
        <f t="shared" ca="1" si="209"/>
        <v/>
      </c>
      <c r="IZ58" s="24" t="str">
        <f t="shared" ref="IZ58:JI68" ca="1" si="210">IF(AND($C58="Goal",IZ$7&gt;=$F58,IZ$7&lt;=$F58+$H58-1),2,IF(AND($C58="Milestone",IZ$7&gt;=$F58,IZ$7&lt;=$F58+$H58-1),1,""))</f>
        <v/>
      </c>
      <c r="JA58" s="24" t="str">
        <f t="shared" ca="1" si="210"/>
        <v/>
      </c>
      <c r="JB58" s="24" t="str">
        <f t="shared" ca="1" si="210"/>
        <v/>
      </c>
      <c r="JC58" s="24" t="str">
        <f t="shared" ca="1" si="210"/>
        <v/>
      </c>
      <c r="JD58" s="24" t="str">
        <f t="shared" ca="1" si="210"/>
        <v/>
      </c>
      <c r="JE58" s="24" t="str">
        <f t="shared" ca="1" si="210"/>
        <v/>
      </c>
      <c r="JF58" s="24" t="str">
        <f t="shared" ca="1" si="210"/>
        <v/>
      </c>
      <c r="JG58" s="24" t="str">
        <f t="shared" ca="1" si="210"/>
        <v/>
      </c>
      <c r="JH58" s="24" t="str">
        <f t="shared" ca="1" si="210"/>
        <v/>
      </c>
      <c r="JI58" s="24" t="str">
        <f t="shared" ca="1" si="210"/>
        <v/>
      </c>
      <c r="JJ58" s="24" t="str">
        <f t="shared" ref="JJ58:JS68" ca="1" si="211">IF(AND($C58="Goal",JJ$7&gt;=$F58,JJ$7&lt;=$F58+$H58-1),2,IF(AND($C58="Milestone",JJ$7&gt;=$F58,JJ$7&lt;=$F58+$H58-1),1,""))</f>
        <v/>
      </c>
      <c r="JK58" s="24" t="str">
        <f t="shared" ca="1" si="211"/>
        <v/>
      </c>
      <c r="JL58" s="24" t="str">
        <f t="shared" ca="1" si="211"/>
        <v/>
      </c>
      <c r="JM58" s="24" t="str">
        <f t="shared" ca="1" si="211"/>
        <v/>
      </c>
      <c r="JN58" s="24" t="str">
        <f t="shared" ca="1" si="211"/>
        <v/>
      </c>
      <c r="JO58" s="24" t="str">
        <f t="shared" ca="1" si="211"/>
        <v/>
      </c>
      <c r="JP58" s="24" t="str">
        <f t="shared" ca="1" si="211"/>
        <v/>
      </c>
      <c r="JQ58" s="24" t="str">
        <f t="shared" ca="1" si="211"/>
        <v/>
      </c>
      <c r="JR58" s="24" t="str">
        <f t="shared" ca="1" si="211"/>
        <v/>
      </c>
      <c r="JS58" s="24" t="str">
        <f t="shared" ca="1" si="211"/>
        <v/>
      </c>
      <c r="JT58" s="24" t="str">
        <f t="shared" ref="JT58:KC68" ca="1" si="212">IF(AND($C58="Goal",JT$7&gt;=$F58,JT$7&lt;=$F58+$H58-1),2,IF(AND($C58="Milestone",JT$7&gt;=$F58,JT$7&lt;=$F58+$H58-1),1,""))</f>
        <v/>
      </c>
      <c r="JU58" s="24" t="str">
        <f t="shared" ca="1" si="212"/>
        <v/>
      </c>
      <c r="JV58" s="24" t="str">
        <f t="shared" ca="1" si="212"/>
        <v/>
      </c>
      <c r="JW58" s="24" t="str">
        <f t="shared" ca="1" si="212"/>
        <v/>
      </c>
      <c r="JX58" s="24" t="str">
        <f t="shared" ca="1" si="212"/>
        <v/>
      </c>
      <c r="JY58" s="24" t="str">
        <f t="shared" ca="1" si="212"/>
        <v/>
      </c>
      <c r="JZ58" s="24" t="str">
        <f t="shared" ca="1" si="212"/>
        <v/>
      </c>
      <c r="KA58" s="24" t="str">
        <f t="shared" ca="1" si="212"/>
        <v/>
      </c>
      <c r="KB58" s="24" t="str">
        <f t="shared" ca="1" si="212"/>
        <v/>
      </c>
      <c r="KC58" s="24" t="str">
        <f t="shared" ca="1" si="212"/>
        <v/>
      </c>
      <c r="KD58" s="24" t="str">
        <f t="shared" ref="KD58:KM68" ca="1" si="213">IF(AND($C58="Goal",KD$7&gt;=$F58,KD$7&lt;=$F58+$H58-1),2,IF(AND($C58="Milestone",KD$7&gt;=$F58,KD$7&lt;=$F58+$H58-1),1,""))</f>
        <v/>
      </c>
      <c r="KE58" s="24" t="str">
        <f t="shared" ca="1" si="213"/>
        <v/>
      </c>
      <c r="KF58" s="24" t="str">
        <f t="shared" ca="1" si="213"/>
        <v/>
      </c>
      <c r="KG58" s="24" t="str">
        <f t="shared" ca="1" si="213"/>
        <v/>
      </c>
      <c r="KH58" s="24" t="str">
        <f t="shared" ca="1" si="213"/>
        <v/>
      </c>
      <c r="KI58" s="24" t="str">
        <f t="shared" ca="1" si="213"/>
        <v/>
      </c>
      <c r="KJ58" s="24" t="str">
        <f t="shared" ca="1" si="213"/>
        <v/>
      </c>
      <c r="KK58" s="24" t="str">
        <f t="shared" ca="1" si="213"/>
        <v/>
      </c>
      <c r="KL58" s="24" t="str">
        <f t="shared" ca="1" si="213"/>
        <v/>
      </c>
      <c r="KM58" s="24" t="str">
        <f t="shared" ca="1" si="213"/>
        <v/>
      </c>
      <c r="KN58" s="24" t="str">
        <f t="shared" ref="KN58:KW68" ca="1" si="214">IF(AND($C58="Goal",KN$7&gt;=$F58,KN$7&lt;=$F58+$H58-1),2,IF(AND($C58="Milestone",KN$7&gt;=$F58,KN$7&lt;=$F58+$H58-1),1,""))</f>
        <v/>
      </c>
      <c r="KO58" s="24" t="str">
        <f t="shared" ca="1" si="214"/>
        <v/>
      </c>
      <c r="KP58" s="24" t="str">
        <f t="shared" ca="1" si="214"/>
        <v/>
      </c>
      <c r="KQ58" s="24" t="str">
        <f t="shared" ca="1" si="214"/>
        <v/>
      </c>
      <c r="KR58" s="24" t="str">
        <f t="shared" ca="1" si="214"/>
        <v/>
      </c>
      <c r="KS58" s="24" t="str">
        <f t="shared" ca="1" si="214"/>
        <v/>
      </c>
      <c r="KT58" s="24" t="str">
        <f t="shared" ca="1" si="214"/>
        <v/>
      </c>
      <c r="KU58" s="24" t="str">
        <f t="shared" ca="1" si="214"/>
        <v/>
      </c>
      <c r="KV58" s="24" t="str">
        <f t="shared" ca="1" si="214"/>
        <v/>
      </c>
      <c r="KW58" s="24" t="str">
        <f t="shared" ca="1" si="214"/>
        <v/>
      </c>
      <c r="KX58" s="24" t="str">
        <f t="shared" ref="KX58:LG68" ca="1" si="215">IF(AND($C58="Goal",KX$7&gt;=$F58,KX$7&lt;=$F58+$H58-1),2,IF(AND($C58="Milestone",KX$7&gt;=$F58,KX$7&lt;=$F58+$H58-1),1,""))</f>
        <v/>
      </c>
      <c r="KY58" s="24" t="str">
        <f t="shared" ca="1" si="215"/>
        <v/>
      </c>
      <c r="KZ58" s="24" t="str">
        <f t="shared" ca="1" si="215"/>
        <v/>
      </c>
      <c r="LA58" s="24" t="str">
        <f t="shared" ca="1" si="215"/>
        <v/>
      </c>
      <c r="LB58" s="24" t="str">
        <f t="shared" ca="1" si="215"/>
        <v/>
      </c>
      <c r="LC58" s="24" t="str">
        <f t="shared" ca="1" si="215"/>
        <v/>
      </c>
      <c r="LD58" s="24" t="str">
        <f t="shared" ca="1" si="215"/>
        <v/>
      </c>
      <c r="LE58" s="24" t="str">
        <f t="shared" ca="1" si="215"/>
        <v/>
      </c>
      <c r="LF58" s="24" t="str">
        <f t="shared" ca="1" si="215"/>
        <v/>
      </c>
      <c r="LG58" s="24" t="str">
        <f t="shared" ca="1" si="215"/>
        <v/>
      </c>
      <c r="LH58" s="24" t="str">
        <f t="shared" ref="LH58:LQ68" ca="1" si="216">IF(AND($C58="Goal",LH$7&gt;=$F58,LH$7&lt;=$F58+$H58-1),2,IF(AND($C58="Milestone",LH$7&gt;=$F58,LH$7&lt;=$F58+$H58-1),1,""))</f>
        <v/>
      </c>
      <c r="LI58" s="24" t="str">
        <f t="shared" ca="1" si="216"/>
        <v/>
      </c>
      <c r="LJ58" s="24" t="str">
        <f t="shared" ca="1" si="216"/>
        <v/>
      </c>
      <c r="LK58" s="24" t="str">
        <f t="shared" ca="1" si="216"/>
        <v/>
      </c>
      <c r="LL58" s="24" t="str">
        <f t="shared" ca="1" si="216"/>
        <v/>
      </c>
      <c r="LM58" s="24" t="str">
        <f t="shared" ca="1" si="216"/>
        <v/>
      </c>
      <c r="LN58" s="24" t="str">
        <f t="shared" ca="1" si="216"/>
        <v/>
      </c>
      <c r="LO58" s="24" t="str">
        <f t="shared" ca="1" si="216"/>
        <v/>
      </c>
      <c r="LP58" s="24" t="str">
        <f t="shared" ca="1" si="216"/>
        <v/>
      </c>
      <c r="LQ58" s="24" t="str">
        <f t="shared" ca="1" si="216"/>
        <v/>
      </c>
      <c r="LR58" s="24" t="str">
        <f t="shared" ref="LR58:MA68" ca="1" si="217">IF(AND($C58="Goal",LR$7&gt;=$F58,LR$7&lt;=$F58+$H58-1),2,IF(AND($C58="Milestone",LR$7&gt;=$F58,LR$7&lt;=$F58+$H58-1),1,""))</f>
        <v/>
      </c>
      <c r="LS58" s="24" t="str">
        <f t="shared" ca="1" si="217"/>
        <v/>
      </c>
      <c r="LT58" s="24" t="str">
        <f t="shared" ca="1" si="217"/>
        <v/>
      </c>
      <c r="LU58" s="24" t="str">
        <f t="shared" ca="1" si="217"/>
        <v/>
      </c>
      <c r="LV58" s="24" t="str">
        <f t="shared" ca="1" si="217"/>
        <v/>
      </c>
      <c r="LW58" s="24" t="str">
        <f t="shared" ca="1" si="217"/>
        <v/>
      </c>
      <c r="LX58" s="24" t="str">
        <f t="shared" ca="1" si="217"/>
        <v/>
      </c>
      <c r="LY58" s="24" t="str">
        <f t="shared" ca="1" si="217"/>
        <v/>
      </c>
      <c r="LZ58" s="24" t="str">
        <f t="shared" ca="1" si="217"/>
        <v/>
      </c>
      <c r="MA58" s="24" t="str">
        <f t="shared" ca="1" si="217"/>
        <v/>
      </c>
      <c r="MB58" s="24" t="str">
        <f t="shared" ref="MB58:MK68" ca="1" si="218">IF(AND($C58="Goal",MB$7&gt;=$F58,MB$7&lt;=$F58+$H58-1),2,IF(AND($C58="Milestone",MB$7&gt;=$F58,MB$7&lt;=$F58+$H58-1),1,""))</f>
        <v/>
      </c>
      <c r="MC58" s="24" t="str">
        <f t="shared" ca="1" si="218"/>
        <v/>
      </c>
      <c r="MD58" s="24" t="str">
        <f t="shared" ca="1" si="218"/>
        <v/>
      </c>
      <c r="ME58" s="24" t="str">
        <f t="shared" ca="1" si="218"/>
        <v/>
      </c>
      <c r="MF58" s="24" t="str">
        <f t="shared" ca="1" si="218"/>
        <v/>
      </c>
      <c r="MG58" s="24" t="str">
        <f t="shared" ca="1" si="218"/>
        <v/>
      </c>
      <c r="MH58" s="24" t="str">
        <f t="shared" ca="1" si="218"/>
        <v/>
      </c>
      <c r="MI58" s="24" t="str">
        <f t="shared" ca="1" si="218"/>
        <v/>
      </c>
      <c r="MJ58" s="24" t="str">
        <f t="shared" ca="1" si="218"/>
        <v/>
      </c>
      <c r="MK58" s="24" t="str">
        <f t="shared" ca="1" si="218"/>
        <v/>
      </c>
      <c r="ML58" s="24" t="str">
        <f t="shared" ref="ML58:MU68" ca="1" si="219">IF(AND($C58="Goal",ML$7&gt;=$F58,ML$7&lt;=$F58+$H58-1),2,IF(AND($C58="Milestone",ML$7&gt;=$F58,ML$7&lt;=$F58+$H58-1),1,""))</f>
        <v/>
      </c>
      <c r="MM58" s="24" t="str">
        <f t="shared" ca="1" si="219"/>
        <v/>
      </c>
      <c r="MN58" s="24" t="str">
        <f t="shared" ca="1" si="219"/>
        <v/>
      </c>
      <c r="MO58" s="24" t="str">
        <f t="shared" ca="1" si="219"/>
        <v/>
      </c>
      <c r="MP58" s="24" t="str">
        <f t="shared" ca="1" si="219"/>
        <v/>
      </c>
      <c r="MQ58" s="24" t="str">
        <f t="shared" ca="1" si="219"/>
        <v/>
      </c>
      <c r="MR58" s="24" t="str">
        <f t="shared" ca="1" si="219"/>
        <v/>
      </c>
      <c r="MS58" s="24" t="str">
        <f t="shared" ca="1" si="219"/>
        <v/>
      </c>
      <c r="MT58" s="24" t="str">
        <f t="shared" ca="1" si="219"/>
        <v/>
      </c>
      <c r="MU58" s="24" t="str">
        <f t="shared" ca="1" si="219"/>
        <v/>
      </c>
      <c r="MV58" s="24" t="str">
        <f t="shared" ref="MV58:NE68" ca="1" si="220">IF(AND($C58="Goal",MV$7&gt;=$F58,MV$7&lt;=$F58+$H58-1),2,IF(AND($C58="Milestone",MV$7&gt;=$F58,MV$7&lt;=$F58+$H58-1),1,""))</f>
        <v/>
      </c>
      <c r="MW58" s="24" t="str">
        <f t="shared" ca="1" si="220"/>
        <v/>
      </c>
      <c r="MX58" s="24" t="str">
        <f t="shared" ca="1" si="220"/>
        <v/>
      </c>
      <c r="MY58" s="24" t="str">
        <f t="shared" ca="1" si="220"/>
        <v/>
      </c>
      <c r="MZ58" s="24" t="str">
        <f t="shared" ca="1" si="220"/>
        <v/>
      </c>
      <c r="NA58" s="24" t="str">
        <f t="shared" ca="1" si="220"/>
        <v/>
      </c>
      <c r="NB58" s="24" t="str">
        <f t="shared" ca="1" si="220"/>
        <v/>
      </c>
      <c r="NC58" s="24" t="str">
        <f t="shared" ca="1" si="220"/>
        <v/>
      </c>
      <c r="ND58" s="24" t="str">
        <f t="shared" ca="1" si="220"/>
        <v/>
      </c>
      <c r="NE58" s="24" t="str">
        <f t="shared" ca="1" si="220"/>
        <v/>
      </c>
      <c r="NF58" s="24" t="str">
        <f t="shared" ref="NF58:NO68" ca="1" si="221">IF(AND($C58="Goal",NF$7&gt;=$F58,NF$7&lt;=$F58+$H58-1),2,IF(AND($C58="Milestone",NF$7&gt;=$F58,NF$7&lt;=$F58+$H58-1),1,""))</f>
        <v/>
      </c>
      <c r="NG58" s="24" t="str">
        <f t="shared" ca="1" si="221"/>
        <v/>
      </c>
      <c r="NH58" s="24" t="str">
        <f t="shared" ca="1" si="221"/>
        <v/>
      </c>
      <c r="NI58" s="24" t="str">
        <f t="shared" ca="1" si="221"/>
        <v/>
      </c>
      <c r="NJ58" s="24" t="str">
        <f t="shared" ca="1" si="221"/>
        <v/>
      </c>
      <c r="NK58" s="24" t="str">
        <f t="shared" ca="1" si="221"/>
        <v/>
      </c>
      <c r="NL58" s="24" t="str">
        <f t="shared" ca="1" si="221"/>
        <v/>
      </c>
      <c r="NM58" s="24" t="str">
        <f t="shared" ca="1" si="221"/>
        <v/>
      </c>
      <c r="NN58" s="24" t="str">
        <f t="shared" ca="1" si="221"/>
        <v/>
      </c>
      <c r="NO58" s="24" t="str">
        <f t="shared" ca="1" si="221"/>
        <v/>
      </c>
      <c r="NP58" s="24" t="str">
        <f t="shared" ref="NP58:NY68" ca="1" si="222">IF(AND($C58="Goal",NP$7&gt;=$F58,NP$7&lt;=$F58+$H58-1),2,IF(AND($C58="Milestone",NP$7&gt;=$F58,NP$7&lt;=$F58+$H58-1),1,""))</f>
        <v/>
      </c>
      <c r="NQ58" s="24" t="str">
        <f t="shared" ca="1" si="222"/>
        <v/>
      </c>
      <c r="NR58" s="24" t="str">
        <f t="shared" ca="1" si="222"/>
        <v/>
      </c>
      <c r="NS58" s="24" t="str">
        <f t="shared" ca="1" si="222"/>
        <v/>
      </c>
      <c r="NT58" s="24" t="str">
        <f t="shared" ca="1" si="222"/>
        <v/>
      </c>
      <c r="NU58" s="24" t="str">
        <f t="shared" ca="1" si="222"/>
        <v/>
      </c>
      <c r="NV58" s="24" t="str">
        <f t="shared" ca="1" si="222"/>
        <v/>
      </c>
      <c r="NW58" s="24" t="str">
        <f t="shared" ca="1" si="222"/>
        <v/>
      </c>
      <c r="NX58" s="24" t="str">
        <f t="shared" ca="1" si="222"/>
        <v/>
      </c>
      <c r="NY58" s="24" t="str">
        <f t="shared" ca="1" si="222"/>
        <v/>
      </c>
      <c r="NZ58" s="24" t="str">
        <f t="shared" ref="NZ58:OI68" ca="1" si="223">IF(AND($C58="Goal",NZ$7&gt;=$F58,NZ$7&lt;=$F58+$H58-1),2,IF(AND($C58="Milestone",NZ$7&gt;=$F58,NZ$7&lt;=$F58+$H58-1),1,""))</f>
        <v/>
      </c>
      <c r="OA58" s="24" t="str">
        <f t="shared" ca="1" si="223"/>
        <v/>
      </c>
      <c r="OB58" s="24" t="str">
        <f t="shared" ca="1" si="223"/>
        <v/>
      </c>
      <c r="OC58" s="24" t="str">
        <f t="shared" ca="1" si="223"/>
        <v/>
      </c>
      <c r="OD58" s="24" t="str">
        <f t="shared" ca="1" si="223"/>
        <v/>
      </c>
      <c r="OE58" s="24" t="str">
        <f t="shared" ca="1" si="223"/>
        <v/>
      </c>
      <c r="OF58" s="24" t="str">
        <f t="shared" ca="1" si="223"/>
        <v/>
      </c>
      <c r="OG58" s="24" t="str">
        <f t="shared" ca="1" si="223"/>
        <v/>
      </c>
      <c r="OH58" s="24" t="str">
        <f t="shared" ca="1" si="223"/>
        <v/>
      </c>
      <c r="OI58" s="24" t="str">
        <f t="shared" ca="1" si="223"/>
        <v/>
      </c>
      <c r="OJ58" s="24" t="str">
        <f t="shared" ref="OJ58:OS68" ca="1" si="224">IF(AND($C58="Goal",OJ$7&gt;=$F58,OJ$7&lt;=$F58+$H58-1),2,IF(AND($C58="Milestone",OJ$7&gt;=$F58,OJ$7&lt;=$F58+$H58-1),1,""))</f>
        <v/>
      </c>
      <c r="OK58" s="24" t="str">
        <f t="shared" ca="1" si="224"/>
        <v/>
      </c>
      <c r="OL58" s="24" t="str">
        <f t="shared" ca="1" si="224"/>
        <v/>
      </c>
      <c r="OM58" s="24" t="str">
        <f t="shared" ca="1" si="224"/>
        <v/>
      </c>
      <c r="ON58" s="24" t="str">
        <f t="shared" ca="1" si="224"/>
        <v/>
      </c>
      <c r="OO58" s="24" t="str">
        <f t="shared" ca="1" si="224"/>
        <v/>
      </c>
      <c r="OP58" s="24" t="str">
        <f t="shared" ca="1" si="224"/>
        <v/>
      </c>
      <c r="OQ58" s="24" t="str">
        <f t="shared" ca="1" si="224"/>
        <v/>
      </c>
      <c r="OR58" s="24" t="str">
        <f t="shared" ca="1" si="224"/>
        <v/>
      </c>
      <c r="OS58" s="24" t="str">
        <f t="shared" ca="1" si="224"/>
        <v/>
      </c>
      <c r="OT58" s="24" t="str">
        <f t="shared" ref="OT58:PC68" ca="1" si="225">IF(AND($C58="Goal",OT$7&gt;=$F58,OT$7&lt;=$F58+$H58-1),2,IF(AND($C58="Milestone",OT$7&gt;=$F58,OT$7&lt;=$F58+$H58-1),1,""))</f>
        <v/>
      </c>
      <c r="OU58" s="24" t="str">
        <f t="shared" ca="1" si="225"/>
        <v/>
      </c>
      <c r="OV58" s="24" t="str">
        <f t="shared" ca="1" si="225"/>
        <v/>
      </c>
      <c r="OW58" s="24" t="str">
        <f t="shared" ca="1" si="225"/>
        <v/>
      </c>
      <c r="OX58" s="24" t="str">
        <f t="shared" ca="1" si="225"/>
        <v/>
      </c>
      <c r="OY58" s="24" t="str">
        <f t="shared" ca="1" si="225"/>
        <v/>
      </c>
      <c r="OZ58" s="24" t="str">
        <f t="shared" ca="1" si="225"/>
        <v/>
      </c>
      <c r="PA58" s="24" t="str">
        <f t="shared" ca="1" si="225"/>
        <v/>
      </c>
      <c r="PB58" s="24" t="str">
        <f t="shared" ca="1" si="225"/>
        <v/>
      </c>
      <c r="PC58" s="24" t="str">
        <f t="shared" ca="1" si="225"/>
        <v/>
      </c>
      <c r="PD58" s="24" t="str">
        <f t="shared" ref="PD58:PM68" ca="1" si="226">IF(AND($C58="Goal",PD$7&gt;=$F58,PD$7&lt;=$F58+$H58-1),2,IF(AND($C58="Milestone",PD$7&gt;=$F58,PD$7&lt;=$F58+$H58-1),1,""))</f>
        <v/>
      </c>
      <c r="PE58" s="24" t="str">
        <f t="shared" ca="1" si="226"/>
        <v/>
      </c>
      <c r="PF58" s="24" t="str">
        <f t="shared" ca="1" si="226"/>
        <v/>
      </c>
      <c r="PG58" s="24" t="str">
        <f t="shared" ca="1" si="226"/>
        <v/>
      </c>
      <c r="PH58" s="24" t="str">
        <f t="shared" ca="1" si="226"/>
        <v/>
      </c>
      <c r="PI58" s="24" t="str">
        <f t="shared" ca="1" si="226"/>
        <v/>
      </c>
      <c r="PJ58" s="24" t="str">
        <f t="shared" ca="1" si="226"/>
        <v/>
      </c>
      <c r="PK58" s="24" t="str">
        <f t="shared" ca="1" si="226"/>
        <v/>
      </c>
      <c r="PL58" s="24" t="str">
        <f t="shared" ca="1" si="226"/>
        <v/>
      </c>
      <c r="PM58" s="24" t="str">
        <f t="shared" ca="1" si="226"/>
        <v/>
      </c>
      <c r="PN58" s="24" t="str">
        <f t="shared" ref="PN58:PW68" ca="1" si="227">IF(AND($C58="Goal",PN$7&gt;=$F58,PN$7&lt;=$F58+$H58-1),2,IF(AND($C58="Milestone",PN$7&gt;=$F58,PN$7&lt;=$F58+$H58-1),1,""))</f>
        <v/>
      </c>
      <c r="PO58" s="24" t="str">
        <f t="shared" ca="1" si="227"/>
        <v/>
      </c>
      <c r="PP58" s="24" t="str">
        <f t="shared" ca="1" si="227"/>
        <v/>
      </c>
      <c r="PQ58" s="24" t="str">
        <f t="shared" ca="1" si="227"/>
        <v/>
      </c>
      <c r="PR58" s="24" t="str">
        <f t="shared" ca="1" si="227"/>
        <v/>
      </c>
      <c r="PS58" s="24" t="str">
        <f t="shared" ca="1" si="227"/>
        <v/>
      </c>
      <c r="PT58" s="24" t="str">
        <f t="shared" ca="1" si="227"/>
        <v/>
      </c>
      <c r="PU58" s="24" t="str">
        <f t="shared" ca="1" si="227"/>
        <v/>
      </c>
      <c r="PV58" s="24" t="str">
        <f t="shared" ca="1" si="227"/>
        <v/>
      </c>
      <c r="PW58" s="24" t="str">
        <f t="shared" ca="1" si="227"/>
        <v/>
      </c>
      <c r="PX58" s="24" t="str">
        <f t="shared" ref="PX58:QG68" ca="1" si="228">IF(AND($C58="Goal",PX$7&gt;=$F58,PX$7&lt;=$F58+$H58-1),2,IF(AND($C58="Milestone",PX$7&gt;=$F58,PX$7&lt;=$F58+$H58-1),1,""))</f>
        <v/>
      </c>
      <c r="PY58" s="24" t="str">
        <f t="shared" ca="1" si="228"/>
        <v/>
      </c>
      <c r="PZ58" s="24" t="str">
        <f t="shared" ca="1" si="228"/>
        <v/>
      </c>
      <c r="QA58" s="24" t="str">
        <f t="shared" ca="1" si="228"/>
        <v/>
      </c>
      <c r="QB58" s="24" t="str">
        <f t="shared" ca="1" si="228"/>
        <v/>
      </c>
      <c r="QC58" s="24" t="str">
        <f t="shared" ca="1" si="228"/>
        <v/>
      </c>
      <c r="QD58" s="24" t="str">
        <f t="shared" ca="1" si="228"/>
        <v/>
      </c>
      <c r="QE58" s="24" t="str">
        <f t="shared" ca="1" si="228"/>
        <v/>
      </c>
      <c r="QF58" s="24" t="str">
        <f t="shared" ca="1" si="228"/>
        <v/>
      </c>
      <c r="QG58" s="24" t="str">
        <f t="shared" ca="1" si="228"/>
        <v/>
      </c>
      <c r="QH58" s="24" t="str">
        <f t="shared" ref="QH58:QQ68" ca="1" si="229">IF(AND($C58="Goal",QH$7&gt;=$F58,QH$7&lt;=$F58+$H58-1),2,IF(AND($C58="Milestone",QH$7&gt;=$F58,QH$7&lt;=$F58+$H58-1),1,""))</f>
        <v/>
      </c>
      <c r="QI58" s="24" t="str">
        <f t="shared" ca="1" si="229"/>
        <v/>
      </c>
      <c r="QJ58" s="24" t="str">
        <f t="shared" ca="1" si="229"/>
        <v/>
      </c>
      <c r="QK58" s="24" t="str">
        <f t="shared" ca="1" si="229"/>
        <v/>
      </c>
      <c r="QL58" s="24" t="str">
        <f t="shared" ca="1" si="229"/>
        <v/>
      </c>
      <c r="QM58" s="24" t="str">
        <f t="shared" ca="1" si="229"/>
        <v/>
      </c>
      <c r="QN58" s="24" t="str">
        <f t="shared" ca="1" si="229"/>
        <v/>
      </c>
      <c r="QO58" s="24" t="str">
        <f t="shared" ca="1" si="229"/>
        <v/>
      </c>
      <c r="QP58" s="24" t="str">
        <f t="shared" ca="1" si="229"/>
        <v/>
      </c>
      <c r="QQ58" s="24" t="str">
        <f t="shared" ca="1" si="229"/>
        <v/>
      </c>
      <c r="QR58" s="24" t="str">
        <f t="shared" ref="QR58:RA68" ca="1" si="230">IF(AND($C58="Goal",QR$7&gt;=$F58,QR$7&lt;=$F58+$H58-1),2,IF(AND($C58="Milestone",QR$7&gt;=$F58,QR$7&lt;=$F58+$H58-1),1,""))</f>
        <v/>
      </c>
      <c r="QS58" s="24" t="str">
        <f t="shared" ca="1" si="230"/>
        <v/>
      </c>
      <c r="QT58" s="24" t="str">
        <f t="shared" ca="1" si="230"/>
        <v/>
      </c>
      <c r="QU58" s="24" t="str">
        <f t="shared" ca="1" si="230"/>
        <v/>
      </c>
      <c r="QV58" s="24" t="str">
        <f t="shared" ca="1" si="230"/>
        <v/>
      </c>
      <c r="QW58" s="24" t="str">
        <f t="shared" ca="1" si="230"/>
        <v/>
      </c>
      <c r="QX58" s="24" t="str">
        <f t="shared" ca="1" si="230"/>
        <v/>
      </c>
      <c r="QY58" s="24" t="str">
        <f t="shared" ca="1" si="230"/>
        <v/>
      </c>
      <c r="QZ58" s="24" t="str">
        <f t="shared" ca="1" si="230"/>
        <v/>
      </c>
      <c r="RA58" s="24" t="str">
        <f t="shared" ca="1" si="230"/>
        <v/>
      </c>
      <c r="RB58" s="24" t="str">
        <f t="shared" ref="RB58:RK68" ca="1" si="231">IF(AND($C58="Goal",RB$7&gt;=$F58,RB$7&lt;=$F58+$H58-1),2,IF(AND($C58="Milestone",RB$7&gt;=$F58,RB$7&lt;=$F58+$H58-1),1,""))</f>
        <v/>
      </c>
      <c r="RC58" s="24" t="str">
        <f t="shared" ca="1" si="231"/>
        <v/>
      </c>
      <c r="RD58" s="24" t="str">
        <f t="shared" ca="1" si="231"/>
        <v/>
      </c>
      <c r="RE58" s="24" t="str">
        <f t="shared" ca="1" si="231"/>
        <v/>
      </c>
      <c r="RF58" s="24" t="str">
        <f t="shared" ca="1" si="231"/>
        <v/>
      </c>
      <c r="RG58" s="24" t="str">
        <f t="shared" ca="1" si="231"/>
        <v/>
      </c>
      <c r="RH58" s="24" t="str">
        <f t="shared" ca="1" si="231"/>
        <v/>
      </c>
      <c r="RI58" s="24" t="str">
        <f t="shared" ca="1" si="231"/>
        <v/>
      </c>
      <c r="RJ58" s="24" t="str">
        <f t="shared" ca="1" si="231"/>
        <v/>
      </c>
      <c r="RK58" s="24" t="str">
        <f t="shared" ca="1" si="231"/>
        <v/>
      </c>
      <c r="RL58" s="24" t="str">
        <f t="shared" ref="RL58:RU68" ca="1" si="232">IF(AND($C58="Goal",RL$7&gt;=$F58,RL$7&lt;=$F58+$H58-1),2,IF(AND($C58="Milestone",RL$7&gt;=$F58,RL$7&lt;=$F58+$H58-1),1,""))</f>
        <v/>
      </c>
      <c r="RM58" s="24" t="str">
        <f t="shared" ca="1" si="232"/>
        <v/>
      </c>
      <c r="RN58" s="24" t="str">
        <f t="shared" ca="1" si="232"/>
        <v/>
      </c>
      <c r="RO58" s="24" t="str">
        <f t="shared" ca="1" si="232"/>
        <v/>
      </c>
      <c r="RP58" s="24" t="str">
        <f t="shared" ca="1" si="232"/>
        <v/>
      </c>
      <c r="RQ58" s="24" t="str">
        <f t="shared" ca="1" si="232"/>
        <v/>
      </c>
      <c r="RR58" s="24" t="str">
        <f t="shared" ca="1" si="232"/>
        <v/>
      </c>
      <c r="RS58" s="24" t="str">
        <f t="shared" ca="1" si="232"/>
        <v/>
      </c>
      <c r="RT58" s="24" t="str">
        <f t="shared" ca="1" si="232"/>
        <v/>
      </c>
      <c r="RU58" s="24" t="str">
        <f t="shared" ca="1" si="232"/>
        <v/>
      </c>
      <c r="RV58" s="24" t="str">
        <f t="shared" ref="RV58:SE68" ca="1" si="233">IF(AND($C58="Goal",RV$7&gt;=$F58,RV$7&lt;=$F58+$H58-1),2,IF(AND($C58="Milestone",RV$7&gt;=$F58,RV$7&lt;=$F58+$H58-1),1,""))</f>
        <v/>
      </c>
      <c r="RW58" s="24" t="str">
        <f t="shared" ca="1" si="233"/>
        <v/>
      </c>
      <c r="RX58" s="24" t="str">
        <f t="shared" ca="1" si="233"/>
        <v/>
      </c>
      <c r="RY58" s="24" t="str">
        <f t="shared" ca="1" si="233"/>
        <v/>
      </c>
      <c r="RZ58" s="24" t="str">
        <f t="shared" ca="1" si="233"/>
        <v/>
      </c>
      <c r="SA58" s="24" t="str">
        <f t="shared" ca="1" si="233"/>
        <v/>
      </c>
      <c r="SB58" s="24" t="str">
        <f t="shared" ca="1" si="233"/>
        <v/>
      </c>
      <c r="SC58" s="24" t="str">
        <f t="shared" ca="1" si="233"/>
        <v/>
      </c>
      <c r="SD58" s="24" t="str">
        <f t="shared" ca="1" si="233"/>
        <v/>
      </c>
      <c r="SE58" s="24" t="str">
        <f t="shared" ca="1" si="233"/>
        <v/>
      </c>
      <c r="SF58" s="24" t="str">
        <f t="shared" ref="SF58:SO68" ca="1" si="234">IF(AND($C58="Goal",SF$7&gt;=$F58,SF$7&lt;=$F58+$H58-1),2,IF(AND($C58="Milestone",SF$7&gt;=$F58,SF$7&lt;=$F58+$H58-1),1,""))</f>
        <v/>
      </c>
      <c r="SG58" s="24" t="str">
        <f t="shared" ca="1" si="234"/>
        <v/>
      </c>
      <c r="SH58" s="24" t="str">
        <f t="shared" ca="1" si="234"/>
        <v/>
      </c>
      <c r="SI58" s="24" t="str">
        <f t="shared" ca="1" si="234"/>
        <v/>
      </c>
      <c r="SJ58" s="24" t="str">
        <f t="shared" ca="1" si="234"/>
        <v/>
      </c>
      <c r="SK58" s="24" t="str">
        <f t="shared" ca="1" si="234"/>
        <v/>
      </c>
      <c r="SL58" s="24" t="str">
        <f t="shared" ca="1" si="234"/>
        <v/>
      </c>
      <c r="SM58" s="24" t="str">
        <f t="shared" ca="1" si="234"/>
        <v/>
      </c>
      <c r="SN58" s="24" t="str">
        <f t="shared" ca="1" si="234"/>
        <v/>
      </c>
      <c r="SO58" s="24" t="str">
        <f t="shared" ca="1" si="234"/>
        <v/>
      </c>
      <c r="SP58" s="24" t="str">
        <f t="shared" ref="SP58:SY68" ca="1" si="235">IF(AND($C58="Goal",SP$7&gt;=$F58,SP$7&lt;=$F58+$H58-1),2,IF(AND($C58="Milestone",SP$7&gt;=$F58,SP$7&lt;=$F58+$H58-1),1,""))</f>
        <v/>
      </c>
      <c r="SQ58" s="24" t="str">
        <f t="shared" ca="1" si="235"/>
        <v/>
      </c>
      <c r="SR58" s="24" t="str">
        <f t="shared" ca="1" si="235"/>
        <v/>
      </c>
      <c r="SS58" s="24" t="str">
        <f t="shared" ca="1" si="235"/>
        <v/>
      </c>
      <c r="ST58" s="24" t="str">
        <f t="shared" ca="1" si="235"/>
        <v/>
      </c>
      <c r="SU58" s="24" t="str">
        <f t="shared" ca="1" si="235"/>
        <v/>
      </c>
      <c r="SV58" s="24" t="str">
        <f t="shared" ca="1" si="235"/>
        <v/>
      </c>
      <c r="SW58" s="24" t="str">
        <f t="shared" ca="1" si="235"/>
        <v/>
      </c>
      <c r="SX58" s="24" t="str">
        <f t="shared" ca="1" si="235"/>
        <v/>
      </c>
      <c r="SY58" s="24" t="str">
        <f t="shared" ca="1" si="235"/>
        <v/>
      </c>
      <c r="SZ58" s="24" t="str">
        <f t="shared" ref="SZ58:TI68" ca="1" si="236">IF(AND($C58="Goal",SZ$7&gt;=$F58,SZ$7&lt;=$F58+$H58-1),2,IF(AND($C58="Milestone",SZ$7&gt;=$F58,SZ$7&lt;=$F58+$H58-1),1,""))</f>
        <v/>
      </c>
      <c r="TA58" s="24" t="str">
        <f t="shared" ca="1" si="236"/>
        <v/>
      </c>
      <c r="TB58" s="24" t="str">
        <f t="shared" ca="1" si="236"/>
        <v/>
      </c>
      <c r="TC58" s="24" t="str">
        <f t="shared" ca="1" si="236"/>
        <v/>
      </c>
      <c r="TD58" s="24" t="str">
        <f t="shared" ca="1" si="236"/>
        <v/>
      </c>
      <c r="TE58" s="24" t="str">
        <f t="shared" ca="1" si="236"/>
        <v/>
      </c>
      <c r="TF58" s="24" t="str">
        <f t="shared" ca="1" si="236"/>
        <v/>
      </c>
      <c r="TG58" s="24" t="str">
        <f t="shared" ca="1" si="236"/>
        <v/>
      </c>
      <c r="TH58" s="24" t="str">
        <f t="shared" ca="1" si="236"/>
        <v/>
      </c>
      <c r="TI58" s="24" t="str">
        <f t="shared" ca="1" si="236"/>
        <v/>
      </c>
      <c r="TJ58" s="24" t="str">
        <f t="shared" ref="TJ58:TS68" ca="1" si="237">IF(AND($C58="Goal",TJ$7&gt;=$F58,TJ$7&lt;=$F58+$H58-1),2,IF(AND($C58="Milestone",TJ$7&gt;=$F58,TJ$7&lt;=$F58+$H58-1),1,""))</f>
        <v/>
      </c>
      <c r="TK58" s="24" t="str">
        <f t="shared" ca="1" si="237"/>
        <v/>
      </c>
      <c r="TL58" s="24" t="str">
        <f t="shared" ca="1" si="237"/>
        <v/>
      </c>
      <c r="TM58" s="24" t="str">
        <f t="shared" ca="1" si="237"/>
        <v/>
      </c>
      <c r="TN58" s="24" t="str">
        <f t="shared" ca="1" si="237"/>
        <v/>
      </c>
      <c r="TO58" s="24" t="str">
        <f t="shared" ca="1" si="237"/>
        <v/>
      </c>
      <c r="TP58" s="24" t="str">
        <f t="shared" ca="1" si="237"/>
        <v/>
      </c>
      <c r="TQ58" s="24" t="str">
        <f t="shared" ca="1" si="237"/>
        <v/>
      </c>
      <c r="TR58" s="24" t="str">
        <f t="shared" ca="1" si="237"/>
        <v/>
      </c>
      <c r="TS58" s="24" t="str">
        <f t="shared" ca="1" si="237"/>
        <v/>
      </c>
      <c r="TT58" s="24" t="str">
        <f t="shared" ref="TT58:UC68" ca="1" si="238">IF(AND($C58="Goal",TT$7&gt;=$F58,TT$7&lt;=$F58+$H58-1),2,IF(AND($C58="Milestone",TT$7&gt;=$F58,TT$7&lt;=$F58+$H58-1),1,""))</f>
        <v/>
      </c>
      <c r="TU58" s="24" t="str">
        <f t="shared" ca="1" si="238"/>
        <v/>
      </c>
      <c r="TV58" s="24" t="str">
        <f t="shared" ca="1" si="238"/>
        <v/>
      </c>
      <c r="TW58" s="24" t="str">
        <f t="shared" ca="1" si="238"/>
        <v/>
      </c>
      <c r="TX58" s="24" t="str">
        <f t="shared" ca="1" si="238"/>
        <v/>
      </c>
      <c r="TY58" s="24" t="str">
        <f t="shared" ca="1" si="238"/>
        <v/>
      </c>
      <c r="TZ58" s="24" t="str">
        <f t="shared" ca="1" si="238"/>
        <v/>
      </c>
      <c r="UA58" s="24" t="str">
        <f t="shared" ca="1" si="238"/>
        <v/>
      </c>
      <c r="UB58" s="24" t="str">
        <f t="shared" ca="1" si="238"/>
        <v/>
      </c>
      <c r="UC58" s="24" t="str">
        <f t="shared" ca="1" si="238"/>
        <v/>
      </c>
      <c r="UD58" s="24" t="str">
        <f t="shared" ref="UD58:UM68" ca="1" si="239">IF(AND($C58="Goal",UD$7&gt;=$F58,UD$7&lt;=$F58+$H58-1),2,IF(AND($C58="Milestone",UD$7&gt;=$F58,UD$7&lt;=$F58+$H58-1),1,""))</f>
        <v/>
      </c>
      <c r="UE58" s="24" t="str">
        <f t="shared" ca="1" si="239"/>
        <v/>
      </c>
      <c r="UF58" s="24" t="str">
        <f t="shared" ca="1" si="239"/>
        <v/>
      </c>
      <c r="UG58" s="24" t="str">
        <f t="shared" ca="1" si="239"/>
        <v/>
      </c>
      <c r="UH58" s="24" t="str">
        <f t="shared" ca="1" si="239"/>
        <v/>
      </c>
      <c r="UI58" s="24" t="str">
        <f t="shared" ca="1" si="239"/>
        <v/>
      </c>
      <c r="UJ58" s="24" t="str">
        <f t="shared" ca="1" si="239"/>
        <v/>
      </c>
      <c r="UK58" s="24" t="str">
        <f t="shared" ca="1" si="239"/>
        <v/>
      </c>
      <c r="UL58" s="24" t="str">
        <f t="shared" ca="1" si="239"/>
        <v/>
      </c>
      <c r="UM58" s="24" t="str">
        <f t="shared" ca="1" si="239"/>
        <v/>
      </c>
      <c r="UN58" s="24" t="str">
        <f t="shared" ref="UN58:UW68" ca="1" si="240">IF(AND($C58="Goal",UN$7&gt;=$F58,UN$7&lt;=$F58+$H58-1),2,IF(AND($C58="Milestone",UN$7&gt;=$F58,UN$7&lt;=$F58+$H58-1),1,""))</f>
        <v/>
      </c>
      <c r="UO58" s="24" t="str">
        <f t="shared" ca="1" si="240"/>
        <v/>
      </c>
      <c r="UP58" s="24" t="str">
        <f t="shared" ca="1" si="240"/>
        <v/>
      </c>
      <c r="UQ58" s="24" t="str">
        <f t="shared" ca="1" si="240"/>
        <v/>
      </c>
      <c r="UR58" s="24" t="str">
        <f t="shared" ca="1" si="240"/>
        <v/>
      </c>
      <c r="US58" s="24" t="str">
        <f t="shared" ca="1" si="240"/>
        <v/>
      </c>
      <c r="UT58" s="24" t="str">
        <f t="shared" ca="1" si="240"/>
        <v/>
      </c>
      <c r="UU58" s="24" t="str">
        <f t="shared" ca="1" si="240"/>
        <v/>
      </c>
      <c r="UV58" s="24" t="str">
        <f t="shared" ca="1" si="240"/>
        <v/>
      </c>
      <c r="UW58" s="24" t="str">
        <f t="shared" ca="1" si="240"/>
        <v/>
      </c>
      <c r="UX58" s="24" t="str">
        <f t="shared" ref="UX58:VG68" ca="1" si="241">IF(AND($C58="Goal",UX$7&gt;=$F58,UX$7&lt;=$F58+$H58-1),2,IF(AND($C58="Milestone",UX$7&gt;=$F58,UX$7&lt;=$F58+$H58-1),1,""))</f>
        <v/>
      </c>
      <c r="UY58" s="24" t="str">
        <f t="shared" ca="1" si="241"/>
        <v/>
      </c>
      <c r="UZ58" s="24" t="str">
        <f t="shared" ca="1" si="241"/>
        <v/>
      </c>
      <c r="VA58" s="24" t="str">
        <f t="shared" ca="1" si="241"/>
        <v/>
      </c>
      <c r="VB58" s="24" t="str">
        <f t="shared" ca="1" si="241"/>
        <v/>
      </c>
      <c r="VC58" s="24" t="str">
        <f t="shared" ca="1" si="241"/>
        <v/>
      </c>
      <c r="VD58" s="24" t="str">
        <f t="shared" ca="1" si="241"/>
        <v/>
      </c>
      <c r="VE58" s="24" t="str">
        <f t="shared" ca="1" si="241"/>
        <v/>
      </c>
      <c r="VF58" s="24" t="str">
        <f t="shared" ca="1" si="241"/>
        <v/>
      </c>
      <c r="VG58" s="24" t="str">
        <f t="shared" ca="1" si="241"/>
        <v/>
      </c>
      <c r="VH58" s="24" t="str">
        <f t="shared" ref="VH58:VS68" ca="1" si="242">IF(AND($C58="Goal",VH$7&gt;=$F58,VH$7&lt;=$F58+$H58-1),2,IF(AND($C58="Milestone",VH$7&gt;=$F58,VH$7&lt;=$F58+$H58-1),1,""))</f>
        <v/>
      </c>
      <c r="VI58" s="24" t="str">
        <f t="shared" ca="1" si="242"/>
        <v/>
      </c>
      <c r="VJ58" s="24" t="str">
        <f t="shared" ca="1" si="242"/>
        <v/>
      </c>
      <c r="VK58" s="24" t="str">
        <f t="shared" ca="1" si="242"/>
        <v/>
      </c>
      <c r="VL58" s="24" t="str">
        <f t="shared" ca="1" si="242"/>
        <v/>
      </c>
      <c r="VM58" s="24" t="str">
        <f t="shared" ca="1" si="242"/>
        <v/>
      </c>
      <c r="VN58" s="24" t="str">
        <f t="shared" ca="1" si="242"/>
        <v/>
      </c>
      <c r="VO58" s="24" t="str">
        <f t="shared" ca="1" si="242"/>
        <v/>
      </c>
      <c r="VP58" s="24" t="str">
        <f t="shared" ca="1" si="242"/>
        <v/>
      </c>
      <c r="VQ58" s="24" t="str">
        <f t="shared" ca="1" si="242"/>
        <v/>
      </c>
      <c r="VR58" s="24" t="str">
        <f t="shared" ca="1" si="242"/>
        <v/>
      </c>
      <c r="VS58" s="24" t="str">
        <f t="shared" ca="1" si="242"/>
        <v/>
      </c>
    </row>
    <row r="59" spans="1:591" s="17" customFormat="1" ht="21.6" customHeight="1" x14ac:dyDescent="0.3">
      <c r="A59" s="81"/>
      <c r="B59" s="28" t="s">
        <v>92</v>
      </c>
      <c r="C59" s="19" t="s">
        <v>74</v>
      </c>
      <c r="D59" s="19"/>
      <c r="E59" s="27"/>
      <c r="F59" s="26">
        <f>F58+15</f>
        <v>46028</v>
      </c>
      <c r="G59" s="26">
        <f>Milestones43524[[#This Row],[Start]]+Milestones43524[[#This Row],[Days]]</f>
        <v>46034</v>
      </c>
      <c r="H59" s="25">
        <v>6</v>
      </c>
      <c r="I59" s="19"/>
      <c r="J59" s="24" t="str">
        <f t="shared" ca="1" si="185"/>
        <v/>
      </c>
      <c r="K59" s="24" t="str">
        <f t="shared" ca="1" si="185"/>
        <v/>
      </c>
      <c r="L59" s="24" t="str">
        <f t="shared" ca="1" si="185"/>
        <v/>
      </c>
      <c r="M59" s="24" t="str">
        <f t="shared" ca="1" si="185"/>
        <v/>
      </c>
      <c r="N59" s="24" t="str">
        <f t="shared" ca="1" si="185"/>
        <v/>
      </c>
      <c r="O59" s="24" t="str">
        <f t="shared" ca="1" si="185"/>
        <v/>
      </c>
      <c r="P59" s="24" t="str">
        <f t="shared" ca="1" si="185"/>
        <v/>
      </c>
      <c r="Q59" s="24" t="str">
        <f t="shared" ca="1" si="185"/>
        <v/>
      </c>
      <c r="R59" s="24" t="str">
        <f t="shared" ca="1" si="185"/>
        <v/>
      </c>
      <c r="S59" s="24" t="str">
        <f t="shared" ca="1" si="185"/>
        <v/>
      </c>
      <c r="T59" s="24" t="str">
        <f t="shared" ca="1" si="186"/>
        <v/>
      </c>
      <c r="U59" s="24" t="str">
        <f t="shared" ca="1" si="186"/>
        <v/>
      </c>
      <c r="V59" s="24" t="str">
        <f t="shared" ca="1" si="186"/>
        <v/>
      </c>
      <c r="W59" s="24" t="str">
        <f t="shared" ca="1" si="186"/>
        <v/>
      </c>
      <c r="X59" s="24" t="str">
        <f t="shared" ca="1" si="186"/>
        <v/>
      </c>
      <c r="Y59" s="24" t="str">
        <f t="shared" ca="1" si="186"/>
        <v/>
      </c>
      <c r="Z59" s="24" t="str">
        <f t="shared" ca="1" si="186"/>
        <v/>
      </c>
      <c r="AA59" s="24" t="str">
        <f t="shared" ca="1" si="186"/>
        <v/>
      </c>
      <c r="AB59" s="24" t="str">
        <f t="shared" ca="1" si="186"/>
        <v/>
      </c>
      <c r="AC59" s="24" t="str">
        <f t="shared" ca="1" si="186"/>
        <v/>
      </c>
      <c r="AD59" s="24" t="str">
        <f t="shared" ca="1" si="187"/>
        <v/>
      </c>
      <c r="AE59" s="24" t="str">
        <f t="shared" ca="1" si="187"/>
        <v/>
      </c>
      <c r="AF59" s="24" t="str">
        <f t="shared" ca="1" si="187"/>
        <v/>
      </c>
      <c r="AG59" s="24" t="str">
        <f t="shared" ca="1" si="187"/>
        <v/>
      </c>
      <c r="AH59" s="24" t="str">
        <f t="shared" ca="1" si="187"/>
        <v/>
      </c>
      <c r="AI59" s="24" t="str">
        <f t="shared" ca="1" si="187"/>
        <v/>
      </c>
      <c r="AJ59" s="24" t="str">
        <f t="shared" ca="1" si="187"/>
        <v/>
      </c>
      <c r="AK59" s="24" t="str">
        <f t="shared" ca="1" si="187"/>
        <v/>
      </c>
      <c r="AL59" s="24" t="str">
        <f t="shared" ca="1" si="187"/>
        <v/>
      </c>
      <c r="AM59" s="24" t="str">
        <f t="shared" ca="1" si="187"/>
        <v/>
      </c>
      <c r="AN59" s="24" t="str">
        <f t="shared" ca="1" si="188"/>
        <v/>
      </c>
      <c r="AO59" s="24" t="str">
        <f t="shared" ca="1" si="188"/>
        <v/>
      </c>
      <c r="AP59" s="24" t="str">
        <f t="shared" ca="1" si="188"/>
        <v/>
      </c>
      <c r="AQ59" s="24" t="str">
        <f t="shared" ca="1" si="188"/>
        <v/>
      </c>
      <c r="AR59" s="24" t="str">
        <f t="shared" ca="1" si="188"/>
        <v/>
      </c>
      <c r="AS59" s="24" t="str">
        <f t="shared" ca="1" si="188"/>
        <v/>
      </c>
      <c r="AT59" s="24" t="str">
        <f t="shared" ca="1" si="188"/>
        <v/>
      </c>
      <c r="AU59" s="24" t="str">
        <f t="shared" ca="1" si="188"/>
        <v/>
      </c>
      <c r="AV59" s="24" t="str">
        <f t="shared" ca="1" si="188"/>
        <v/>
      </c>
      <c r="AW59" s="24" t="str">
        <f t="shared" ca="1" si="188"/>
        <v/>
      </c>
      <c r="AX59" s="24" t="str">
        <f t="shared" ca="1" si="189"/>
        <v/>
      </c>
      <c r="AY59" s="24" t="str">
        <f t="shared" ca="1" si="189"/>
        <v/>
      </c>
      <c r="AZ59" s="24" t="str">
        <f t="shared" ca="1" si="189"/>
        <v/>
      </c>
      <c r="BA59" s="24" t="str">
        <f t="shared" ca="1" si="189"/>
        <v/>
      </c>
      <c r="BB59" s="24" t="str">
        <f t="shared" ca="1" si="189"/>
        <v/>
      </c>
      <c r="BC59" s="24" t="str">
        <f t="shared" ca="1" si="189"/>
        <v/>
      </c>
      <c r="BD59" s="24" t="str">
        <f t="shared" ca="1" si="189"/>
        <v/>
      </c>
      <c r="BE59" s="24" t="str">
        <f t="shared" ca="1" si="189"/>
        <v/>
      </c>
      <c r="BF59" s="24" t="str">
        <f t="shared" ca="1" si="189"/>
        <v/>
      </c>
      <c r="BG59" s="24" t="str">
        <f t="shared" ca="1" si="189"/>
        <v/>
      </c>
      <c r="BH59" s="24" t="str">
        <f t="shared" ca="1" si="190"/>
        <v/>
      </c>
      <c r="BI59" s="24" t="str">
        <f t="shared" ca="1" si="190"/>
        <v/>
      </c>
      <c r="BJ59" s="24" t="str">
        <f t="shared" ca="1" si="190"/>
        <v/>
      </c>
      <c r="BK59" s="24" t="str">
        <f t="shared" ca="1" si="190"/>
        <v/>
      </c>
      <c r="BL59" s="24" t="str">
        <f t="shared" ca="1" si="190"/>
        <v/>
      </c>
      <c r="BM59" s="24" t="str">
        <f t="shared" ca="1" si="190"/>
        <v/>
      </c>
      <c r="BN59" s="24" t="str">
        <f t="shared" ca="1" si="190"/>
        <v/>
      </c>
      <c r="BO59" s="24" t="str">
        <f t="shared" ca="1" si="190"/>
        <v/>
      </c>
      <c r="BP59" s="24" t="str">
        <f t="shared" ca="1" si="190"/>
        <v/>
      </c>
      <c r="BQ59" s="24" t="str">
        <f t="shared" ca="1" si="190"/>
        <v/>
      </c>
      <c r="BR59" s="24" t="str">
        <f t="shared" ca="1" si="191"/>
        <v/>
      </c>
      <c r="BS59" s="24" t="str">
        <f t="shared" ca="1" si="191"/>
        <v/>
      </c>
      <c r="BT59" s="24" t="str">
        <f t="shared" ca="1" si="191"/>
        <v/>
      </c>
      <c r="BU59" s="24" t="str">
        <f t="shared" ca="1" si="191"/>
        <v/>
      </c>
      <c r="BV59" s="24" t="str">
        <f t="shared" ca="1" si="191"/>
        <v/>
      </c>
      <c r="BW59" s="24" t="str">
        <f t="shared" ca="1" si="191"/>
        <v/>
      </c>
      <c r="BX59" s="24" t="str">
        <f t="shared" ca="1" si="191"/>
        <v/>
      </c>
      <c r="BY59" s="24" t="str">
        <f t="shared" ca="1" si="191"/>
        <v/>
      </c>
      <c r="BZ59" s="24" t="str">
        <f t="shared" ca="1" si="191"/>
        <v/>
      </c>
      <c r="CA59" s="24" t="str">
        <f t="shared" ca="1" si="191"/>
        <v/>
      </c>
      <c r="CB59" s="24" t="str">
        <f t="shared" ca="1" si="192"/>
        <v/>
      </c>
      <c r="CC59" s="24" t="str">
        <f t="shared" ca="1" si="192"/>
        <v/>
      </c>
      <c r="CD59" s="24" t="str">
        <f t="shared" ca="1" si="192"/>
        <v/>
      </c>
      <c r="CE59" s="24" t="str">
        <f t="shared" ca="1" si="192"/>
        <v/>
      </c>
      <c r="CF59" s="24" t="str">
        <f t="shared" ca="1" si="192"/>
        <v/>
      </c>
      <c r="CG59" s="24" t="str">
        <f t="shared" ca="1" si="192"/>
        <v/>
      </c>
      <c r="CH59" s="24" t="str">
        <f t="shared" ca="1" si="192"/>
        <v/>
      </c>
      <c r="CI59" s="24" t="str">
        <f t="shared" ca="1" si="192"/>
        <v/>
      </c>
      <c r="CJ59" s="24" t="str">
        <f t="shared" ca="1" si="192"/>
        <v/>
      </c>
      <c r="CK59" s="24" t="str">
        <f t="shared" ca="1" si="192"/>
        <v/>
      </c>
      <c r="CL59" s="24" t="str">
        <f t="shared" ca="1" si="193"/>
        <v/>
      </c>
      <c r="CM59" s="24" t="str">
        <f t="shared" ca="1" si="193"/>
        <v/>
      </c>
      <c r="CN59" s="24" t="str">
        <f t="shared" ca="1" si="193"/>
        <v/>
      </c>
      <c r="CO59" s="24" t="str">
        <f t="shared" ca="1" si="193"/>
        <v/>
      </c>
      <c r="CP59" s="24" t="str">
        <f t="shared" ca="1" si="193"/>
        <v/>
      </c>
      <c r="CQ59" s="24" t="str">
        <f t="shared" ca="1" si="193"/>
        <v/>
      </c>
      <c r="CR59" s="24" t="str">
        <f t="shared" ca="1" si="193"/>
        <v/>
      </c>
      <c r="CS59" s="24" t="str">
        <f t="shared" ca="1" si="193"/>
        <v/>
      </c>
      <c r="CT59" s="24" t="str">
        <f t="shared" ca="1" si="193"/>
        <v/>
      </c>
      <c r="CU59" s="24" t="str">
        <f t="shared" ca="1" si="193"/>
        <v/>
      </c>
      <c r="CV59" s="24" t="str">
        <f t="shared" ca="1" si="194"/>
        <v/>
      </c>
      <c r="CW59" s="24" t="str">
        <f t="shared" ca="1" si="194"/>
        <v/>
      </c>
      <c r="CX59" s="24" t="str">
        <f t="shared" ca="1" si="194"/>
        <v/>
      </c>
      <c r="CY59" s="24" t="str">
        <f t="shared" ca="1" si="194"/>
        <v/>
      </c>
      <c r="CZ59" s="24" t="str">
        <f t="shared" ca="1" si="194"/>
        <v/>
      </c>
      <c r="DA59" s="24" t="str">
        <f t="shared" ca="1" si="194"/>
        <v/>
      </c>
      <c r="DB59" s="24" t="str">
        <f t="shared" ca="1" si="194"/>
        <v/>
      </c>
      <c r="DC59" s="24" t="str">
        <f t="shared" ca="1" si="194"/>
        <v/>
      </c>
      <c r="DD59" s="24" t="str">
        <f t="shared" ca="1" si="194"/>
        <v/>
      </c>
      <c r="DE59" s="24" t="str">
        <f t="shared" ca="1" si="194"/>
        <v/>
      </c>
      <c r="DF59" s="24" t="str">
        <f t="shared" ca="1" si="195"/>
        <v/>
      </c>
      <c r="DG59" s="24" t="str">
        <f t="shared" ca="1" si="195"/>
        <v/>
      </c>
      <c r="DH59" s="24" t="str">
        <f t="shared" ca="1" si="195"/>
        <v/>
      </c>
      <c r="DI59" s="24" t="str">
        <f t="shared" ca="1" si="195"/>
        <v/>
      </c>
      <c r="DJ59" s="24" t="str">
        <f t="shared" ca="1" si="195"/>
        <v/>
      </c>
      <c r="DK59" s="24" t="str">
        <f t="shared" ca="1" si="195"/>
        <v/>
      </c>
      <c r="DL59" s="24" t="str">
        <f t="shared" ca="1" si="195"/>
        <v/>
      </c>
      <c r="DM59" s="24" t="str">
        <f t="shared" ca="1" si="195"/>
        <v/>
      </c>
      <c r="DN59" s="24" t="str">
        <f t="shared" ca="1" si="195"/>
        <v/>
      </c>
      <c r="DO59" s="24" t="str">
        <f t="shared" ca="1" si="195"/>
        <v/>
      </c>
      <c r="DP59" s="24" t="str">
        <f t="shared" ca="1" si="196"/>
        <v/>
      </c>
      <c r="DQ59" s="24" t="str">
        <f t="shared" ca="1" si="196"/>
        <v/>
      </c>
      <c r="DR59" s="24" t="str">
        <f t="shared" ca="1" si="196"/>
        <v/>
      </c>
      <c r="DS59" s="24" t="str">
        <f t="shared" ca="1" si="196"/>
        <v/>
      </c>
      <c r="DT59" s="24" t="str">
        <f t="shared" ca="1" si="196"/>
        <v/>
      </c>
      <c r="DU59" s="24" t="str">
        <f t="shared" ca="1" si="196"/>
        <v/>
      </c>
      <c r="DV59" s="24" t="str">
        <f t="shared" ca="1" si="196"/>
        <v/>
      </c>
      <c r="DW59" s="24" t="str">
        <f t="shared" ca="1" si="196"/>
        <v/>
      </c>
      <c r="DX59" s="24" t="str">
        <f t="shared" ca="1" si="196"/>
        <v/>
      </c>
      <c r="DY59" s="24" t="str">
        <f t="shared" ca="1" si="196"/>
        <v/>
      </c>
      <c r="DZ59" s="24" t="str">
        <f t="shared" ca="1" si="197"/>
        <v/>
      </c>
      <c r="EA59" s="24" t="str">
        <f t="shared" ca="1" si="197"/>
        <v/>
      </c>
      <c r="EB59" s="24" t="str">
        <f t="shared" ca="1" si="197"/>
        <v/>
      </c>
      <c r="EC59" s="24" t="str">
        <f t="shared" ca="1" si="197"/>
        <v/>
      </c>
      <c r="ED59" s="24" t="str">
        <f t="shared" ca="1" si="197"/>
        <v/>
      </c>
      <c r="EE59" s="24" t="str">
        <f t="shared" ca="1" si="197"/>
        <v/>
      </c>
      <c r="EF59" s="24" t="str">
        <f t="shared" ca="1" si="197"/>
        <v/>
      </c>
      <c r="EG59" s="24" t="str">
        <f t="shared" ca="1" si="197"/>
        <v/>
      </c>
      <c r="EH59" s="24" t="str">
        <f t="shared" ca="1" si="197"/>
        <v/>
      </c>
      <c r="EI59" s="24" t="str">
        <f t="shared" ca="1" si="197"/>
        <v/>
      </c>
      <c r="EJ59" s="24" t="str">
        <f t="shared" ca="1" si="198"/>
        <v/>
      </c>
      <c r="EK59" s="24" t="str">
        <f t="shared" ca="1" si="198"/>
        <v/>
      </c>
      <c r="EL59" s="24" t="str">
        <f t="shared" ca="1" si="198"/>
        <v/>
      </c>
      <c r="EM59" s="24" t="str">
        <f t="shared" ca="1" si="198"/>
        <v/>
      </c>
      <c r="EN59" s="24" t="str">
        <f t="shared" ca="1" si="198"/>
        <v/>
      </c>
      <c r="EO59" s="24" t="str">
        <f t="shared" ca="1" si="198"/>
        <v/>
      </c>
      <c r="EP59" s="24" t="str">
        <f t="shared" ca="1" si="198"/>
        <v/>
      </c>
      <c r="EQ59" s="24" t="str">
        <f t="shared" ca="1" si="198"/>
        <v/>
      </c>
      <c r="ER59" s="24" t="str">
        <f t="shared" ca="1" si="198"/>
        <v/>
      </c>
      <c r="ES59" s="24" t="str">
        <f t="shared" ca="1" si="198"/>
        <v/>
      </c>
      <c r="ET59" s="24" t="str">
        <f t="shared" ca="1" si="199"/>
        <v/>
      </c>
      <c r="EU59" s="24" t="str">
        <f t="shared" ca="1" si="199"/>
        <v/>
      </c>
      <c r="EV59" s="24" t="str">
        <f t="shared" ca="1" si="199"/>
        <v/>
      </c>
      <c r="EW59" s="24" t="str">
        <f t="shared" ca="1" si="199"/>
        <v/>
      </c>
      <c r="EX59" s="24" t="str">
        <f t="shared" ca="1" si="199"/>
        <v/>
      </c>
      <c r="EY59" s="24" t="str">
        <f t="shared" ca="1" si="199"/>
        <v/>
      </c>
      <c r="EZ59" s="24" t="str">
        <f t="shared" ca="1" si="199"/>
        <v/>
      </c>
      <c r="FA59" s="24" t="str">
        <f t="shared" ca="1" si="199"/>
        <v/>
      </c>
      <c r="FB59" s="24" t="str">
        <f t="shared" ca="1" si="199"/>
        <v/>
      </c>
      <c r="FC59" s="24" t="str">
        <f t="shared" ca="1" si="199"/>
        <v/>
      </c>
      <c r="FD59" s="24" t="str">
        <f t="shared" ca="1" si="200"/>
        <v/>
      </c>
      <c r="FE59" s="24" t="str">
        <f t="shared" ca="1" si="200"/>
        <v/>
      </c>
      <c r="FF59" s="24" t="str">
        <f t="shared" ca="1" si="200"/>
        <v/>
      </c>
      <c r="FG59" s="24" t="str">
        <f t="shared" ca="1" si="200"/>
        <v/>
      </c>
      <c r="FH59" s="24" t="str">
        <f t="shared" ca="1" si="200"/>
        <v/>
      </c>
      <c r="FI59" s="24" t="str">
        <f t="shared" ca="1" si="200"/>
        <v/>
      </c>
      <c r="FJ59" s="24" t="str">
        <f t="shared" ca="1" si="200"/>
        <v/>
      </c>
      <c r="FK59" s="24" t="str">
        <f t="shared" ca="1" si="200"/>
        <v/>
      </c>
      <c r="FL59" s="24" t="str">
        <f t="shared" ca="1" si="200"/>
        <v/>
      </c>
      <c r="FM59" s="24" t="str">
        <f t="shared" ca="1" si="200"/>
        <v/>
      </c>
      <c r="FN59" s="24" t="str">
        <f t="shared" ca="1" si="201"/>
        <v/>
      </c>
      <c r="FO59" s="24" t="str">
        <f t="shared" ca="1" si="201"/>
        <v/>
      </c>
      <c r="FP59" s="24" t="str">
        <f t="shared" ca="1" si="201"/>
        <v/>
      </c>
      <c r="FQ59" s="24" t="str">
        <f t="shared" ca="1" si="201"/>
        <v/>
      </c>
      <c r="FR59" s="24" t="str">
        <f t="shared" ca="1" si="201"/>
        <v/>
      </c>
      <c r="FS59" s="24" t="str">
        <f t="shared" ca="1" si="201"/>
        <v/>
      </c>
      <c r="FT59" s="24" t="str">
        <f t="shared" ca="1" si="201"/>
        <v/>
      </c>
      <c r="FU59" s="24" t="str">
        <f t="shared" ca="1" si="201"/>
        <v/>
      </c>
      <c r="FV59" s="24" t="str">
        <f t="shared" ca="1" si="201"/>
        <v/>
      </c>
      <c r="FW59" s="24" t="str">
        <f t="shared" ca="1" si="201"/>
        <v/>
      </c>
      <c r="FX59" s="24" t="str">
        <f t="shared" ca="1" si="202"/>
        <v/>
      </c>
      <c r="FY59" s="24" t="str">
        <f t="shared" ca="1" si="202"/>
        <v/>
      </c>
      <c r="FZ59" s="24" t="str">
        <f t="shared" ca="1" si="202"/>
        <v/>
      </c>
      <c r="GA59" s="24" t="str">
        <f t="shared" ca="1" si="202"/>
        <v/>
      </c>
      <c r="GB59" s="24" t="str">
        <f t="shared" ca="1" si="202"/>
        <v/>
      </c>
      <c r="GC59" s="24" t="str">
        <f t="shared" ca="1" si="202"/>
        <v/>
      </c>
      <c r="GD59" s="24" t="str">
        <f t="shared" ca="1" si="202"/>
        <v/>
      </c>
      <c r="GE59" s="24" t="str">
        <f t="shared" ca="1" si="202"/>
        <v/>
      </c>
      <c r="GF59" s="24" t="str">
        <f t="shared" ca="1" si="202"/>
        <v/>
      </c>
      <c r="GG59" s="24" t="str">
        <f t="shared" ca="1" si="202"/>
        <v/>
      </c>
      <c r="GH59" s="24" t="str">
        <f t="shared" ca="1" si="203"/>
        <v/>
      </c>
      <c r="GI59" s="24" t="str">
        <f t="shared" ca="1" si="203"/>
        <v/>
      </c>
      <c r="GJ59" s="24" t="str">
        <f t="shared" ca="1" si="203"/>
        <v/>
      </c>
      <c r="GK59" s="24" t="str">
        <f t="shared" ca="1" si="203"/>
        <v/>
      </c>
      <c r="GL59" s="24" t="str">
        <f t="shared" ca="1" si="203"/>
        <v/>
      </c>
      <c r="GM59" s="24" t="str">
        <f t="shared" ca="1" si="203"/>
        <v/>
      </c>
      <c r="GN59" s="24" t="str">
        <f t="shared" ca="1" si="203"/>
        <v/>
      </c>
      <c r="GO59" s="24" t="str">
        <f t="shared" ca="1" si="203"/>
        <v/>
      </c>
      <c r="GP59" s="24" t="str">
        <f t="shared" ca="1" si="203"/>
        <v/>
      </c>
      <c r="GQ59" s="24" t="str">
        <f t="shared" ca="1" si="203"/>
        <v/>
      </c>
      <c r="GR59" s="24" t="str">
        <f t="shared" ca="1" si="204"/>
        <v/>
      </c>
      <c r="GS59" s="24" t="str">
        <f t="shared" ca="1" si="204"/>
        <v/>
      </c>
      <c r="GT59" s="24" t="str">
        <f t="shared" ca="1" si="204"/>
        <v/>
      </c>
      <c r="GU59" s="24" t="str">
        <f t="shared" ca="1" si="204"/>
        <v/>
      </c>
      <c r="GV59" s="24" t="str">
        <f t="shared" ca="1" si="204"/>
        <v/>
      </c>
      <c r="GW59" s="24" t="str">
        <f t="shared" ca="1" si="204"/>
        <v/>
      </c>
      <c r="GX59" s="24" t="str">
        <f t="shared" ca="1" si="204"/>
        <v/>
      </c>
      <c r="GY59" s="24" t="str">
        <f t="shared" ca="1" si="204"/>
        <v/>
      </c>
      <c r="GZ59" s="24" t="str">
        <f t="shared" ca="1" si="204"/>
        <v/>
      </c>
      <c r="HA59" s="24" t="str">
        <f t="shared" ca="1" si="204"/>
        <v/>
      </c>
      <c r="HB59" s="24" t="str">
        <f t="shared" ca="1" si="205"/>
        <v/>
      </c>
      <c r="HC59" s="24" t="str">
        <f t="shared" ca="1" si="205"/>
        <v/>
      </c>
      <c r="HD59" s="24" t="str">
        <f t="shared" ca="1" si="205"/>
        <v/>
      </c>
      <c r="HE59" s="24" t="str">
        <f t="shared" ca="1" si="205"/>
        <v/>
      </c>
      <c r="HF59" s="24" t="str">
        <f t="shared" ca="1" si="205"/>
        <v/>
      </c>
      <c r="HG59" s="24" t="str">
        <f t="shared" ca="1" si="205"/>
        <v/>
      </c>
      <c r="HH59" s="24" t="str">
        <f t="shared" ca="1" si="205"/>
        <v/>
      </c>
      <c r="HI59" s="24" t="str">
        <f t="shared" ca="1" si="205"/>
        <v/>
      </c>
      <c r="HJ59" s="24" t="str">
        <f t="shared" ca="1" si="205"/>
        <v/>
      </c>
      <c r="HK59" s="24" t="str">
        <f t="shared" ca="1" si="205"/>
        <v/>
      </c>
      <c r="HL59" s="24" t="str">
        <f t="shared" ca="1" si="206"/>
        <v/>
      </c>
      <c r="HM59" s="24" t="str">
        <f t="shared" ca="1" si="206"/>
        <v/>
      </c>
      <c r="HN59" s="24" t="str">
        <f t="shared" ca="1" si="206"/>
        <v/>
      </c>
      <c r="HO59" s="24" t="str">
        <f t="shared" ca="1" si="206"/>
        <v/>
      </c>
      <c r="HP59" s="24" t="str">
        <f t="shared" ca="1" si="206"/>
        <v/>
      </c>
      <c r="HQ59" s="24" t="str">
        <f t="shared" ca="1" si="206"/>
        <v/>
      </c>
      <c r="HR59" s="24" t="str">
        <f t="shared" ca="1" si="206"/>
        <v/>
      </c>
      <c r="HS59" s="24" t="str">
        <f t="shared" ca="1" si="206"/>
        <v/>
      </c>
      <c r="HT59" s="24" t="str">
        <f t="shared" ca="1" si="206"/>
        <v/>
      </c>
      <c r="HU59" s="24" t="str">
        <f t="shared" ca="1" si="206"/>
        <v/>
      </c>
      <c r="HV59" s="24" t="str">
        <f t="shared" ca="1" si="207"/>
        <v/>
      </c>
      <c r="HW59" s="24" t="str">
        <f t="shared" ca="1" si="207"/>
        <v/>
      </c>
      <c r="HX59" s="24" t="str">
        <f t="shared" ca="1" si="207"/>
        <v/>
      </c>
      <c r="HY59" s="24" t="str">
        <f t="shared" ca="1" si="207"/>
        <v/>
      </c>
      <c r="HZ59" s="24" t="str">
        <f t="shared" ca="1" si="207"/>
        <v/>
      </c>
      <c r="IA59" s="24" t="str">
        <f t="shared" ca="1" si="207"/>
        <v/>
      </c>
      <c r="IB59" s="24" t="str">
        <f t="shared" ca="1" si="207"/>
        <v/>
      </c>
      <c r="IC59" s="24" t="str">
        <f t="shared" ca="1" si="207"/>
        <v/>
      </c>
      <c r="ID59" s="24" t="str">
        <f t="shared" ca="1" si="207"/>
        <v/>
      </c>
      <c r="IE59" s="24" t="str">
        <f t="shared" ca="1" si="207"/>
        <v/>
      </c>
      <c r="IF59" s="24" t="str">
        <f t="shared" ca="1" si="208"/>
        <v/>
      </c>
      <c r="IG59" s="24" t="str">
        <f t="shared" ca="1" si="208"/>
        <v/>
      </c>
      <c r="IH59" s="24" t="str">
        <f t="shared" ca="1" si="208"/>
        <v/>
      </c>
      <c r="II59" s="24" t="str">
        <f t="shared" ca="1" si="208"/>
        <v/>
      </c>
      <c r="IJ59" s="24" t="str">
        <f t="shared" ca="1" si="208"/>
        <v/>
      </c>
      <c r="IK59" s="24" t="str">
        <f t="shared" ca="1" si="208"/>
        <v/>
      </c>
      <c r="IL59" s="24" t="str">
        <f t="shared" ca="1" si="208"/>
        <v/>
      </c>
      <c r="IM59" s="24" t="str">
        <f t="shared" ca="1" si="208"/>
        <v/>
      </c>
      <c r="IN59" s="24" t="str">
        <f t="shared" ca="1" si="208"/>
        <v/>
      </c>
      <c r="IO59" s="24" t="str">
        <f t="shared" ca="1" si="208"/>
        <v/>
      </c>
      <c r="IP59" s="24" t="str">
        <f t="shared" ca="1" si="209"/>
        <v/>
      </c>
      <c r="IQ59" s="24" t="str">
        <f t="shared" ca="1" si="209"/>
        <v/>
      </c>
      <c r="IR59" s="24" t="str">
        <f t="shared" ca="1" si="209"/>
        <v/>
      </c>
      <c r="IS59" s="24" t="str">
        <f t="shared" ca="1" si="209"/>
        <v/>
      </c>
      <c r="IT59" s="24" t="str">
        <f t="shared" ca="1" si="209"/>
        <v/>
      </c>
      <c r="IU59" s="24" t="str">
        <f t="shared" ca="1" si="209"/>
        <v/>
      </c>
      <c r="IV59" s="24" t="str">
        <f t="shared" ca="1" si="209"/>
        <v/>
      </c>
      <c r="IW59" s="24" t="str">
        <f t="shared" ca="1" si="209"/>
        <v/>
      </c>
      <c r="IX59" s="24" t="str">
        <f t="shared" ca="1" si="209"/>
        <v/>
      </c>
      <c r="IY59" s="24" t="str">
        <f t="shared" ca="1" si="209"/>
        <v/>
      </c>
      <c r="IZ59" s="24" t="str">
        <f t="shared" ca="1" si="210"/>
        <v/>
      </c>
      <c r="JA59" s="24" t="str">
        <f t="shared" ca="1" si="210"/>
        <v/>
      </c>
      <c r="JB59" s="24" t="str">
        <f t="shared" ca="1" si="210"/>
        <v/>
      </c>
      <c r="JC59" s="24" t="str">
        <f t="shared" ca="1" si="210"/>
        <v/>
      </c>
      <c r="JD59" s="24" t="str">
        <f t="shared" ca="1" si="210"/>
        <v/>
      </c>
      <c r="JE59" s="24" t="str">
        <f t="shared" ca="1" si="210"/>
        <v/>
      </c>
      <c r="JF59" s="24" t="str">
        <f t="shared" ca="1" si="210"/>
        <v/>
      </c>
      <c r="JG59" s="24" t="str">
        <f t="shared" ca="1" si="210"/>
        <v/>
      </c>
      <c r="JH59" s="24" t="str">
        <f t="shared" ca="1" si="210"/>
        <v/>
      </c>
      <c r="JI59" s="24" t="str">
        <f t="shared" ca="1" si="210"/>
        <v/>
      </c>
      <c r="JJ59" s="24" t="str">
        <f t="shared" ca="1" si="211"/>
        <v/>
      </c>
      <c r="JK59" s="24" t="str">
        <f t="shared" ca="1" si="211"/>
        <v/>
      </c>
      <c r="JL59" s="24" t="str">
        <f t="shared" ca="1" si="211"/>
        <v/>
      </c>
      <c r="JM59" s="24" t="str">
        <f t="shared" ca="1" si="211"/>
        <v/>
      </c>
      <c r="JN59" s="24" t="str">
        <f t="shared" ca="1" si="211"/>
        <v/>
      </c>
      <c r="JO59" s="24" t="str">
        <f t="shared" ca="1" si="211"/>
        <v/>
      </c>
      <c r="JP59" s="24" t="str">
        <f t="shared" ca="1" si="211"/>
        <v/>
      </c>
      <c r="JQ59" s="24" t="str">
        <f t="shared" ca="1" si="211"/>
        <v/>
      </c>
      <c r="JR59" s="24" t="str">
        <f t="shared" ca="1" si="211"/>
        <v/>
      </c>
      <c r="JS59" s="24" t="str">
        <f t="shared" ca="1" si="211"/>
        <v/>
      </c>
      <c r="JT59" s="24" t="str">
        <f t="shared" ca="1" si="212"/>
        <v/>
      </c>
      <c r="JU59" s="24" t="str">
        <f t="shared" ca="1" si="212"/>
        <v/>
      </c>
      <c r="JV59" s="24" t="str">
        <f t="shared" ca="1" si="212"/>
        <v/>
      </c>
      <c r="JW59" s="24" t="str">
        <f t="shared" ca="1" si="212"/>
        <v/>
      </c>
      <c r="JX59" s="24" t="str">
        <f t="shared" ca="1" si="212"/>
        <v/>
      </c>
      <c r="JY59" s="24" t="str">
        <f t="shared" ca="1" si="212"/>
        <v/>
      </c>
      <c r="JZ59" s="24" t="str">
        <f t="shared" ca="1" si="212"/>
        <v/>
      </c>
      <c r="KA59" s="24" t="str">
        <f t="shared" ca="1" si="212"/>
        <v/>
      </c>
      <c r="KB59" s="24" t="str">
        <f t="shared" ca="1" si="212"/>
        <v/>
      </c>
      <c r="KC59" s="24" t="str">
        <f t="shared" ca="1" si="212"/>
        <v/>
      </c>
      <c r="KD59" s="24" t="str">
        <f t="shared" ca="1" si="213"/>
        <v/>
      </c>
      <c r="KE59" s="24" t="str">
        <f t="shared" ca="1" si="213"/>
        <v/>
      </c>
      <c r="KF59" s="24" t="str">
        <f t="shared" ca="1" si="213"/>
        <v/>
      </c>
      <c r="KG59" s="24" t="str">
        <f t="shared" ca="1" si="213"/>
        <v/>
      </c>
      <c r="KH59" s="24" t="str">
        <f t="shared" ca="1" si="213"/>
        <v/>
      </c>
      <c r="KI59" s="24" t="str">
        <f t="shared" ca="1" si="213"/>
        <v/>
      </c>
      <c r="KJ59" s="24" t="str">
        <f t="shared" ca="1" si="213"/>
        <v/>
      </c>
      <c r="KK59" s="24" t="str">
        <f t="shared" ca="1" si="213"/>
        <v/>
      </c>
      <c r="KL59" s="24" t="str">
        <f t="shared" ca="1" si="213"/>
        <v/>
      </c>
      <c r="KM59" s="24" t="str">
        <f t="shared" ca="1" si="213"/>
        <v/>
      </c>
      <c r="KN59" s="24" t="str">
        <f t="shared" ca="1" si="214"/>
        <v/>
      </c>
      <c r="KO59" s="24" t="str">
        <f t="shared" ca="1" si="214"/>
        <v/>
      </c>
      <c r="KP59" s="24" t="str">
        <f t="shared" ca="1" si="214"/>
        <v/>
      </c>
      <c r="KQ59" s="24" t="str">
        <f t="shared" ca="1" si="214"/>
        <v/>
      </c>
      <c r="KR59" s="24" t="str">
        <f t="shared" ca="1" si="214"/>
        <v/>
      </c>
      <c r="KS59" s="24" t="str">
        <f t="shared" ca="1" si="214"/>
        <v/>
      </c>
      <c r="KT59" s="24" t="str">
        <f t="shared" ca="1" si="214"/>
        <v/>
      </c>
      <c r="KU59" s="24" t="str">
        <f t="shared" ca="1" si="214"/>
        <v/>
      </c>
      <c r="KV59" s="24" t="str">
        <f t="shared" ca="1" si="214"/>
        <v/>
      </c>
      <c r="KW59" s="24" t="str">
        <f t="shared" ca="1" si="214"/>
        <v/>
      </c>
      <c r="KX59" s="24" t="str">
        <f t="shared" ca="1" si="215"/>
        <v/>
      </c>
      <c r="KY59" s="24" t="str">
        <f t="shared" ca="1" si="215"/>
        <v/>
      </c>
      <c r="KZ59" s="24" t="str">
        <f t="shared" ca="1" si="215"/>
        <v/>
      </c>
      <c r="LA59" s="24" t="str">
        <f t="shared" ca="1" si="215"/>
        <v/>
      </c>
      <c r="LB59" s="24" t="str">
        <f t="shared" ca="1" si="215"/>
        <v/>
      </c>
      <c r="LC59" s="24" t="str">
        <f t="shared" ca="1" si="215"/>
        <v/>
      </c>
      <c r="LD59" s="24" t="str">
        <f t="shared" ca="1" si="215"/>
        <v/>
      </c>
      <c r="LE59" s="24" t="str">
        <f t="shared" ca="1" si="215"/>
        <v/>
      </c>
      <c r="LF59" s="24" t="str">
        <f t="shared" ca="1" si="215"/>
        <v/>
      </c>
      <c r="LG59" s="24" t="str">
        <f t="shared" ca="1" si="215"/>
        <v/>
      </c>
      <c r="LH59" s="24" t="str">
        <f t="shared" ca="1" si="216"/>
        <v/>
      </c>
      <c r="LI59" s="24" t="str">
        <f t="shared" ca="1" si="216"/>
        <v/>
      </c>
      <c r="LJ59" s="24" t="str">
        <f t="shared" ca="1" si="216"/>
        <v/>
      </c>
      <c r="LK59" s="24" t="str">
        <f t="shared" ca="1" si="216"/>
        <v/>
      </c>
      <c r="LL59" s="24" t="str">
        <f t="shared" ca="1" si="216"/>
        <v/>
      </c>
      <c r="LM59" s="24" t="str">
        <f t="shared" ca="1" si="216"/>
        <v/>
      </c>
      <c r="LN59" s="24" t="str">
        <f t="shared" ca="1" si="216"/>
        <v/>
      </c>
      <c r="LO59" s="24" t="str">
        <f t="shared" ca="1" si="216"/>
        <v/>
      </c>
      <c r="LP59" s="24" t="str">
        <f t="shared" ca="1" si="216"/>
        <v/>
      </c>
      <c r="LQ59" s="24" t="str">
        <f t="shared" ca="1" si="216"/>
        <v/>
      </c>
      <c r="LR59" s="24" t="str">
        <f t="shared" ca="1" si="217"/>
        <v/>
      </c>
      <c r="LS59" s="24" t="str">
        <f t="shared" ca="1" si="217"/>
        <v/>
      </c>
      <c r="LT59" s="24" t="str">
        <f t="shared" ca="1" si="217"/>
        <v/>
      </c>
      <c r="LU59" s="24" t="str">
        <f t="shared" ca="1" si="217"/>
        <v/>
      </c>
      <c r="LV59" s="24" t="str">
        <f t="shared" ca="1" si="217"/>
        <v/>
      </c>
      <c r="LW59" s="24" t="str">
        <f t="shared" ca="1" si="217"/>
        <v/>
      </c>
      <c r="LX59" s="24" t="str">
        <f t="shared" ca="1" si="217"/>
        <v/>
      </c>
      <c r="LY59" s="24" t="str">
        <f t="shared" ca="1" si="217"/>
        <v/>
      </c>
      <c r="LZ59" s="24" t="str">
        <f t="shared" ca="1" si="217"/>
        <v/>
      </c>
      <c r="MA59" s="24" t="str">
        <f t="shared" ca="1" si="217"/>
        <v/>
      </c>
      <c r="MB59" s="24" t="str">
        <f t="shared" ca="1" si="218"/>
        <v/>
      </c>
      <c r="MC59" s="24" t="str">
        <f t="shared" ca="1" si="218"/>
        <v/>
      </c>
      <c r="MD59" s="24" t="str">
        <f t="shared" ca="1" si="218"/>
        <v/>
      </c>
      <c r="ME59" s="24" t="str">
        <f t="shared" ca="1" si="218"/>
        <v/>
      </c>
      <c r="MF59" s="24" t="str">
        <f t="shared" ca="1" si="218"/>
        <v/>
      </c>
      <c r="MG59" s="24" t="str">
        <f t="shared" ca="1" si="218"/>
        <v/>
      </c>
      <c r="MH59" s="24" t="str">
        <f t="shared" ca="1" si="218"/>
        <v/>
      </c>
      <c r="MI59" s="24" t="str">
        <f t="shared" ca="1" si="218"/>
        <v/>
      </c>
      <c r="MJ59" s="24" t="str">
        <f t="shared" ca="1" si="218"/>
        <v/>
      </c>
      <c r="MK59" s="24" t="str">
        <f t="shared" ca="1" si="218"/>
        <v/>
      </c>
      <c r="ML59" s="24" t="str">
        <f t="shared" ca="1" si="219"/>
        <v/>
      </c>
      <c r="MM59" s="24" t="str">
        <f t="shared" ca="1" si="219"/>
        <v/>
      </c>
      <c r="MN59" s="24" t="str">
        <f t="shared" ca="1" si="219"/>
        <v/>
      </c>
      <c r="MO59" s="24" t="str">
        <f t="shared" ca="1" si="219"/>
        <v/>
      </c>
      <c r="MP59" s="24" t="str">
        <f t="shared" ca="1" si="219"/>
        <v/>
      </c>
      <c r="MQ59" s="24" t="str">
        <f t="shared" ca="1" si="219"/>
        <v/>
      </c>
      <c r="MR59" s="24" t="str">
        <f t="shared" ca="1" si="219"/>
        <v/>
      </c>
      <c r="MS59" s="24" t="str">
        <f t="shared" ca="1" si="219"/>
        <v/>
      </c>
      <c r="MT59" s="24" t="str">
        <f t="shared" ca="1" si="219"/>
        <v/>
      </c>
      <c r="MU59" s="24" t="str">
        <f t="shared" ca="1" si="219"/>
        <v/>
      </c>
      <c r="MV59" s="24" t="str">
        <f t="shared" ca="1" si="220"/>
        <v/>
      </c>
      <c r="MW59" s="24" t="str">
        <f t="shared" ca="1" si="220"/>
        <v/>
      </c>
      <c r="MX59" s="24" t="str">
        <f t="shared" ca="1" si="220"/>
        <v/>
      </c>
      <c r="MY59" s="24" t="str">
        <f t="shared" ca="1" si="220"/>
        <v/>
      </c>
      <c r="MZ59" s="24" t="str">
        <f t="shared" ca="1" si="220"/>
        <v/>
      </c>
      <c r="NA59" s="24" t="str">
        <f t="shared" ca="1" si="220"/>
        <v/>
      </c>
      <c r="NB59" s="24" t="str">
        <f t="shared" ca="1" si="220"/>
        <v/>
      </c>
      <c r="NC59" s="24" t="str">
        <f t="shared" ca="1" si="220"/>
        <v/>
      </c>
      <c r="ND59" s="24" t="str">
        <f t="shared" ca="1" si="220"/>
        <v/>
      </c>
      <c r="NE59" s="24" t="str">
        <f t="shared" ca="1" si="220"/>
        <v/>
      </c>
      <c r="NF59" s="24" t="str">
        <f t="shared" ca="1" si="221"/>
        <v/>
      </c>
      <c r="NG59" s="24" t="str">
        <f t="shared" ca="1" si="221"/>
        <v/>
      </c>
      <c r="NH59" s="24" t="str">
        <f t="shared" ca="1" si="221"/>
        <v/>
      </c>
      <c r="NI59" s="24" t="str">
        <f t="shared" ca="1" si="221"/>
        <v/>
      </c>
      <c r="NJ59" s="24" t="str">
        <f t="shared" ca="1" si="221"/>
        <v/>
      </c>
      <c r="NK59" s="24" t="str">
        <f t="shared" ca="1" si="221"/>
        <v/>
      </c>
      <c r="NL59" s="24" t="str">
        <f t="shared" ca="1" si="221"/>
        <v/>
      </c>
      <c r="NM59" s="24" t="str">
        <f t="shared" ca="1" si="221"/>
        <v/>
      </c>
      <c r="NN59" s="24" t="str">
        <f t="shared" ca="1" si="221"/>
        <v/>
      </c>
      <c r="NO59" s="24" t="str">
        <f t="shared" ca="1" si="221"/>
        <v/>
      </c>
      <c r="NP59" s="24" t="str">
        <f t="shared" ca="1" si="222"/>
        <v/>
      </c>
      <c r="NQ59" s="24" t="str">
        <f t="shared" ca="1" si="222"/>
        <v/>
      </c>
      <c r="NR59" s="24" t="str">
        <f t="shared" ca="1" si="222"/>
        <v/>
      </c>
      <c r="NS59" s="24" t="str">
        <f t="shared" ca="1" si="222"/>
        <v/>
      </c>
      <c r="NT59" s="24" t="str">
        <f t="shared" ca="1" si="222"/>
        <v/>
      </c>
      <c r="NU59" s="24" t="str">
        <f t="shared" ca="1" si="222"/>
        <v/>
      </c>
      <c r="NV59" s="24" t="str">
        <f t="shared" ca="1" si="222"/>
        <v/>
      </c>
      <c r="NW59" s="24" t="str">
        <f t="shared" ca="1" si="222"/>
        <v/>
      </c>
      <c r="NX59" s="24" t="str">
        <f t="shared" ca="1" si="222"/>
        <v/>
      </c>
      <c r="NY59" s="24" t="str">
        <f t="shared" ca="1" si="222"/>
        <v/>
      </c>
      <c r="NZ59" s="24" t="str">
        <f t="shared" ca="1" si="223"/>
        <v/>
      </c>
      <c r="OA59" s="24" t="str">
        <f t="shared" ca="1" si="223"/>
        <v/>
      </c>
      <c r="OB59" s="24" t="str">
        <f t="shared" ca="1" si="223"/>
        <v/>
      </c>
      <c r="OC59" s="24" t="str">
        <f t="shared" ca="1" si="223"/>
        <v/>
      </c>
      <c r="OD59" s="24" t="str">
        <f t="shared" ca="1" si="223"/>
        <v/>
      </c>
      <c r="OE59" s="24" t="str">
        <f t="shared" ca="1" si="223"/>
        <v/>
      </c>
      <c r="OF59" s="24" t="str">
        <f t="shared" ca="1" si="223"/>
        <v/>
      </c>
      <c r="OG59" s="24" t="str">
        <f t="shared" ca="1" si="223"/>
        <v/>
      </c>
      <c r="OH59" s="24" t="str">
        <f t="shared" ca="1" si="223"/>
        <v/>
      </c>
      <c r="OI59" s="24" t="str">
        <f t="shared" ca="1" si="223"/>
        <v/>
      </c>
      <c r="OJ59" s="24" t="str">
        <f t="shared" ca="1" si="224"/>
        <v/>
      </c>
      <c r="OK59" s="24" t="str">
        <f t="shared" ca="1" si="224"/>
        <v/>
      </c>
      <c r="OL59" s="24" t="str">
        <f t="shared" ca="1" si="224"/>
        <v/>
      </c>
      <c r="OM59" s="24" t="str">
        <f t="shared" ca="1" si="224"/>
        <v/>
      </c>
      <c r="ON59" s="24" t="str">
        <f t="shared" ca="1" si="224"/>
        <v/>
      </c>
      <c r="OO59" s="24" t="str">
        <f t="shared" ca="1" si="224"/>
        <v/>
      </c>
      <c r="OP59" s="24" t="str">
        <f t="shared" ca="1" si="224"/>
        <v/>
      </c>
      <c r="OQ59" s="24" t="str">
        <f t="shared" ca="1" si="224"/>
        <v/>
      </c>
      <c r="OR59" s="24" t="str">
        <f t="shared" ca="1" si="224"/>
        <v/>
      </c>
      <c r="OS59" s="24" t="str">
        <f t="shared" ca="1" si="224"/>
        <v/>
      </c>
      <c r="OT59" s="24" t="str">
        <f t="shared" ca="1" si="225"/>
        <v/>
      </c>
      <c r="OU59" s="24" t="str">
        <f t="shared" ca="1" si="225"/>
        <v/>
      </c>
      <c r="OV59" s="24" t="str">
        <f t="shared" ca="1" si="225"/>
        <v/>
      </c>
      <c r="OW59" s="24" t="str">
        <f t="shared" ca="1" si="225"/>
        <v/>
      </c>
      <c r="OX59" s="24" t="str">
        <f t="shared" ca="1" si="225"/>
        <v/>
      </c>
      <c r="OY59" s="24" t="str">
        <f t="shared" ca="1" si="225"/>
        <v/>
      </c>
      <c r="OZ59" s="24" t="str">
        <f t="shared" ca="1" si="225"/>
        <v/>
      </c>
      <c r="PA59" s="24" t="str">
        <f t="shared" ca="1" si="225"/>
        <v/>
      </c>
      <c r="PB59" s="24" t="str">
        <f t="shared" ca="1" si="225"/>
        <v/>
      </c>
      <c r="PC59" s="24" t="str">
        <f t="shared" ca="1" si="225"/>
        <v/>
      </c>
      <c r="PD59" s="24" t="str">
        <f t="shared" ca="1" si="226"/>
        <v/>
      </c>
      <c r="PE59" s="24" t="str">
        <f t="shared" ca="1" si="226"/>
        <v/>
      </c>
      <c r="PF59" s="24" t="str">
        <f t="shared" ca="1" si="226"/>
        <v/>
      </c>
      <c r="PG59" s="24" t="str">
        <f t="shared" ca="1" si="226"/>
        <v/>
      </c>
      <c r="PH59" s="24" t="str">
        <f t="shared" ca="1" si="226"/>
        <v/>
      </c>
      <c r="PI59" s="24" t="str">
        <f t="shared" ca="1" si="226"/>
        <v/>
      </c>
      <c r="PJ59" s="24" t="str">
        <f t="shared" ca="1" si="226"/>
        <v/>
      </c>
      <c r="PK59" s="24" t="str">
        <f t="shared" ca="1" si="226"/>
        <v/>
      </c>
      <c r="PL59" s="24" t="str">
        <f t="shared" ca="1" si="226"/>
        <v/>
      </c>
      <c r="PM59" s="24" t="str">
        <f t="shared" ca="1" si="226"/>
        <v/>
      </c>
      <c r="PN59" s="24" t="str">
        <f t="shared" ca="1" si="227"/>
        <v/>
      </c>
      <c r="PO59" s="24" t="str">
        <f t="shared" ca="1" si="227"/>
        <v/>
      </c>
      <c r="PP59" s="24" t="str">
        <f t="shared" ca="1" si="227"/>
        <v/>
      </c>
      <c r="PQ59" s="24" t="str">
        <f t="shared" ca="1" si="227"/>
        <v/>
      </c>
      <c r="PR59" s="24" t="str">
        <f t="shared" ca="1" si="227"/>
        <v/>
      </c>
      <c r="PS59" s="24" t="str">
        <f t="shared" ca="1" si="227"/>
        <v/>
      </c>
      <c r="PT59" s="24" t="str">
        <f t="shared" ca="1" si="227"/>
        <v/>
      </c>
      <c r="PU59" s="24" t="str">
        <f t="shared" ca="1" si="227"/>
        <v/>
      </c>
      <c r="PV59" s="24" t="str">
        <f t="shared" ca="1" si="227"/>
        <v/>
      </c>
      <c r="PW59" s="24" t="str">
        <f t="shared" ca="1" si="227"/>
        <v/>
      </c>
      <c r="PX59" s="24" t="str">
        <f t="shared" ca="1" si="228"/>
        <v/>
      </c>
      <c r="PY59" s="24" t="str">
        <f t="shared" ca="1" si="228"/>
        <v/>
      </c>
      <c r="PZ59" s="24" t="str">
        <f t="shared" ca="1" si="228"/>
        <v/>
      </c>
      <c r="QA59" s="24" t="str">
        <f t="shared" ca="1" si="228"/>
        <v/>
      </c>
      <c r="QB59" s="24" t="str">
        <f t="shared" ca="1" si="228"/>
        <v/>
      </c>
      <c r="QC59" s="24" t="str">
        <f t="shared" ca="1" si="228"/>
        <v/>
      </c>
      <c r="QD59" s="24" t="str">
        <f t="shared" ca="1" si="228"/>
        <v/>
      </c>
      <c r="QE59" s="24" t="str">
        <f t="shared" ca="1" si="228"/>
        <v/>
      </c>
      <c r="QF59" s="24" t="str">
        <f t="shared" ca="1" si="228"/>
        <v/>
      </c>
      <c r="QG59" s="24" t="str">
        <f t="shared" ca="1" si="228"/>
        <v/>
      </c>
      <c r="QH59" s="24" t="str">
        <f t="shared" ca="1" si="229"/>
        <v/>
      </c>
      <c r="QI59" s="24" t="str">
        <f t="shared" ca="1" si="229"/>
        <v/>
      </c>
      <c r="QJ59" s="24" t="str">
        <f t="shared" ca="1" si="229"/>
        <v/>
      </c>
      <c r="QK59" s="24" t="str">
        <f t="shared" ca="1" si="229"/>
        <v/>
      </c>
      <c r="QL59" s="24" t="str">
        <f t="shared" ca="1" si="229"/>
        <v/>
      </c>
      <c r="QM59" s="24" t="str">
        <f t="shared" ca="1" si="229"/>
        <v/>
      </c>
      <c r="QN59" s="24" t="str">
        <f t="shared" ca="1" si="229"/>
        <v/>
      </c>
      <c r="QO59" s="24" t="str">
        <f t="shared" ca="1" si="229"/>
        <v/>
      </c>
      <c r="QP59" s="24" t="str">
        <f t="shared" ca="1" si="229"/>
        <v/>
      </c>
      <c r="QQ59" s="24" t="str">
        <f t="shared" ca="1" si="229"/>
        <v/>
      </c>
      <c r="QR59" s="24" t="str">
        <f t="shared" ca="1" si="230"/>
        <v/>
      </c>
      <c r="QS59" s="24" t="str">
        <f t="shared" ca="1" si="230"/>
        <v/>
      </c>
      <c r="QT59" s="24" t="str">
        <f t="shared" ca="1" si="230"/>
        <v/>
      </c>
      <c r="QU59" s="24" t="str">
        <f t="shared" ca="1" si="230"/>
        <v/>
      </c>
      <c r="QV59" s="24" t="str">
        <f t="shared" ca="1" si="230"/>
        <v/>
      </c>
      <c r="QW59" s="24" t="str">
        <f t="shared" ca="1" si="230"/>
        <v/>
      </c>
      <c r="QX59" s="24" t="str">
        <f t="shared" ca="1" si="230"/>
        <v/>
      </c>
      <c r="QY59" s="24" t="str">
        <f t="shared" ca="1" si="230"/>
        <v/>
      </c>
      <c r="QZ59" s="24" t="str">
        <f t="shared" ca="1" si="230"/>
        <v/>
      </c>
      <c r="RA59" s="24" t="str">
        <f t="shared" ca="1" si="230"/>
        <v/>
      </c>
      <c r="RB59" s="24" t="str">
        <f t="shared" ca="1" si="231"/>
        <v/>
      </c>
      <c r="RC59" s="24" t="str">
        <f t="shared" ca="1" si="231"/>
        <v/>
      </c>
      <c r="RD59" s="24" t="str">
        <f t="shared" ca="1" si="231"/>
        <v/>
      </c>
      <c r="RE59" s="24" t="str">
        <f t="shared" ca="1" si="231"/>
        <v/>
      </c>
      <c r="RF59" s="24" t="str">
        <f t="shared" ca="1" si="231"/>
        <v/>
      </c>
      <c r="RG59" s="24" t="str">
        <f t="shared" ca="1" si="231"/>
        <v/>
      </c>
      <c r="RH59" s="24" t="str">
        <f t="shared" ca="1" si="231"/>
        <v/>
      </c>
      <c r="RI59" s="24" t="str">
        <f t="shared" ca="1" si="231"/>
        <v/>
      </c>
      <c r="RJ59" s="24" t="str">
        <f t="shared" ca="1" si="231"/>
        <v/>
      </c>
      <c r="RK59" s="24" t="str">
        <f t="shared" ca="1" si="231"/>
        <v/>
      </c>
      <c r="RL59" s="24" t="str">
        <f t="shared" ca="1" si="232"/>
        <v/>
      </c>
      <c r="RM59" s="24" t="str">
        <f t="shared" ca="1" si="232"/>
        <v/>
      </c>
      <c r="RN59" s="24" t="str">
        <f t="shared" ca="1" si="232"/>
        <v/>
      </c>
      <c r="RO59" s="24" t="str">
        <f t="shared" ca="1" si="232"/>
        <v/>
      </c>
      <c r="RP59" s="24" t="str">
        <f t="shared" ca="1" si="232"/>
        <v/>
      </c>
      <c r="RQ59" s="24" t="str">
        <f t="shared" ca="1" si="232"/>
        <v/>
      </c>
      <c r="RR59" s="24" t="str">
        <f t="shared" ca="1" si="232"/>
        <v/>
      </c>
      <c r="RS59" s="24" t="str">
        <f t="shared" ca="1" si="232"/>
        <v/>
      </c>
      <c r="RT59" s="24" t="str">
        <f t="shared" ca="1" si="232"/>
        <v/>
      </c>
      <c r="RU59" s="24" t="str">
        <f t="shared" ca="1" si="232"/>
        <v/>
      </c>
      <c r="RV59" s="24" t="str">
        <f t="shared" ca="1" si="233"/>
        <v/>
      </c>
      <c r="RW59" s="24" t="str">
        <f t="shared" ca="1" si="233"/>
        <v/>
      </c>
      <c r="RX59" s="24" t="str">
        <f t="shared" ca="1" si="233"/>
        <v/>
      </c>
      <c r="RY59" s="24" t="str">
        <f t="shared" ca="1" si="233"/>
        <v/>
      </c>
      <c r="RZ59" s="24" t="str">
        <f t="shared" ca="1" si="233"/>
        <v/>
      </c>
      <c r="SA59" s="24" t="str">
        <f t="shared" ca="1" si="233"/>
        <v/>
      </c>
      <c r="SB59" s="24" t="str">
        <f t="shared" ca="1" si="233"/>
        <v/>
      </c>
      <c r="SC59" s="24" t="str">
        <f t="shared" ca="1" si="233"/>
        <v/>
      </c>
      <c r="SD59" s="24" t="str">
        <f t="shared" ca="1" si="233"/>
        <v/>
      </c>
      <c r="SE59" s="24" t="str">
        <f t="shared" ca="1" si="233"/>
        <v/>
      </c>
      <c r="SF59" s="24" t="str">
        <f t="shared" ca="1" si="234"/>
        <v/>
      </c>
      <c r="SG59" s="24" t="str">
        <f t="shared" ca="1" si="234"/>
        <v/>
      </c>
      <c r="SH59" s="24" t="str">
        <f t="shared" ca="1" si="234"/>
        <v/>
      </c>
      <c r="SI59" s="24" t="str">
        <f t="shared" ca="1" si="234"/>
        <v/>
      </c>
      <c r="SJ59" s="24" t="str">
        <f t="shared" ca="1" si="234"/>
        <v/>
      </c>
      <c r="SK59" s="24" t="str">
        <f t="shared" ca="1" si="234"/>
        <v/>
      </c>
      <c r="SL59" s="24" t="str">
        <f t="shared" ca="1" si="234"/>
        <v/>
      </c>
      <c r="SM59" s="24" t="str">
        <f t="shared" ca="1" si="234"/>
        <v/>
      </c>
      <c r="SN59" s="24" t="str">
        <f t="shared" ca="1" si="234"/>
        <v/>
      </c>
      <c r="SO59" s="24" t="str">
        <f t="shared" ca="1" si="234"/>
        <v/>
      </c>
      <c r="SP59" s="24" t="str">
        <f t="shared" ca="1" si="235"/>
        <v/>
      </c>
      <c r="SQ59" s="24" t="str">
        <f t="shared" ca="1" si="235"/>
        <v/>
      </c>
      <c r="SR59" s="24" t="str">
        <f t="shared" ca="1" si="235"/>
        <v/>
      </c>
      <c r="SS59" s="24" t="str">
        <f t="shared" ca="1" si="235"/>
        <v/>
      </c>
      <c r="ST59" s="24" t="str">
        <f t="shared" ca="1" si="235"/>
        <v/>
      </c>
      <c r="SU59" s="24" t="str">
        <f t="shared" ca="1" si="235"/>
        <v/>
      </c>
      <c r="SV59" s="24" t="str">
        <f t="shared" ca="1" si="235"/>
        <v/>
      </c>
      <c r="SW59" s="24" t="str">
        <f t="shared" ca="1" si="235"/>
        <v/>
      </c>
      <c r="SX59" s="24" t="str">
        <f t="shared" ca="1" si="235"/>
        <v/>
      </c>
      <c r="SY59" s="24" t="str">
        <f t="shared" ca="1" si="235"/>
        <v/>
      </c>
      <c r="SZ59" s="24" t="str">
        <f t="shared" ca="1" si="236"/>
        <v/>
      </c>
      <c r="TA59" s="24" t="str">
        <f t="shared" ca="1" si="236"/>
        <v/>
      </c>
      <c r="TB59" s="24" t="str">
        <f t="shared" ca="1" si="236"/>
        <v/>
      </c>
      <c r="TC59" s="24" t="str">
        <f t="shared" ca="1" si="236"/>
        <v/>
      </c>
      <c r="TD59" s="24" t="str">
        <f t="shared" ca="1" si="236"/>
        <v/>
      </c>
      <c r="TE59" s="24" t="str">
        <f t="shared" ca="1" si="236"/>
        <v/>
      </c>
      <c r="TF59" s="24" t="str">
        <f t="shared" ca="1" si="236"/>
        <v/>
      </c>
      <c r="TG59" s="24" t="str">
        <f t="shared" ca="1" si="236"/>
        <v/>
      </c>
      <c r="TH59" s="24" t="str">
        <f t="shared" ca="1" si="236"/>
        <v/>
      </c>
      <c r="TI59" s="24" t="str">
        <f t="shared" ca="1" si="236"/>
        <v/>
      </c>
      <c r="TJ59" s="24" t="str">
        <f t="shared" ca="1" si="237"/>
        <v/>
      </c>
      <c r="TK59" s="24" t="str">
        <f t="shared" ca="1" si="237"/>
        <v/>
      </c>
      <c r="TL59" s="24" t="str">
        <f t="shared" ca="1" si="237"/>
        <v/>
      </c>
      <c r="TM59" s="24" t="str">
        <f t="shared" ca="1" si="237"/>
        <v/>
      </c>
      <c r="TN59" s="24" t="str">
        <f t="shared" ca="1" si="237"/>
        <v/>
      </c>
      <c r="TO59" s="24" t="str">
        <f t="shared" ca="1" si="237"/>
        <v/>
      </c>
      <c r="TP59" s="24" t="str">
        <f t="shared" ca="1" si="237"/>
        <v/>
      </c>
      <c r="TQ59" s="24" t="str">
        <f t="shared" ca="1" si="237"/>
        <v/>
      </c>
      <c r="TR59" s="24" t="str">
        <f t="shared" ca="1" si="237"/>
        <v/>
      </c>
      <c r="TS59" s="24" t="str">
        <f t="shared" ca="1" si="237"/>
        <v/>
      </c>
      <c r="TT59" s="24" t="str">
        <f t="shared" ca="1" si="238"/>
        <v/>
      </c>
      <c r="TU59" s="24" t="str">
        <f t="shared" ca="1" si="238"/>
        <v/>
      </c>
      <c r="TV59" s="24" t="str">
        <f t="shared" ca="1" si="238"/>
        <v/>
      </c>
      <c r="TW59" s="24" t="str">
        <f t="shared" ca="1" si="238"/>
        <v/>
      </c>
      <c r="TX59" s="24" t="str">
        <f t="shared" ca="1" si="238"/>
        <v/>
      </c>
      <c r="TY59" s="24" t="str">
        <f t="shared" ca="1" si="238"/>
        <v/>
      </c>
      <c r="TZ59" s="24" t="str">
        <f t="shared" ca="1" si="238"/>
        <v/>
      </c>
      <c r="UA59" s="24" t="str">
        <f t="shared" ca="1" si="238"/>
        <v/>
      </c>
      <c r="UB59" s="24" t="str">
        <f t="shared" ca="1" si="238"/>
        <v/>
      </c>
      <c r="UC59" s="24" t="str">
        <f t="shared" ca="1" si="238"/>
        <v/>
      </c>
      <c r="UD59" s="24" t="str">
        <f t="shared" ca="1" si="239"/>
        <v/>
      </c>
      <c r="UE59" s="24" t="str">
        <f t="shared" ca="1" si="239"/>
        <v/>
      </c>
      <c r="UF59" s="24" t="str">
        <f t="shared" ca="1" si="239"/>
        <v/>
      </c>
      <c r="UG59" s="24" t="str">
        <f t="shared" ca="1" si="239"/>
        <v/>
      </c>
      <c r="UH59" s="24" t="str">
        <f t="shared" ca="1" si="239"/>
        <v/>
      </c>
      <c r="UI59" s="24" t="str">
        <f t="shared" ca="1" si="239"/>
        <v/>
      </c>
      <c r="UJ59" s="24" t="str">
        <f t="shared" ca="1" si="239"/>
        <v/>
      </c>
      <c r="UK59" s="24" t="str">
        <f t="shared" ca="1" si="239"/>
        <v/>
      </c>
      <c r="UL59" s="24" t="str">
        <f t="shared" ca="1" si="239"/>
        <v/>
      </c>
      <c r="UM59" s="24" t="str">
        <f t="shared" ca="1" si="239"/>
        <v/>
      </c>
      <c r="UN59" s="24" t="str">
        <f t="shared" ca="1" si="240"/>
        <v/>
      </c>
      <c r="UO59" s="24" t="str">
        <f t="shared" ca="1" si="240"/>
        <v/>
      </c>
      <c r="UP59" s="24" t="str">
        <f t="shared" ca="1" si="240"/>
        <v/>
      </c>
      <c r="UQ59" s="24" t="str">
        <f t="shared" ca="1" si="240"/>
        <v/>
      </c>
      <c r="UR59" s="24" t="str">
        <f t="shared" ca="1" si="240"/>
        <v/>
      </c>
      <c r="US59" s="24" t="str">
        <f t="shared" ca="1" si="240"/>
        <v/>
      </c>
      <c r="UT59" s="24" t="str">
        <f t="shared" ca="1" si="240"/>
        <v/>
      </c>
      <c r="UU59" s="24" t="str">
        <f t="shared" ca="1" si="240"/>
        <v/>
      </c>
      <c r="UV59" s="24" t="str">
        <f t="shared" ca="1" si="240"/>
        <v/>
      </c>
      <c r="UW59" s="24" t="str">
        <f t="shared" ca="1" si="240"/>
        <v/>
      </c>
      <c r="UX59" s="24" t="str">
        <f t="shared" ca="1" si="241"/>
        <v/>
      </c>
      <c r="UY59" s="24" t="str">
        <f t="shared" ca="1" si="241"/>
        <v/>
      </c>
      <c r="UZ59" s="24" t="str">
        <f t="shared" ca="1" si="241"/>
        <v/>
      </c>
      <c r="VA59" s="24" t="str">
        <f t="shared" ca="1" si="241"/>
        <v/>
      </c>
      <c r="VB59" s="24" t="str">
        <f t="shared" ca="1" si="241"/>
        <v/>
      </c>
      <c r="VC59" s="24" t="str">
        <f t="shared" ca="1" si="241"/>
        <v/>
      </c>
      <c r="VD59" s="24" t="str">
        <f t="shared" ca="1" si="241"/>
        <v/>
      </c>
      <c r="VE59" s="24" t="str">
        <f t="shared" ca="1" si="241"/>
        <v/>
      </c>
      <c r="VF59" s="24" t="str">
        <f t="shared" ca="1" si="241"/>
        <v/>
      </c>
      <c r="VG59" s="24" t="str">
        <f t="shared" ca="1" si="241"/>
        <v/>
      </c>
      <c r="VH59" s="24" t="str">
        <f t="shared" ca="1" si="242"/>
        <v/>
      </c>
      <c r="VI59" s="24" t="str">
        <f t="shared" ca="1" si="242"/>
        <v/>
      </c>
      <c r="VJ59" s="24" t="str">
        <f t="shared" ca="1" si="242"/>
        <v/>
      </c>
      <c r="VK59" s="24" t="str">
        <f t="shared" ca="1" si="242"/>
        <v/>
      </c>
      <c r="VL59" s="24" t="str">
        <f t="shared" ca="1" si="242"/>
        <v/>
      </c>
      <c r="VM59" s="24" t="str">
        <f t="shared" ca="1" si="242"/>
        <v/>
      </c>
      <c r="VN59" s="24" t="str">
        <f t="shared" ca="1" si="242"/>
        <v/>
      </c>
      <c r="VO59" s="24" t="str">
        <f t="shared" ca="1" si="242"/>
        <v/>
      </c>
      <c r="VP59" s="24" t="str">
        <f t="shared" ca="1" si="242"/>
        <v/>
      </c>
      <c r="VQ59" s="24" t="str">
        <f t="shared" ca="1" si="242"/>
        <v/>
      </c>
      <c r="VR59" s="24" t="str">
        <f t="shared" ca="1" si="242"/>
        <v/>
      </c>
      <c r="VS59" s="24" t="str">
        <f t="shared" ca="1" si="242"/>
        <v/>
      </c>
    </row>
    <row r="60" spans="1:591" s="17" customFormat="1" ht="21.6" customHeight="1" x14ac:dyDescent="0.3">
      <c r="A60" s="81"/>
      <c r="B60" s="28" t="s">
        <v>70</v>
      </c>
      <c r="C60" s="19" t="s">
        <v>73</v>
      </c>
      <c r="D60" s="19"/>
      <c r="E60" s="27"/>
      <c r="F60" s="26">
        <f>F45+22</f>
        <v>46145</v>
      </c>
      <c r="G60" s="26">
        <f>Milestones43524[[#This Row],[Start]]+Milestones43524[[#This Row],[Days]]</f>
        <v>46148</v>
      </c>
      <c r="H60" s="25">
        <v>3</v>
      </c>
      <c r="I60" s="19"/>
      <c r="J60" s="24" t="str">
        <f t="shared" ca="1" si="185"/>
        <v/>
      </c>
      <c r="K60" s="24" t="str">
        <f t="shared" ca="1" si="185"/>
        <v/>
      </c>
      <c r="L60" s="24" t="str">
        <f t="shared" ca="1" si="185"/>
        <v/>
      </c>
      <c r="M60" s="24" t="str">
        <f t="shared" ca="1" si="185"/>
        <v/>
      </c>
      <c r="N60" s="24" t="str">
        <f t="shared" ca="1" si="185"/>
        <v/>
      </c>
      <c r="O60" s="24" t="str">
        <f t="shared" ca="1" si="185"/>
        <v/>
      </c>
      <c r="P60" s="24" t="str">
        <f t="shared" ca="1" si="185"/>
        <v/>
      </c>
      <c r="Q60" s="24" t="str">
        <f t="shared" ca="1" si="185"/>
        <v/>
      </c>
      <c r="R60" s="24" t="str">
        <f t="shared" ca="1" si="185"/>
        <v/>
      </c>
      <c r="S60" s="24" t="str">
        <f t="shared" ca="1" si="185"/>
        <v/>
      </c>
      <c r="T60" s="24" t="str">
        <f t="shared" ca="1" si="186"/>
        <v/>
      </c>
      <c r="U60" s="24" t="str">
        <f t="shared" ca="1" si="186"/>
        <v/>
      </c>
      <c r="V60" s="24" t="str">
        <f t="shared" ca="1" si="186"/>
        <v/>
      </c>
      <c r="W60" s="24" t="str">
        <f t="shared" ca="1" si="186"/>
        <v/>
      </c>
      <c r="X60" s="24" t="str">
        <f t="shared" ca="1" si="186"/>
        <v/>
      </c>
      <c r="Y60" s="24" t="str">
        <f t="shared" ca="1" si="186"/>
        <v/>
      </c>
      <c r="Z60" s="24" t="str">
        <f t="shared" ca="1" si="186"/>
        <v/>
      </c>
      <c r="AA60" s="24" t="str">
        <f t="shared" ca="1" si="186"/>
        <v/>
      </c>
      <c r="AB60" s="24" t="str">
        <f t="shared" ca="1" si="186"/>
        <v/>
      </c>
      <c r="AC60" s="24" t="str">
        <f t="shared" ca="1" si="186"/>
        <v/>
      </c>
      <c r="AD60" s="24" t="str">
        <f t="shared" ca="1" si="187"/>
        <v/>
      </c>
      <c r="AE60" s="24" t="str">
        <f t="shared" ca="1" si="187"/>
        <v/>
      </c>
      <c r="AF60" s="24" t="str">
        <f t="shared" ca="1" si="187"/>
        <v/>
      </c>
      <c r="AG60" s="24" t="str">
        <f t="shared" ca="1" si="187"/>
        <v/>
      </c>
      <c r="AH60" s="24" t="str">
        <f t="shared" ca="1" si="187"/>
        <v/>
      </c>
      <c r="AI60" s="24" t="str">
        <f t="shared" ca="1" si="187"/>
        <v/>
      </c>
      <c r="AJ60" s="24" t="str">
        <f t="shared" ca="1" si="187"/>
        <v/>
      </c>
      <c r="AK60" s="24" t="str">
        <f t="shared" ca="1" si="187"/>
        <v/>
      </c>
      <c r="AL60" s="24" t="str">
        <f t="shared" ca="1" si="187"/>
        <v/>
      </c>
      <c r="AM60" s="24" t="str">
        <f t="shared" ca="1" si="187"/>
        <v/>
      </c>
      <c r="AN60" s="24" t="str">
        <f t="shared" ca="1" si="188"/>
        <v/>
      </c>
      <c r="AO60" s="24" t="str">
        <f t="shared" ca="1" si="188"/>
        <v/>
      </c>
      <c r="AP60" s="24" t="str">
        <f t="shared" ca="1" si="188"/>
        <v/>
      </c>
      <c r="AQ60" s="24" t="str">
        <f t="shared" ca="1" si="188"/>
        <v/>
      </c>
      <c r="AR60" s="24" t="str">
        <f t="shared" ca="1" si="188"/>
        <v/>
      </c>
      <c r="AS60" s="24" t="str">
        <f t="shared" ca="1" si="188"/>
        <v/>
      </c>
      <c r="AT60" s="24" t="str">
        <f t="shared" ca="1" si="188"/>
        <v/>
      </c>
      <c r="AU60" s="24" t="str">
        <f t="shared" ca="1" si="188"/>
        <v/>
      </c>
      <c r="AV60" s="24" t="str">
        <f t="shared" ca="1" si="188"/>
        <v/>
      </c>
      <c r="AW60" s="24" t="str">
        <f t="shared" ca="1" si="188"/>
        <v/>
      </c>
      <c r="AX60" s="24" t="str">
        <f t="shared" ca="1" si="189"/>
        <v/>
      </c>
      <c r="AY60" s="24" t="str">
        <f t="shared" ca="1" si="189"/>
        <v/>
      </c>
      <c r="AZ60" s="24" t="str">
        <f t="shared" ca="1" si="189"/>
        <v/>
      </c>
      <c r="BA60" s="24" t="str">
        <f t="shared" ca="1" si="189"/>
        <v/>
      </c>
      <c r="BB60" s="24" t="str">
        <f t="shared" ca="1" si="189"/>
        <v/>
      </c>
      <c r="BC60" s="24" t="str">
        <f t="shared" ca="1" si="189"/>
        <v/>
      </c>
      <c r="BD60" s="24" t="str">
        <f t="shared" ca="1" si="189"/>
        <v/>
      </c>
      <c r="BE60" s="24" t="str">
        <f t="shared" ca="1" si="189"/>
        <v/>
      </c>
      <c r="BF60" s="24" t="str">
        <f t="shared" ca="1" si="189"/>
        <v/>
      </c>
      <c r="BG60" s="24" t="str">
        <f t="shared" ca="1" si="189"/>
        <v/>
      </c>
      <c r="BH60" s="24" t="str">
        <f t="shared" ca="1" si="190"/>
        <v/>
      </c>
      <c r="BI60" s="24" t="str">
        <f t="shared" ca="1" si="190"/>
        <v/>
      </c>
      <c r="BJ60" s="24" t="str">
        <f t="shared" ca="1" si="190"/>
        <v/>
      </c>
      <c r="BK60" s="24" t="str">
        <f t="shared" ca="1" si="190"/>
        <v/>
      </c>
      <c r="BL60" s="24" t="str">
        <f t="shared" ca="1" si="190"/>
        <v/>
      </c>
      <c r="BM60" s="24" t="str">
        <f t="shared" ca="1" si="190"/>
        <v/>
      </c>
      <c r="BN60" s="24" t="str">
        <f t="shared" ca="1" si="190"/>
        <v/>
      </c>
      <c r="BO60" s="24" t="str">
        <f t="shared" ca="1" si="190"/>
        <v/>
      </c>
      <c r="BP60" s="24" t="str">
        <f t="shared" ca="1" si="190"/>
        <v/>
      </c>
      <c r="BQ60" s="24" t="str">
        <f t="shared" ca="1" si="190"/>
        <v/>
      </c>
      <c r="BR60" s="24" t="str">
        <f t="shared" ca="1" si="191"/>
        <v/>
      </c>
      <c r="BS60" s="24" t="str">
        <f t="shared" ca="1" si="191"/>
        <v/>
      </c>
      <c r="BT60" s="24" t="str">
        <f t="shared" ca="1" si="191"/>
        <v/>
      </c>
      <c r="BU60" s="24" t="str">
        <f t="shared" ca="1" si="191"/>
        <v/>
      </c>
      <c r="BV60" s="24" t="str">
        <f t="shared" ca="1" si="191"/>
        <v/>
      </c>
      <c r="BW60" s="24" t="str">
        <f t="shared" ca="1" si="191"/>
        <v/>
      </c>
      <c r="BX60" s="24" t="str">
        <f t="shared" ca="1" si="191"/>
        <v/>
      </c>
      <c r="BY60" s="24" t="str">
        <f t="shared" ca="1" si="191"/>
        <v/>
      </c>
      <c r="BZ60" s="24" t="str">
        <f t="shared" ca="1" si="191"/>
        <v/>
      </c>
      <c r="CA60" s="24" t="str">
        <f t="shared" ca="1" si="191"/>
        <v/>
      </c>
      <c r="CB60" s="24" t="str">
        <f t="shared" ca="1" si="192"/>
        <v/>
      </c>
      <c r="CC60" s="24" t="str">
        <f t="shared" ca="1" si="192"/>
        <v/>
      </c>
      <c r="CD60" s="24" t="str">
        <f t="shared" ca="1" si="192"/>
        <v/>
      </c>
      <c r="CE60" s="24" t="str">
        <f t="shared" ca="1" si="192"/>
        <v/>
      </c>
      <c r="CF60" s="24" t="str">
        <f t="shared" ca="1" si="192"/>
        <v/>
      </c>
      <c r="CG60" s="24" t="str">
        <f t="shared" ca="1" si="192"/>
        <v/>
      </c>
      <c r="CH60" s="24" t="str">
        <f t="shared" ca="1" si="192"/>
        <v/>
      </c>
      <c r="CI60" s="24" t="str">
        <f t="shared" ca="1" si="192"/>
        <v/>
      </c>
      <c r="CJ60" s="24" t="str">
        <f t="shared" ca="1" si="192"/>
        <v/>
      </c>
      <c r="CK60" s="24" t="str">
        <f t="shared" ca="1" si="192"/>
        <v/>
      </c>
      <c r="CL60" s="24" t="str">
        <f t="shared" ca="1" si="193"/>
        <v/>
      </c>
      <c r="CM60" s="24" t="str">
        <f t="shared" ca="1" si="193"/>
        <v/>
      </c>
      <c r="CN60" s="24" t="str">
        <f t="shared" ca="1" si="193"/>
        <v/>
      </c>
      <c r="CO60" s="24" t="str">
        <f t="shared" ca="1" si="193"/>
        <v/>
      </c>
      <c r="CP60" s="24" t="str">
        <f t="shared" ca="1" si="193"/>
        <v/>
      </c>
      <c r="CQ60" s="24" t="str">
        <f t="shared" ca="1" si="193"/>
        <v/>
      </c>
      <c r="CR60" s="24" t="str">
        <f t="shared" ca="1" si="193"/>
        <v/>
      </c>
      <c r="CS60" s="24" t="str">
        <f t="shared" ca="1" si="193"/>
        <v/>
      </c>
      <c r="CT60" s="24" t="str">
        <f t="shared" ca="1" si="193"/>
        <v/>
      </c>
      <c r="CU60" s="24" t="str">
        <f t="shared" ca="1" si="193"/>
        <v/>
      </c>
      <c r="CV60" s="24" t="str">
        <f t="shared" ca="1" si="194"/>
        <v/>
      </c>
      <c r="CW60" s="24" t="str">
        <f t="shared" ca="1" si="194"/>
        <v/>
      </c>
      <c r="CX60" s="24" t="str">
        <f t="shared" ca="1" si="194"/>
        <v/>
      </c>
      <c r="CY60" s="24" t="str">
        <f t="shared" ca="1" si="194"/>
        <v/>
      </c>
      <c r="CZ60" s="24" t="str">
        <f t="shared" ca="1" si="194"/>
        <v/>
      </c>
      <c r="DA60" s="24" t="str">
        <f t="shared" ca="1" si="194"/>
        <v/>
      </c>
      <c r="DB60" s="24" t="str">
        <f t="shared" ca="1" si="194"/>
        <v/>
      </c>
      <c r="DC60" s="24" t="str">
        <f t="shared" ca="1" si="194"/>
        <v/>
      </c>
      <c r="DD60" s="24" t="str">
        <f t="shared" ca="1" si="194"/>
        <v/>
      </c>
      <c r="DE60" s="24" t="str">
        <f t="shared" ca="1" si="194"/>
        <v/>
      </c>
      <c r="DF60" s="24" t="str">
        <f t="shared" ca="1" si="195"/>
        <v/>
      </c>
      <c r="DG60" s="24" t="str">
        <f t="shared" ca="1" si="195"/>
        <v/>
      </c>
      <c r="DH60" s="24" t="str">
        <f t="shared" ca="1" si="195"/>
        <v/>
      </c>
      <c r="DI60" s="24" t="str">
        <f t="shared" ca="1" si="195"/>
        <v/>
      </c>
      <c r="DJ60" s="24" t="str">
        <f t="shared" ca="1" si="195"/>
        <v/>
      </c>
      <c r="DK60" s="24" t="str">
        <f t="shared" ca="1" si="195"/>
        <v/>
      </c>
      <c r="DL60" s="24" t="str">
        <f t="shared" ca="1" si="195"/>
        <v/>
      </c>
      <c r="DM60" s="24" t="str">
        <f t="shared" ca="1" si="195"/>
        <v/>
      </c>
      <c r="DN60" s="24" t="str">
        <f t="shared" ca="1" si="195"/>
        <v/>
      </c>
      <c r="DO60" s="24" t="str">
        <f t="shared" ca="1" si="195"/>
        <v/>
      </c>
      <c r="DP60" s="24" t="str">
        <f t="shared" ca="1" si="196"/>
        <v/>
      </c>
      <c r="DQ60" s="24" t="str">
        <f t="shared" ca="1" si="196"/>
        <v/>
      </c>
      <c r="DR60" s="24" t="str">
        <f t="shared" ca="1" si="196"/>
        <v/>
      </c>
      <c r="DS60" s="24" t="str">
        <f t="shared" ca="1" si="196"/>
        <v/>
      </c>
      <c r="DT60" s="24" t="str">
        <f t="shared" ca="1" si="196"/>
        <v/>
      </c>
      <c r="DU60" s="24" t="str">
        <f t="shared" ca="1" si="196"/>
        <v/>
      </c>
      <c r="DV60" s="24" t="str">
        <f t="shared" ca="1" si="196"/>
        <v/>
      </c>
      <c r="DW60" s="24" t="str">
        <f t="shared" ca="1" si="196"/>
        <v/>
      </c>
      <c r="DX60" s="24" t="str">
        <f t="shared" ca="1" si="196"/>
        <v/>
      </c>
      <c r="DY60" s="24" t="str">
        <f t="shared" ca="1" si="196"/>
        <v/>
      </c>
      <c r="DZ60" s="24" t="str">
        <f t="shared" ca="1" si="197"/>
        <v/>
      </c>
      <c r="EA60" s="24" t="str">
        <f t="shared" ca="1" si="197"/>
        <v/>
      </c>
      <c r="EB60" s="24" t="str">
        <f t="shared" ca="1" si="197"/>
        <v/>
      </c>
      <c r="EC60" s="24" t="str">
        <f t="shared" ca="1" si="197"/>
        <v/>
      </c>
      <c r="ED60" s="24" t="str">
        <f t="shared" ca="1" si="197"/>
        <v/>
      </c>
      <c r="EE60" s="24" t="str">
        <f t="shared" ca="1" si="197"/>
        <v/>
      </c>
      <c r="EF60" s="24" t="str">
        <f t="shared" ca="1" si="197"/>
        <v/>
      </c>
      <c r="EG60" s="24" t="str">
        <f t="shared" ca="1" si="197"/>
        <v/>
      </c>
      <c r="EH60" s="24" t="str">
        <f t="shared" ca="1" si="197"/>
        <v/>
      </c>
      <c r="EI60" s="24" t="str">
        <f t="shared" ca="1" si="197"/>
        <v/>
      </c>
      <c r="EJ60" s="24" t="str">
        <f t="shared" ca="1" si="198"/>
        <v/>
      </c>
      <c r="EK60" s="24" t="str">
        <f t="shared" ca="1" si="198"/>
        <v/>
      </c>
      <c r="EL60" s="24" t="str">
        <f t="shared" ca="1" si="198"/>
        <v/>
      </c>
      <c r="EM60" s="24" t="str">
        <f t="shared" ca="1" si="198"/>
        <v/>
      </c>
      <c r="EN60" s="24" t="str">
        <f t="shared" ca="1" si="198"/>
        <v/>
      </c>
      <c r="EO60" s="24" t="str">
        <f t="shared" ca="1" si="198"/>
        <v/>
      </c>
      <c r="EP60" s="24" t="str">
        <f t="shared" ca="1" si="198"/>
        <v/>
      </c>
      <c r="EQ60" s="24" t="str">
        <f t="shared" ca="1" si="198"/>
        <v/>
      </c>
      <c r="ER60" s="24" t="str">
        <f t="shared" ca="1" si="198"/>
        <v/>
      </c>
      <c r="ES60" s="24" t="str">
        <f t="shared" ca="1" si="198"/>
        <v/>
      </c>
      <c r="ET60" s="24" t="str">
        <f t="shared" ca="1" si="199"/>
        <v/>
      </c>
      <c r="EU60" s="24" t="str">
        <f t="shared" ca="1" si="199"/>
        <v/>
      </c>
      <c r="EV60" s="24" t="str">
        <f t="shared" ca="1" si="199"/>
        <v/>
      </c>
      <c r="EW60" s="24" t="str">
        <f t="shared" ca="1" si="199"/>
        <v/>
      </c>
      <c r="EX60" s="24" t="str">
        <f t="shared" ca="1" si="199"/>
        <v/>
      </c>
      <c r="EY60" s="24" t="str">
        <f t="shared" ca="1" si="199"/>
        <v/>
      </c>
      <c r="EZ60" s="24" t="str">
        <f t="shared" ca="1" si="199"/>
        <v/>
      </c>
      <c r="FA60" s="24" t="str">
        <f t="shared" ca="1" si="199"/>
        <v/>
      </c>
      <c r="FB60" s="24" t="str">
        <f t="shared" ca="1" si="199"/>
        <v/>
      </c>
      <c r="FC60" s="24" t="str">
        <f t="shared" ca="1" si="199"/>
        <v/>
      </c>
      <c r="FD60" s="24" t="str">
        <f t="shared" ca="1" si="200"/>
        <v/>
      </c>
      <c r="FE60" s="24" t="str">
        <f t="shared" ca="1" si="200"/>
        <v/>
      </c>
      <c r="FF60" s="24" t="str">
        <f t="shared" ca="1" si="200"/>
        <v/>
      </c>
      <c r="FG60" s="24" t="str">
        <f t="shared" ca="1" si="200"/>
        <v/>
      </c>
      <c r="FH60" s="24" t="str">
        <f t="shared" ca="1" si="200"/>
        <v/>
      </c>
      <c r="FI60" s="24" t="str">
        <f t="shared" ca="1" si="200"/>
        <v/>
      </c>
      <c r="FJ60" s="24" t="str">
        <f t="shared" ca="1" si="200"/>
        <v/>
      </c>
      <c r="FK60" s="24" t="str">
        <f t="shared" ca="1" si="200"/>
        <v/>
      </c>
      <c r="FL60" s="24" t="str">
        <f t="shared" ca="1" si="200"/>
        <v/>
      </c>
      <c r="FM60" s="24" t="str">
        <f t="shared" ca="1" si="200"/>
        <v/>
      </c>
      <c r="FN60" s="24" t="str">
        <f t="shared" ca="1" si="201"/>
        <v/>
      </c>
      <c r="FO60" s="24" t="str">
        <f t="shared" ca="1" si="201"/>
        <v/>
      </c>
      <c r="FP60" s="24" t="str">
        <f t="shared" ca="1" si="201"/>
        <v/>
      </c>
      <c r="FQ60" s="24" t="str">
        <f t="shared" ca="1" si="201"/>
        <v/>
      </c>
      <c r="FR60" s="24">
        <f t="shared" ca="1" si="201"/>
        <v>2</v>
      </c>
      <c r="FS60" s="24">
        <f t="shared" ca="1" si="201"/>
        <v>2</v>
      </c>
      <c r="FT60" s="24">
        <f t="shared" ca="1" si="201"/>
        <v>2</v>
      </c>
      <c r="FU60" s="24" t="str">
        <f t="shared" ca="1" si="201"/>
        <v/>
      </c>
      <c r="FV60" s="24" t="str">
        <f t="shared" ca="1" si="201"/>
        <v/>
      </c>
      <c r="FW60" s="24" t="str">
        <f t="shared" ca="1" si="201"/>
        <v/>
      </c>
      <c r="FX60" s="24" t="str">
        <f t="shared" ca="1" si="202"/>
        <v/>
      </c>
      <c r="FY60" s="24" t="str">
        <f t="shared" ca="1" si="202"/>
        <v/>
      </c>
      <c r="FZ60" s="24" t="str">
        <f t="shared" ca="1" si="202"/>
        <v/>
      </c>
      <c r="GA60" s="24" t="str">
        <f t="shared" ca="1" si="202"/>
        <v/>
      </c>
      <c r="GB60" s="24" t="str">
        <f t="shared" ca="1" si="202"/>
        <v/>
      </c>
      <c r="GC60" s="24" t="str">
        <f t="shared" ca="1" si="202"/>
        <v/>
      </c>
      <c r="GD60" s="24" t="str">
        <f t="shared" ca="1" si="202"/>
        <v/>
      </c>
      <c r="GE60" s="24" t="str">
        <f t="shared" ca="1" si="202"/>
        <v/>
      </c>
      <c r="GF60" s="24" t="str">
        <f t="shared" ca="1" si="202"/>
        <v/>
      </c>
      <c r="GG60" s="24" t="str">
        <f t="shared" ca="1" si="202"/>
        <v/>
      </c>
      <c r="GH60" s="24" t="str">
        <f t="shared" ca="1" si="203"/>
        <v/>
      </c>
      <c r="GI60" s="24" t="str">
        <f t="shared" ca="1" si="203"/>
        <v/>
      </c>
      <c r="GJ60" s="24" t="str">
        <f t="shared" ca="1" si="203"/>
        <v/>
      </c>
      <c r="GK60" s="24" t="str">
        <f t="shared" ca="1" si="203"/>
        <v/>
      </c>
      <c r="GL60" s="24" t="str">
        <f t="shared" ca="1" si="203"/>
        <v/>
      </c>
      <c r="GM60" s="24" t="str">
        <f t="shared" ca="1" si="203"/>
        <v/>
      </c>
      <c r="GN60" s="24" t="str">
        <f t="shared" ca="1" si="203"/>
        <v/>
      </c>
      <c r="GO60" s="24" t="str">
        <f t="shared" ca="1" si="203"/>
        <v/>
      </c>
      <c r="GP60" s="24" t="str">
        <f t="shared" ca="1" si="203"/>
        <v/>
      </c>
      <c r="GQ60" s="24" t="str">
        <f t="shared" ca="1" si="203"/>
        <v/>
      </c>
      <c r="GR60" s="24" t="str">
        <f t="shared" ca="1" si="204"/>
        <v/>
      </c>
      <c r="GS60" s="24" t="str">
        <f t="shared" ca="1" si="204"/>
        <v/>
      </c>
      <c r="GT60" s="24" t="str">
        <f t="shared" ca="1" si="204"/>
        <v/>
      </c>
      <c r="GU60" s="24" t="str">
        <f t="shared" ca="1" si="204"/>
        <v/>
      </c>
      <c r="GV60" s="24" t="str">
        <f t="shared" ca="1" si="204"/>
        <v/>
      </c>
      <c r="GW60" s="24" t="str">
        <f t="shared" ca="1" si="204"/>
        <v/>
      </c>
      <c r="GX60" s="24" t="str">
        <f t="shared" ca="1" si="204"/>
        <v/>
      </c>
      <c r="GY60" s="24" t="str">
        <f t="shared" ca="1" si="204"/>
        <v/>
      </c>
      <c r="GZ60" s="24" t="str">
        <f t="shared" ca="1" si="204"/>
        <v/>
      </c>
      <c r="HA60" s="24" t="str">
        <f t="shared" ca="1" si="204"/>
        <v/>
      </c>
      <c r="HB60" s="24" t="str">
        <f t="shared" ca="1" si="205"/>
        <v/>
      </c>
      <c r="HC60" s="24" t="str">
        <f t="shared" ca="1" si="205"/>
        <v/>
      </c>
      <c r="HD60" s="24" t="str">
        <f t="shared" ca="1" si="205"/>
        <v/>
      </c>
      <c r="HE60" s="24" t="str">
        <f t="shared" ca="1" si="205"/>
        <v/>
      </c>
      <c r="HF60" s="24" t="str">
        <f t="shared" ca="1" si="205"/>
        <v/>
      </c>
      <c r="HG60" s="24" t="str">
        <f t="shared" ca="1" si="205"/>
        <v/>
      </c>
      <c r="HH60" s="24" t="str">
        <f t="shared" ca="1" si="205"/>
        <v/>
      </c>
      <c r="HI60" s="24" t="str">
        <f t="shared" ca="1" si="205"/>
        <v/>
      </c>
      <c r="HJ60" s="24" t="str">
        <f t="shared" ca="1" si="205"/>
        <v/>
      </c>
      <c r="HK60" s="24" t="str">
        <f t="shared" ca="1" si="205"/>
        <v/>
      </c>
      <c r="HL60" s="24" t="str">
        <f t="shared" ca="1" si="206"/>
        <v/>
      </c>
      <c r="HM60" s="24" t="str">
        <f t="shared" ca="1" si="206"/>
        <v/>
      </c>
      <c r="HN60" s="24" t="str">
        <f t="shared" ca="1" si="206"/>
        <v/>
      </c>
      <c r="HO60" s="24" t="str">
        <f t="shared" ca="1" si="206"/>
        <v/>
      </c>
      <c r="HP60" s="24" t="str">
        <f t="shared" ca="1" si="206"/>
        <v/>
      </c>
      <c r="HQ60" s="24" t="str">
        <f t="shared" ca="1" si="206"/>
        <v/>
      </c>
      <c r="HR60" s="24" t="str">
        <f t="shared" ca="1" si="206"/>
        <v/>
      </c>
      <c r="HS60" s="24" t="str">
        <f t="shared" ca="1" si="206"/>
        <v/>
      </c>
      <c r="HT60" s="24" t="str">
        <f t="shared" ca="1" si="206"/>
        <v/>
      </c>
      <c r="HU60" s="24" t="str">
        <f t="shared" ca="1" si="206"/>
        <v/>
      </c>
      <c r="HV60" s="24" t="str">
        <f t="shared" ca="1" si="207"/>
        <v/>
      </c>
      <c r="HW60" s="24" t="str">
        <f t="shared" ca="1" si="207"/>
        <v/>
      </c>
      <c r="HX60" s="24" t="str">
        <f t="shared" ca="1" si="207"/>
        <v/>
      </c>
      <c r="HY60" s="24" t="str">
        <f t="shared" ca="1" si="207"/>
        <v/>
      </c>
      <c r="HZ60" s="24" t="str">
        <f t="shared" ca="1" si="207"/>
        <v/>
      </c>
      <c r="IA60" s="24" t="str">
        <f t="shared" ca="1" si="207"/>
        <v/>
      </c>
      <c r="IB60" s="24" t="str">
        <f t="shared" ca="1" si="207"/>
        <v/>
      </c>
      <c r="IC60" s="24" t="str">
        <f t="shared" ca="1" si="207"/>
        <v/>
      </c>
      <c r="ID60" s="24" t="str">
        <f t="shared" ca="1" si="207"/>
        <v/>
      </c>
      <c r="IE60" s="24" t="str">
        <f t="shared" ca="1" si="207"/>
        <v/>
      </c>
      <c r="IF60" s="24" t="str">
        <f t="shared" ca="1" si="208"/>
        <v/>
      </c>
      <c r="IG60" s="24" t="str">
        <f t="shared" ca="1" si="208"/>
        <v/>
      </c>
      <c r="IH60" s="24" t="str">
        <f t="shared" ca="1" si="208"/>
        <v/>
      </c>
      <c r="II60" s="24" t="str">
        <f t="shared" ca="1" si="208"/>
        <v/>
      </c>
      <c r="IJ60" s="24" t="str">
        <f t="shared" ca="1" si="208"/>
        <v/>
      </c>
      <c r="IK60" s="24" t="str">
        <f t="shared" ca="1" si="208"/>
        <v/>
      </c>
      <c r="IL60" s="24" t="str">
        <f t="shared" ca="1" si="208"/>
        <v/>
      </c>
      <c r="IM60" s="24" t="str">
        <f t="shared" ca="1" si="208"/>
        <v/>
      </c>
      <c r="IN60" s="24" t="str">
        <f t="shared" ca="1" si="208"/>
        <v/>
      </c>
      <c r="IO60" s="24" t="str">
        <f t="shared" ca="1" si="208"/>
        <v/>
      </c>
      <c r="IP60" s="24" t="str">
        <f t="shared" ca="1" si="209"/>
        <v/>
      </c>
      <c r="IQ60" s="24" t="str">
        <f t="shared" ca="1" si="209"/>
        <v/>
      </c>
      <c r="IR60" s="24" t="str">
        <f t="shared" ca="1" si="209"/>
        <v/>
      </c>
      <c r="IS60" s="24" t="str">
        <f t="shared" ca="1" si="209"/>
        <v/>
      </c>
      <c r="IT60" s="24" t="str">
        <f t="shared" ca="1" si="209"/>
        <v/>
      </c>
      <c r="IU60" s="24" t="str">
        <f t="shared" ca="1" si="209"/>
        <v/>
      </c>
      <c r="IV60" s="24" t="str">
        <f t="shared" ca="1" si="209"/>
        <v/>
      </c>
      <c r="IW60" s="24" t="str">
        <f t="shared" ca="1" si="209"/>
        <v/>
      </c>
      <c r="IX60" s="24" t="str">
        <f t="shared" ca="1" si="209"/>
        <v/>
      </c>
      <c r="IY60" s="24" t="str">
        <f t="shared" ca="1" si="209"/>
        <v/>
      </c>
      <c r="IZ60" s="24" t="str">
        <f t="shared" ca="1" si="210"/>
        <v/>
      </c>
      <c r="JA60" s="24" t="str">
        <f t="shared" ca="1" si="210"/>
        <v/>
      </c>
      <c r="JB60" s="24" t="str">
        <f t="shared" ca="1" si="210"/>
        <v/>
      </c>
      <c r="JC60" s="24" t="str">
        <f t="shared" ca="1" si="210"/>
        <v/>
      </c>
      <c r="JD60" s="24" t="str">
        <f t="shared" ca="1" si="210"/>
        <v/>
      </c>
      <c r="JE60" s="24" t="str">
        <f t="shared" ca="1" si="210"/>
        <v/>
      </c>
      <c r="JF60" s="24" t="str">
        <f t="shared" ca="1" si="210"/>
        <v/>
      </c>
      <c r="JG60" s="24" t="str">
        <f t="shared" ca="1" si="210"/>
        <v/>
      </c>
      <c r="JH60" s="24" t="str">
        <f t="shared" ca="1" si="210"/>
        <v/>
      </c>
      <c r="JI60" s="24" t="str">
        <f t="shared" ca="1" si="210"/>
        <v/>
      </c>
      <c r="JJ60" s="24" t="str">
        <f t="shared" ca="1" si="211"/>
        <v/>
      </c>
      <c r="JK60" s="24" t="str">
        <f t="shared" ca="1" si="211"/>
        <v/>
      </c>
      <c r="JL60" s="24" t="str">
        <f t="shared" ca="1" si="211"/>
        <v/>
      </c>
      <c r="JM60" s="24" t="str">
        <f t="shared" ca="1" si="211"/>
        <v/>
      </c>
      <c r="JN60" s="24" t="str">
        <f t="shared" ca="1" si="211"/>
        <v/>
      </c>
      <c r="JO60" s="24" t="str">
        <f t="shared" ca="1" si="211"/>
        <v/>
      </c>
      <c r="JP60" s="24" t="str">
        <f t="shared" ca="1" si="211"/>
        <v/>
      </c>
      <c r="JQ60" s="24" t="str">
        <f t="shared" ca="1" si="211"/>
        <v/>
      </c>
      <c r="JR60" s="24" t="str">
        <f t="shared" ca="1" si="211"/>
        <v/>
      </c>
      <c r="JS60" s="24" t="str">
        <f t="shared" ca="1" si="211"/>
        <v/>
      </c>
      <c r="JT60" s="24" t="str">
        <f t="shared" ca="1" si="212"/>
        <v/>
      </c>
      <c r="JU60" s="24" t="str">
        <f t="shared" ca="1" si="212"/>
        <v/>
      </c>
      <c r="JV60" s="24" t="str">
        <f t="shared" ca="1" si="212"/>
        <v/>
      </c>
      <c r="JW60" s="24" t="str">
        <f t="shared" ca="1" si="212"/>
        <v/>
      </c>
      <c r="JX60" s="24" t="str">
        <f t="shared" ca="1" si="212"/>
        <v/>
      </c>
      <c r="JY60" s="24" t="str">
        <f t="shared" ca="1" si="212"/>
        <v/>
      </c>
      <c r="JZ60" s="24" t="str">
        <f t="shared" ca="1" si="212"/>
        <v/>
      </c>
      <c r="KA60" s="24" t="str">
        <f t="shared" ca="1" si="212"/>
        <v/>
      </c>
      <c r="KB60" s="24" t="str">
        <f t="shared" ca="1" si="212"/>
        <v/>
      </c>
      <c r="KC60" s="24" t="str">
        <f t="shared" ca="1" si="212"/>
        <v/>
      </c>
      <c r="KD60" s="24" t="str">
        <f t="shared" ca="1" si="213"/>
        <v/>
      </c>
      <c r="KE60" s="24" t="str">
        <f t="shared" ca="1" si="213"/>
        <v/>
      </c>
      <c r="KF60" s="24" t="str">
        <f t="shared" ca="1" si="213"/>
        <v/>
      </c>
      <c r="KG60" s="24" t="str">
        <f t="shared" ca="1" si="213"/>
        <v/>
      </c>
      <c r="KH60" s="24" t="str">
        <f t="shared" ca="1" si="213"/>
        <v/>
      </c>
      <c r="KI60" s="24" t="str">
        <f t="shared" ca="1" si="213"/>
        <v/>
      </c>
      <c r="KJ60" s="24" t="str">
        <f t="shared" ca="1" si="213"/>
        <v/>
      </c>
      <c r="KK60" s="24" t="str">
        <f t="shared" ca="1" si="213"/>
        <v/>
      </c>
      <c r="KL60" s="24" t="str">
        <f t="shared" ca="1" si="213"/>
        <v/>
      </c>
      <c r="KM60" s="24" t="str">
        <f t="shared" ca="1" si="213"/>
        <v/>
      </c>
      <c r="KN60" s="24" t="str">
        <f t="shared" ca="1" si="214"/>
        <v/>
      </c>
      <c r="KO60" s="24" t="str">
        <f t="shared" ca="1" si="214"/>
        <v/>
      </c>
      <c r="KP60" s="24" t="str">
        <f t="shared" ca="1" si="214"/>
        <v/>
      </c>
      <c r="KQ60" s="24" t="str">
        <f t="shared" ca="1" si="214"/>
        <v/>
      </c>
      <c r="KR60" s="24" t="str">
        <f t="shared" ca="1" si="214"/>
        <v/>
      </c>
      <c r="KS60" s="24" t="str">
        <f t="shared" ca="1" si="214"/>
        <v/>
      </c>
      <c r="KT60" s="24" t="str">
        <f t="shared" ca="1" si="214"/>
        <v/>
      </c>
      <c r="KU60" s="24" t="str">
        <f t="shared" ca="1" si="214"/>
        <v/>
      </c>
      <c r="KV60" s="24" t="str">
        <f t="shared" ca="1" si="214"/>
        <v/>
      </c>
      <c r="KW60" s="24" t="str">
        <f t="shared" ca="1" si="214"/>
        <v/>
      </c>
      <c r="KX60" s="24" t="str">
        <f t="shared" ca="1" si="215"/>
        <v/>
      </c>
      <c r="KY60" s="24" t="str">
        <f t="shared" ca="1" si="215"/>
        <v/>
      </c>
      <c r="KZ60" s="24" t="str">
        <f t="shared" ca="1" si="215"/>
        <v/>
      </c>
      <c r="LA60" s="24" t="str">
        <f t="shared" ca="1" si="215"/>
        <v/>
      </c>
      <c r="LB60" s="24" t="str">
        <f t="shared" ca="1" si="215"/>
        <v/>
      </c>
      <c r="LC60" s="24" t="str">
        <f t="shared" ca="1" si="215"/>
        <v/>
      </c>
      <c r="LD60" s="24" t="str">
        <f t="shared" ca="1" si="215"/>
        <v/>
      </c>
      <c r="LE60" s="24" t="str">
        <f t="shared" ca="1" si="215"/>
        <v/>
      </c>
      <c r="LF60" s="24" t="str">
        <f t="shared" ca="1" si="215"/>
        <v/>
      </c>
      <c r="LG60" s="24" t="str">
        <f t="shared" ca="1" si="215"/>
        <v/>
      </c>
      <c r="LH60" s="24" t="str">
        <f t="shared" ca="1" si="216"/>
        <v/>
      </c>
      <c r="LI60" s="24" t="str">
        <f t="shared" ca="1" si="216"/>
        <v/>
      </c>
      <c r="LJ60" s="24" t="str">
        <f t="shared" ca="1" si="216"/>
        <v/>
      </c>
      <c r="LK60" s="24" t="str">
        <f t="shared" ca="1" si="216"/>
        <v/>
      </c>
      <c r="LL60" s="24" t="str">
        <f t="shared" ca="1" si="216"/>
        <v/>
      </c>
      <c r="LM60" s="24" t="str">
        <f t="shared" ca="1" si="216"/>
        <v/>
      </c>
      <c r="LN60" s="24" t="str">
        <f t="shared" ca="1" si="216"/>
        <v/>
      </c>
      <c r="LO60" s="24" t="str">
        <f t="shared" ca="1" si="216"/>
        <v/>
      </c>
      <c r="LP60" s="24" t="str">
        <f t="shared" ca="1" si="216"/>
        <v/>
      </c>
      <c r="LQ60" s="24" t="str">
        <f t="shared" ca="1" si="216"/>
        <v/>
      </c>
      <c r="LR60" s="24" t="str">
        <f t="shared" ca="1" si="217"/>
        <v/>
      </c>
      <c r="LS60" s="24" t="str">
        <f t="shared" ca="1" si="217"/>
        <v/>
      </c>
      <c r="LT60" s="24" t="str">
        <f t="shared" ca="1" si="217"/>
        <v/>
      </c>
      <c r="LU60" s="24" t="str">
        <f t="shared" ca="1" si="217"/>
        <v/>
      </c>
      <c r="LV60" s="24" t="str">
        <f t="shared" ca="1" si="217"/>
        <v/>
      </c>
      <c r="LW60" s="24" t="str">
        <f t="shared" ca="1" si="217"/>
        <v/>
      </c>
      <c r="LX60" s="24" t="str">
        <f t="shared" ca="1" si="217"/>
        <v/>
      </c>
      <c r="LY60" s="24" t="str">
        <f t="shared" ca="1" si="217"/>
        <v/>
      </c>
      <c r="LZ60" s="24" t="str">
        <f t="shared" ca="1" si="217"/>
        <v/>
      </c>
      <c r="MA60" s="24" t="str">
        <f t="shared" ca="1" si="217"/>
        <v/>
      </c>
      <c r="MB60" s="24" t="str">
        <f t="shared" ca="1" si="218"/>
        <v/>
      </c>
      <c r="MC60" s="24" t="str">
        <f t="shared" ca="1" si="218"/>
        <v/>
      </c>
      <c r="MD60" s="24" t="str">
        <f t="shared" ca="1" si="218"/>
        <v/>
      </c>
      <c r="ME60" s="24" t="str">
        <f t="shared" ca="1" si="218"/>
        <v/>
      </c>
      <c r="MF60" s="24" t="str">
        <f t="shared" ca="1" si="218"/>
        <v/>
      </c>
      <c r="MG60" s="24" t="str">
        <f t="shared" ca="1" si="218"/>
        <v/>
      </c>
      <c r="MH60" s="24" t="str">
        <f t="shared" ca="1" si="218"/>
        <v/>
      </c>
      <c r="MI60" s="24" t="str">
        <f t="shared" ca="1" si="218"/>
        <v/>
      </c>
      <c r="MJ60" s="24" t="str">
        <f t="shared" ca="1" si="218"/>
        <v/>
      </c>
      <c r="MK60" s="24" t="str">
        <f t="shared" ca="1" si="218"/>
        <v/>
      </c>
      <c r="ML60" s="24" t="str">
        <f t="shared" ca="1" si="219"/>
        <v/>
      </c>
      <c r="MM60" s="24" t="str">
        <f t="shared" ca="1" si="219"/>
        <v/>
      </c>
      <c r="MN60" s="24" t="str">
        <f t="shared" ca="1" si="219"/>
        <v/>
      </c>
      <c r="MO60" s="24" t="str">
        <f t="shared" ca="1" si="219"/>
        <v/>
      </c>
      <c r="MP60" s="24" t="str">
        <f t="shared" ca="1" si="219"/>
        <v/>
      </c>
      <c r="MQ60" s="24" t="str">
        <f t="shared" ca="1" si="219"/>
        <v/>
      </c>
      <c r="MR60" s="24" t="str">
        <f t="shared" ca="1" si="219"/>
        <v/>
      </c>
      <c r="MS60" s="24" t="str">
        <f t="shared" ca="1" si="219"/>
        <v/>
      </c>
      <c r="MT60" s="24" t="str">
        <f t="shared" ca="1" si="219"/>
        <v/>
      </c>
      <c r="MU60" s="24" t="str">
        <f t="shared" ca="1" si="219"/>
        <v/>
      </c>
      <c r="MV60" s="24" t="str">
        <f t="shared" ca="1" si="220"/>
        <v/>
      </c>
      <c r="MW60" s="24" t="str">
        <f t="shared" ca="1" si="220"/>
        <v/>
      </c>
      <c r="MX60" s="24" t="str">
        <f t="shared" ca="1" si="220"/>
        <v/>
      </c>
      <c r="MY60" s="24" t="str">
        <f t="shared" ca="1" si="220"/>
        <v/>
      </c>
      <c r="MZ60" s="24" t="str">
        <f t="shared" ca="1" si="220"/>
        <v/>
      </c>
      <c r="NA60" s="24" t="str">
        <f t="shared" ca="1" si="220"/>
        <v/>
      </c>
      <c r="NB60" s="24" t="str">
        <f t="shared" ca="1" si="220"/>
        <v/>
      </c>
      <c r="NC60" s="24" t="str">
        <f t="shared" ca="1" si="220"/>
        <v/>
      </c>
      <c r="ND60" s="24" t="str">
        <f t="shared" ca="1" si="220"/>
        <v/>
      </c>
      <c r="NE60" s="24" t="str">
        <f t="shared" ca="1" si="220"/>
        <v/>
      </c>
      <c r="NF60" s="24" t="str">
        <f t="shared" ca="1" si="221"/>
        <v/>
      </c>
      <c r="NG60" s="24" t="str">
        <f t="shared" ca="1" si="221"/>
        <v/>
      </c>
      <c r="NH60" s="24" t="str">
        <f t="shared" ca="1" si="221"/>
        <v/>
      </c>
      <c r="NI60" s="24" t="str">
        <f t="shared" ca="1" si="221"/>
        <v/>
      </c>
      <c r="NJ60" s="24" t="str">
        <f t="shared" ca="1" si="221"/>
        <v/>
      </c>
      <c r="NK60" s="24" t="str">
        <f t="shared" ca="1" si="221"/>
        <v/>
      </c>
      <c r="NL60" s="24" t="str">
        <f t="shared" ca="1" si="221"/>
        <v/>
      </c>
      <c r="NM60" s="24" t="str">
        <f t="shared" ca="1" si="221"/>
        <v/>
      </c>
      <c r="NN60" s="24" t="str">
        <f t="shared" ca="1" si="221"/>
        <v/>
      </c>
      <c r="NO60" s="24" t="str">
        <f t="shared" ca="1" si="221"/>
        <v/>
      </c>
      <c r="NP60" s="24" t="str">
        <f t="shared" ca="1" si="222"/>
        <v/>
      </c>
      <c r="NQ60" s="24" t="str">
        <f t="shared" ca="1" si="222"/>
        <v/>
      </c>
      <c r="NR60" s="24" t="str">
        <f t="shared" ca="1" si="222"/>
        <v/>
      </c>
      <c r="NS60" s="24" t="str">
        <f t="shared" ca="1" si="222"/>
        <v/>
      </c>
      <c r="NT60" s="24" t="str">
        <f t="shared" ca="1" si="222"/>
        <v/>
      </c>
      <c r="NU60" s="24" t="str">
        <f t="shared" ca="1" si="222"/>
        <v/>
      </c>
      <c r="NV60" s="24" t="str">
        <f t="shared" ca="1" si="222"/>
        <v/>
      </c>
      <c r="NW60" s="24" t="str">
        <f t="shared" ca="1" si="222"/>
        <v/>
      </c>
      <c r="NX60" s="24" t="str">
        <f t="shared" ca="1" si="222"/>
        <v/>
      </c>
      <c r="NY60" s="24" t="str">
        <f t="shared" ca="1" si="222"/>
        <v/>
      </c>
      <c r="NZ60" s="24" t="str">
        <f t="shared" ca="1" si="223"/>
        <v/>
      </c>
      <c r="OA60" s="24" t="str">
        <f t="shared" ca="1" si="223"/>
        <v/>
      </c>
      <c r="OB60" s="24" t="str">
        <f t="shared" ca="1" si="223"/>
        <v/>
      </c>
      <c r="OC60" s="24" t="str">
        <f t="shared" ca="1" si="223"/>
        <v/>
      </c>
      <c r="OD60" s="24" t="str">
        <f t="shared" ca="1" si="223"/>
        <v/>
      </c>
      <c r="OE60" s="24" t="str">
        <f t="shared" ca="1" si="223"/>
        <v/>
      </c>
      <c r="OF60" s="24" t="str">
        <f t="shared" ca="1" si="223"/>
        <v/>
      </c>
      <c r="OG60" s="24" t="str">
        <f t="shared" ca="1" si="223"/>
        <v/>
      </c>
      <c r="OH60" s="24" t="str">
        <f t="shared" ca="1" si="223"/>
        <v/>
      </c>
      <c r="OI60" s="24" t="str">
        <f t="shared" ca="1" si="223"/>
        <v/>
      </c>
      <c r="OJ60" s="24" t="str">
        <f t="shared" ca="1" si="224"/>
        <v/>
      </c>
      <c r="OK60" s="24" t="str">
        <f t="shared" ca="1" si="224"/>
        <v/>
      </c>
      <c r="OL60" s="24" t="str">
        <f t="shared" ca="1" si="224"/>
        <v/>
      </c>
      <c r="OM60" s="24" t="str">
        <f t="shared" ca="1" si="224"/>
        <v/>
      </c>
      <c r="ON60" s="24" t="str">
        <f t="shared" ca="1" si="224"/>
        <v/>
      </c>
      <c r="OO60" s="24" t="str">
        <f t="shared" ca="1" si="224"/>
        <v/>
      </c>
      <c r="OP60" s="24" t="str">
        <f t="shared" ca="1" si="224"/>
        <v/>
      </c>
      <c r="OQ60" s="24" t="str">
        <f t="shared" ca="1" si="224"/>
        <v/>
      </c>
      <c r="OR60" s="24" t="str">
        <f t="shared" ca="1" si="224"/>
        <v/>
      </c>
      <c r="OS60" s="24" t="str">
        <f t="shared" ca="1" si="224"/>
        <v/>
      </c>
      <c r="OT60" s="24" t="str">
        <f t="shared" ca="1" si="225"/>
        <v/>
      </c>
      <c r="OU60" s="24" t="str">
        <f t="shared" ca="1" si="225"/>
        <v/>
      </c>
      <c r="OV60" s="24" t="str">
        <f t="shared" ca="1" si="225"/>
        <v/>
      </c>
      <c r="OW60" s="24" t="str">
        <f t="shared" ca="1" si="225"/>
        <v/>
      </c>
      <c r="OX60" s="24" t="str">
        <f t="shared" ca="1" si="225"/>
        <v/>
      </c>
      <c r="OY60" s="24" t="str">
        <f t="shared" ca="1" si="225"/>
        <v/>
      </c>
      <c r="OZ60" s="24" t="str">
        <f t="shared" ca="1" si="225"/>
        <v/>
      </c>
      <c r="PA60" s="24" t="str">
        <f t="shared" ca="1" si="225"/>
        <v/>
      </c>
      <c r="PB60" s="24" t="str">
        <f t="shared" ca="1" si="225"/>
        <v/>
      </c>
      <c r="PC60" s="24" t="str">
        <f t="shared" ca="1" si="225"/>
        <v/>
      </c>
      <c r="PD60" s="24" t="str">
        <f t="shared" ca="1" si="226"/>
        <v/>
      </c>
      <c r="PE60" s="24" t="str">
        <f t="shared" ca="1" si="226"/>
        <v/>
      </c>
      <c r="PF60" s="24" t="str">
        <f t="shared" ca="1" si="226"/>
        <v/>
      </c>
      <c r="PG60" s="24" t="str">
        <f t="shared" ca="1" si="226"/>
        <v/>
      </c>
      <c r="PH60" s="24" t="str">
        <f t="shared" ca="1" si="226"/>
        <v/>
      </c>
      <c r="PI60" s="24" t="str">
        <f t="shared" ca="1" si="226"/>
        <v/>
      </c>
      <c r="PJ60" s="24" t="str">
        <f t="shared" ca="1" si="226"/>
        <v/>
      </c>
      <c r="PK60" s="24" t="str">
        <f t="shared" ca="1" si="226"/>
        <v/>
      </c>
      <c r="PL60" s="24" t="str">
        <f t="shared" ca="1" si="226"/>
        <v/>
      </c>
      <c r="PM60" s="24" t="str">
        <f t="shared" ca="1" si="226"/>
        <v/>
      </c>
      <c r="PN60" s="24" t="str">
        <f t="shared" ca="1" si="227"/>
        <v/>
      </c>
      <c r="PO60" s="24" t="str">
        <f t="shared" ca="1" si="227"/>
        <v/>
      </c>
      <c r="PP60" s="24" t="str">
        <f t="shared" ca="1" si="227"/>
        <v/>
      </c>
      <c r="PQ60" s="24" t="str">
        <f t="shared" ca="1" si="227"/>
        <v/>
      </c>
      <c r="PR60" s="24" t="str">
        <f t="shared" ca="1" si="227"/>
        <v/>
      </c>
      <c r="PS60" s="24" t="str">
        <f t="shared" ca="1" si="227"/>
        <v/>
      </c>
      <c r="PT60" s="24" t="str">
        <f t="shared" ca="1" si="227"/>
        <v/>
      </c>
      <c r="PU60" s="24" t="str">
        <f t="shared" ca="1" si="227"/>
        <v/>
      </c>
      <c r="PV60" s="24" t="str">
        <f t="shared" ca="1" si="227"/>
        <v/>
      </c>
      <c r="PW60" s="24" t="str">
        <f t="shared" ca="1" si="227"/>
        <v/>
      </c>
      <c r="PX60" s="24" t="str">
        <f t="shared" ca="1" si="228"/>
        <v/>
      </c>
      <c r="PY60" s="24" t="str">
        <f t="shared" ca="1" si="228"/>
        <v/>
      </c>
      <c r="PZ60" s="24" t="str">
        <f t="shared" ca="1" si="228"/>
        <v/>
      </c>
      <c r="QA60" s="24" t="str">
        <f t="shared" ca="1" si="228"/>
        <v/>
      </c>
      <c r="QB60" s="24" t="str">
        <f t="shared" ca="1" si="228"/>
        <v/>
      </c>
      <c r="QC60" s="24" t="str">
        <f t="shared" ca="1" si="228"/>
        <v/>
      </c>
      <c r="QD60" s="24" t="str">
        <f t="shared" ca="1" si="228"/>
        <v/>
      </c>
      <c r="QE60" s="24" t="str">
        <f t="shared" ca="1" si="228"/>
        <v/>
      </c>
      <c r="QF60" s="24" t="str">
        <f t="shared" ca="1" si="228"/>
        <v/>
      </c>
      <c r="QG60" s="24" t="str">
        <f t="shared" ca="1" si="228"/>
        <v/>
      </c>
      <c r="QH60" s="24" t="str">
        <f t="shared" ca="1" si="229"/>
        <v/>
      </c>
      <c r="QI60" s="24" t="str">
        <f t="shared" ca="1" si="229"/>
        <v/>
      </c>
      <c r="QJ60" s="24" t="str">
        <f t="shared" ca="1" si="229"/>
        <v/>
      </c>
      <c r="QK60" s="24" t="str">
        <f t="shared" ca="1" si="229"/>
        <v/>
      </c>
      <c r="QL60" s="24" t="str">
        <f t="shared" ca="1" si="229"/>
        <v/>
      </c>
      <c r="QM60" s="24" t="str">
        <f t="shared" ca="1" si="229"/>
        <v/>
      </c>
      <c r="QN60" s="24" t="str">
        <f t="shared" ca="1" si="229"/>
        <v/>
      </c>
      <c r="QO60" s="24" t="str">
        <f t="shared" ca="1" si="229"/>
        <v/>
      </c>
      <c r="QP60" s="24" t="str">
        <f t="shared" ca="1" si="229"/>
        <v/>
      </c>
      <c r="QQ60" s="24" t="str">
        <f t="shared" ca="1" si="229"/>
        <v/>
      </c>
      <c r="QR60" s="24" t="str">
        <f t="shared" ca="1" si="230"/>
        <v/>
      </c>
      <c r="QS60" s="24" t="str">
        <f t="shared" ca="1" si="230"/>
        <v/>
      </c>
      <c r="QT60" s="24" t="str">
        <f t="shared" ca="1" si="230"/>
        <v/>
      </c>
      <c r="QU60" s="24" t="str">
        <f t="shared" ca="1" si="230"/>
        <v/>
      </c>
      <c r="QV60" s="24" t="str">
        <f t="shared" ca="1" si="230"/>
        <v/>
      </c>
      <c r="QW60" s="24" t="str">
        <f t="shared" ca="1" si="230"/>
        <v/>
      </c>
      <c r="QX60" s="24" t="str">
        <f t="shared" ca="1" si="230"/>
        <v/>
      </c>
      <c r="QY60" s="24" t="str">
        <f t="shared" ca="1" si="230"/>
        <v/>
      </c>
      <c r="QZ60" s="24" t="str">
        <f t="shared" ca="1" si="230"/>
        <v/>
      </c>
      <c r="RA60" s="24" t="str">
        <f t="shared" ca="1" si="230"/>
        <v/>
      </c>
      <c r="RB60" s="24" t="str">
        <f t="shared" ca="1" si="231"/>
        <v/>
      </c>
      <c r="RC60" s="24" t="str">
        <f t="shared" ca="1" si="231"/>
        <v/>
      </c>
      <c r="RD60" s="24" t="str">
        <f t="shared" ca="1" si="231"/>
        <v/>
      </c>
      <c r="RE60" s="24" t="str">
        <f t="shared" ca="1" si="231"/>
        <v/>
      </c>
      <c r="RF60" s="24" t="str">
        <f t="shared" ca="1" si="231"/>
        <v/>
      </c>
      <c r="RG60" s="24" t="str">
        <f t="shared" ca="1" si="231"/>
        <v/>
      </c>
      <c r="RH60" s="24" t="str">
        <f t="shared" ca="1" si="231"/>
        <v/>
      </c>
      <c r="RI60" s="24" t="str">
        <f t="shared" ca="1" si="231"/>
        <v/>
      </c>
      <c r="RJ60" s="24" t="str">
        <f t="shared" ca="1" si="231"/>
        <v/>
      </c>
      <c r="RK60" s="24" t="str">
        <f t="shared" ca="1" si="231"/>
        <v/>
      </c>
      <c r="RL60" s="24" t="str">
        <f t="shared" ca="1" si="232"/>
        <v/>
      </c>
      <c r="RM60" s="24" t="str">
        <f t="shared" ca="1" si="232"/>
        <v/>
      </c>
      <c r="RN60" s="24" t="str">
        <f t="shared" ca="1" si="232"/>
        <v/>
      </c>
      <c r="RO60" s="24" t="str">
        <f t="shared" ca="1" si="232"/>
        <v/>
      </c>
      <c r="RP60" s="24" t="str">
        <f t="shared" ca="1" si="232"/>
        <v/>
      </c>
      <c r="RQ60" s="24" t="str">
        <f t="shared" ca="1" si="232"/>
        <v/>
      </c>
      <c r="RR60" s="24" t="str">
        <f t="shared" ca="1" si="232"/>
        <v/>
      </c>
      <c r="RS60" s="24" t="str">
        <f t="shared" ca="1" si="232"/>
        <v/>
      </c>
      <c r="RT60" s="24" t="str">
        <f t="shared" ca="1" si="232"/>
        <v/>
      </c>
      <c r="RU60" s="24" t="str">
        <f t="shared" ca="1" si="232"/>
        <v/>
      </c>
      <c r="RV60" s="24" t="str">
        <f t="shared" ca="1" si="233"/>
        <v/>
      </c>
      <c r="RW60" s="24" t="str">
        <f t="shared" ca="1" si="233"/>
        <v/>
      </c>
      <c r="RX60" s="24" t="str">
        <f t="shared" ca="1" si="233"/>
        <v/>
      </c>
      <c r="RY60" s="24" t="str">
        <f t="shared" ca="1" si="233"/>
        <v/>
      </c>
      <c r="RZ60" s="24" t="str">
        <f t="shared" ca="1" si="233"/>
        <v/>
      </c>
      <c r="SA60" s="24" t="str">
        <f t="shared" ca="1" si="233"/>
        <v/>
      </c>
      <c r="SB60" s="24" t="str">
        <f t="shared" ca="1" si="233"/>
        <v/>
      </c>
      <c r="SC60" s="24" t="str">
        <f t="shared" ca="1" si="233"/>
        <v/>
      </c>
      <c r="SD60" s="24" t="str">
        <f t="shared" ca="1" si="233"/>
        <v/>
      </c>
      <c r="SE60" s="24" t="str">
        <f t="shared" ca="1" si="233"/>
        <v/>
      </c>
      <c r="SF60" s="24" t="str">
        <f t="shared" ca="1" si="234"/>
        <v/>
      </c>
      <c r="SG60" s="24" t="str">
        <f t="shared" ca="1" si="234"/>
        <v/>
      </c>
      <c r="SH60" s="24" t="str">
        <f t="shared" ca="1" si="234"/>
        <v/>
      </c>
      <c r="SI60" s="24" t="str">
        <f t="shared" ca="1" si="234"/>
        <v/>
      </c>
      <c r="SJ60" s="24" t="str">
        <f t="shared" ca="1" si="234"/>
        <v/>
      </c>
      <c r="SK60" s="24" t="str">
        <f t="shared" ca="1" si="234"/>
        <v/>
      </c>
      <c r="SL60" s="24" t="str">
        <f t="shared" ca="1" si="234"/>
        <v/>
      </c>
      <c r="SM60" s="24" t="str">
        <f t="shared" ca="1" si="234"/>
        <v/>
      </c>
      <c r="SN60" s="24" t="str">
        <f t="shared" ca="1" si="234"/>
        <v/>
      </c>
      <c r="SO60" s="24" t="str">
        <f t="shared" ca="1" si="234"/>
        <v/>
      </c>
      <c r="SP60" s="24" t="str">
        <f t="shared" ca="1" si="235"/>
        <v/>
      </c>
      <c r="SQ60" s="24" t="str">
        <f t="shared" ca="1" si="235"/>
        <v/>
      </c>
      <c r="SR60" s="24" t="str">
        <f t="shared" ca="1" si="235"/>
        <v/>
      </c>
      <c r="SS60" s="24" t="str">
        <f t="shared" ca="1" si="235"/>
        <v/>
      </c>
      <c r="ST60" s="24" t="str">
        <f t="shared" ca="1" si="235"/>
        <v/>
      </c>
      <c r="SU60" s="24" t="str">
        <f t="shared" ca="1" si="235"/>
        <v/>
      </c>
      <c r="SV60" s="24" t="str">
        <f t="shared" ca="1" si="235"/>
        <v/>
      </c>
      <c r="SW60" s="24" t="str">
        <f t="shared" ca="1" si="235"/>
        <v/>
      </c>
      <c r="SX60" s="24" t="str">
        <f t="shared" ca="1" si="235"/>
        <v/>
      </c>
      <c r="SY60" s="24" t="str">
        <f t="shared" ca="1" si="235"/>
        <v/>
      </c>
      <c r="SZ60" s="24" t="str">
        <f t="shared" ca="1" si="236"/>
        <v/>
      </c>
      <c r="TA60" s="24" t="str">
        <f t="shared" ca="1" si="236"/>
        <v/>
      </c>
      <c r="TB60" s="24" t="str">
        <f t="shared" ca="1" si="236"/>
        <v/>
      </c>
      <c r="TC60" s="24" t="str">
        <f t="shared" ca="1" si="236"/>
        <v/>
      </c>
      <c r="TD60" s="24" t="str">
        <f t="shared" ca="1" si="236"/>
        <v/>
      </c>
      <c r="TE60" s="24" t="str">
        <f t="shared" ca="1" si="236"/>
        <v/>
      </c>
      <c r="TF60" s="24" t="str">
        <f t="shared" ca="1" si="236"/>
        <v/>
      </c>
      <c r="TG60" s="24" t="str">
        <f t="shared" ca="1" si="236"/>
        <v/>
      </c>
      <c r="TH60" s="24" t="str">
        <f t="shared" ca="1" si="236"/>
        <v/>
      </c>
      <c r="TI60" s="24" t="str">
        <f t="shared" ca="1" si="236"/>
        <v/>
      </c>
      <c r="TJ60" s="24" t="str">
        <f t="shared" ca="1" si="237"/>
        <v/>
      </c>
      <c r="TK60" s="24" t="str">
        <f t="shared" ca="1" si="237"/>
        <v/>
      </c>
      <c r="TL60" s="24" t="str">
        <f t="shared" ca="1" si="237"/>
        <v/>
      </c>
      <c r="TM60" s="24" t="str">
        <f t="shared" ca="1" si="237"/>
        <v/>
      </c>
      <c r="TN60" s="24" t="str">
        <f t="shared" ca="1" si="237"/>
        <v/>
      </c>
      <c r="TO60" s="24" t="str">
        <f t="shared" ca="1" si="237"/>
        <v/>
      </c>
      <c r="TP60" s="24" t="str">
        <f t="shared" ca="1" si="237"/>
        <v/>
      </c>
      <c r="TQ60" s="24" t="str">
        <f t="shared" ca="1" si="237"/>
        <v/>
      </c>
      <c r="TR60" s="24" t="str">
        <f t="shared" ca="1" si="237"/>
        <v/>
      </c>
      <c r="TS60" s="24" t="str">
        <f t="shared" ca="1" si="237"/>
        <v/>
      </c>
      <c r="TT60" s="24" t="str">
        <f t="shared" ca="1" si="238"/>
        <v/>
      </c>
      <c r="TU60" s="24" t="str">
        <f t="shared" ca="1" si="238"/>
        <v/>
      </c>
      <c r="TV60" s="24" t="str">
        <f t="shared" ca="1" si="238"/>
        <v/>
      </c>
      <c r="TW60" s="24" t="str">
        <f t="shared" ca="1" si="238"/>
        <v/>
      </c>
      <c r="TX60" s="24" t="str">
        <f t="shared" ca="1" si="238"/>
        <v/>
      </c>
      <c r="TY60" s="24" t="str">
        <f t="shared" ca="1" si="238"/>
        <v/>
      </c>
      <c r="TZ60" s="24" t="str">
        <f t="shared" ca="1" si="238"/>
        <v/>
      </c>
      <c r="UA60" s="24" t="str">
        <f t="shared" ca="1" si="238"/>
        <v/>
      </c>
      <c r="UB60" s="24" t="str">
        <f t="shared" ca="1" si="238"/>
        <v/>
      </c>
      <c r="UC60" s="24" t="str">
        <f t="shared" ca="1" si="238"/>
        <v/>
      </c>
      <c r="UD60" s="24" t="str">
        <f t="shared" ca="1" si="239"/>
        <v/>
      </c>
      <c r="UE60" s="24" t="str">
        <f t="shared" ca="1" si="239"/>
        <v/>
      </c>
      <c r="UF60" s="24" t="str">
        <f t="shared" ca="1" si="239"/>
        <v/>
      </c>
      <c r="UG60" s="24" t="str">
        <f t="shared" ca="1" si="239"/>
        <v/>
      </c>
      <c r="UH60" s="24" t="str">
        <f t="shared" ca="1" si="239"/>
        <v/>
      </c>
      <c r="UI60" s="24" t="str">
        <f t="shared" ca="1" si="239"/>
        <v/>
      </c>
      <c r="UJ60" s="24" t="str">
        <f t="shared" ca="1" si="239"/>
        <v/>
      </c>
      <c r="UK60" s="24" t="str">
        <f t="shared" ca="1" si="239"/>
        <v/>
      </c>
      <c r="UL60" s="24" t="str">
        <f t="shared" ca="1" si="239"/>
        <v/>
      </c>
      <c r="UM60" s="24" t="str">
        <f t="shared" ca="1" si="239"/>
        <v/>
      </c>
      <c r="UN60" s="24" t="str">
        <f t="shared" ca="1" si="240"/>
        <v/>
      </c>
      <c r="UO60" s="24" t="str">
        <f t="shared" ca="1" si="240"/>
        <v/>
      </c>
      <c r="UP60" s="24" t="str">
        <f t="shared" ca="1" si="240"/>
        <v/>
      </c>
      <c r="UQ60" s="24" t="str">
        <f t="shared" ca="1" si="240"/>
        <v/>
      </c>
      <c r="UR60" s="24" t="str">
        <f t="shared" ca="1" si="240"/>
        <v/>
      </c>
      <c r="US60" s="24" t="str">
        <f t="shared" ca="1" si="240"/>
        <v/>
      </c>
      <c r="UT60" s="24" t="str">
        <f t="shared" ca="1" si="240"/>
        <v/>
      </c>
      <c r="UU60" s="24" t="str">
        <f t="shared" ca="1" si="240"/>
        <v/>
      </c>
      <c r="UV60" s="24" t="str">
        <f t="shared" ca="1" si="240"/>
        <v/>
      </c>
      <c r="UW60" s="24" t="str">
        <f t="shared" ca="1" si="240"/>
        <v/>
      </c>
      <c r="UX60" s="24" t="str">
        <f t="shared" ca="1" si="241"/>
        <v/>
      </c>
      <c r="UY60" s="24" t="str">
        <f t="shared" ca="1" si="241"/>
        <v/>
      </c>
      <c r="UZ60" s="24" t="str">
        <f t="shared" ca="1" si="241"/>
        <v/>
      </c>
      <c r="VA60" s="24" t="str">
        <f t="shared" ca="1" si="241"/>
        <v/>
      </c>
      <c r="VB60" s="24" t="str">
        <f t="shared" ca="1" si="241"/>
        <v/>
      </c>
      <c r="VC60" s="24" t="str">
        <f t="shared" ca="1" si="241"/>
        <v/>
      </c>
      <c r="VD60" s="24" t="str">
        <f t="shared" ca="1" si="241"/>
        <v/>
      </c>
      <c r="VE60" s="24" t="str">
        <f t="shared" ca="1" si="241"/>
        <v/>
      </c>
      <c r="VF60" s="24" t="str">
        <f t="shared" ca="1" si="241"/>
        <v/>
      </c>
      <c r="VG60" s="24" t="str">
        <f t="shared" ca="1" si="241"/>
        <v/>
      </c>
      <c r="VH60" s="24" t="str">
        <f t="shared" ca="1" si="242"/>
        <v/>
      </c>
      <c r="VI60" s="24" t="str">
        <f t="shared" ca="1" si="242"/>
        <v/>
      </c>
      <c r="VJ60" s="24" t="str">
        <f t="shared" ca="1" si="242"/>
        <v/>
      </c>
      <c r="VK60" s="24" t="str">
        <f t="shared" ca="1" si="242"/>
        <v/>
      </c>
      <c r="VL60" s="24" t="str">
        <f t="shared" ca="1" si="242"/>
        <v/>
      </c>
      <c r="VM60" s="24" t="str">
        <f t="shared" ca="1" si="242"/>
        <v/>
      </c>
      <c r="VN60" s="24" t="str">
        <f t="shared" ca="1" si="242"/>
        <v/>
      </c>
      <c r="VO60" s="24" t="str">
        <f t="shared" ca="1" si="242"/>
        <v/>
      </c>
      <c r="VP60" s="24" t="str">
        <f t="shared" ca="1" si="242"/>
        <v/>
      </c>
      <c r="VQ60" s="24" t="str">
        <f t="shared" ca="1" si="242"/>
        <v/>
      </c>
      <c r="VR60" s="24" t="str">
        <f t="shared" ca="1" si="242"/>
        <v/>
      </c>
      <c r="VS60" s="24" t="str">
        <f t="shared" ca="1" si="242"/>
        <v/>
      </c>
    </row>
    <row r="61" spans="1:591" s="17" customFormat="1" ht="21.6" customHeight="1" x14ac:dyDescent="0.3">
      <c r="A61" s="81"/>
      <c r="B61" s="28" t="s">
        <v>69</v>
      </c>
      <c r="C61" s="19" t="s">
        <v>72</v>
      </c>
      <c r="D61" s="19"/>
      <c r="E61" s="27"/>
      <c r="F61" s="26">
        <f>F35</f>
        <v>46177</v>
      </c>
      <c r="G61" s="26">
        <f>Milestones43524[[#This Row],[Start]]+Milestones43524[[#This Row],[Days]]</f>
        <v>46196</v>
      </c>
      <c r="H61" s="25">
        <v>19</v>
      </c>
      <c r="I61" s="19"/>
      <c r="J61" s="74" t="str">
        <f t="shared" ca="1" si="185"/>
        <v/>
      </c>
      <c r="K61" s="74" t="str">
        <f t="shared" ca="1" si="185"/>
        <v/>
      </c>
      <c r="L61" s="74" t="str">
        <f t="shared" ca="1" si="185"/>
        <v/>
      </c>
      <c r="M61" s="74" t="str">
        <f t="shared" ca="1" si="185"/>
        <v/>
      </c>
      <c r="N61" s="74" t="str">
        <f t="shared" ca="1" si="185"/>
        <v/>
      </c>
      <c r="O61" s="74" t="str">
        <f t="shared" ca="1" si="185"/>
        <v/>
      </c>
      <c r="P61" s="74" t="str">
        <f t="shared" ca="1" si="185"/>
        <v/>
      </c>
      <c r="Q61" s="74" t="str">
        <f t="shared" ca="1" si="185"/>
        <v/>
      </c>
      <c r="R61" s="74" t="str">
        <f t="shared" ca="1" si="185"/>
        <v/>
      </c>
      <c r="S61" s="74" t="str">
        <f t="shared" ca="1" si="185"/>
        <v/>
      </c>
      <c r="T61" s="74" t="str">
        <f t="shared" ca="1" si="186"/>
        <v/>
      </c>
      <c r="U61" s="74" t="str">
        <f t="shared" ca="1" si="186"/>
        <v/>
      </c>
      <c r="V61" s="74" t="str">
        <f t="shared" ca="1" si="186"/>
        <v/>
      </c>
      <c r="W61" s="74" t="str">
        <f t="shared" ca="1" si="186"/>
        <v/>
      </c>
      <c r="X61" s="74" t="str">
        <f t="shared" ca="1" si="186"/>
        <v/>
      </c>
      <c r="Y61" s="74" t="str">
        <f t="shared" ca="1" si="186"/>
        <v/>
      </c>
      <c r="Z61" s="74" t="str">
        <f t="shared" ca="1" si="186"/>
        <v/>
      </c>
      <c r="AA61" s="74" t="str">
        <f t="shared" ca="1" si="186"/>
        <v/>
      </c>
      <c r="AB61" s="74" t="str">
        <f t="shared" ca="1" si="186"/>
        <v/>
      </c>
      <c r="AC61" s="74" t="str">
        <f t="shared" ca="1" si="186"/>
        <v/>
      </c>
      <c r="AD61" s="74" t="str">
        <f t="shared" ca="1" si="187"/>
        <v/>
      </c>
      <c r="AE61" s="74" t="str">
        <f t="shared" ca="1" si="187"/>
        <v/>
      </c>
      <c r="AF61" s="74" t="str">
        <f t="shared" ca="1" si="187"/>
        <v/>
      </c>
      <c r="AG61" s="74" t="str">
        <f t="shared" ca="1" si="187"/>
        <v/>
      </c>
      <c r="AH61" s="74" t="str">
        <f t="shared" ca="1" si="187"/>
        <v/>
      </c>
      <c r="AI61" s="74" t="str">
        <f t="shared" ca="1" si="187"/>
        <v/>
      </c>
      <c r="AJ61" s="74" t="str">
        <f t="shared" ca="1" si="187"/>
        <v/>
      </c>
      <c r="AK61" s="74" t="str">
        <f t="shared" ca="1" si="187"/>
        <v/>
      </c>
      <c r="AL61" s="74" t="str">
        <f t="shared" ca="1" si="187"/>
        <v/>
      </c>
      <c r="AM61" s="74" t="str">
        <f t="shared" ca="1" si="187"/>
        <v/>
      </c>
      <c r="AN61" s="74" t="str">
        <f t="shared" ca="1" si="188"/>
        <v/>
      </c>
      <c r="AO61" s="74" t="str">
        <f t="shared" ca="1" si="188"/>
        <v/>
      </c>
      <c r="AP61" s="74" t="str">
        <f t="shared" ca="1" si="188"/>
        <v/>
      </c>
      <c r="AQ61" s="74" t="str">
        <f t="shared" ca="1" si="188"/>
        <v/>
      </c>
      <c r="AR61" s="74" t="str">
        <f t="shared" ca="1" si="188"/>
        <v/>
      </c>
      <c r="AS61" s="74" t="str">
        <f t="shared" ca="1" si="188"/>
        <v/>
      </c>
      <c r="AT61" s="74" t="str">
        <f t="shared" ca="1" si="188"/>
        <v/>
      </c>
      <c r="AU61" s="74" t="str">
        <f t="shared" ca="1" si="188"/>
        <v/>
      </c>
      <c r="AV61" s="74" t="str">
        <f t="shared" ca="1" si="188"/>
        <v/>
      </c>
      <c r="AW61" s="74" t="str">
        <f t="shared" ca="1" si="188"/>
        <v/>
      </c>
      <c r="AX61" s="74" t="str">
        <f t="shared" ca="1" si="189"/>
        <v/>
      </c>
      <c r="AY61" s="74" t="str">
        <f t="shared" ca="1" si="189"/>
        <v/>
      </c>
      <c r="AZ61" s="74" t="str">
        <f t="shared" ca="1" si="189"/>
        <v/>
      </c>
      <c r="BA61" s="74" t="str">
        <f t="shared" ca="1" si="189"/>
        <v/>
      </c>
      <c r="BB61" s="74" t="str">
        <f t="shared" ca="1" si="189"/>
        <v/>
      </c>
      <c r="BC61" s="74" t="str">
        <f t="shared" ca="1" si="189"/>
        <v/>
      </c>
      <c r="BD61" s="74" t="str">
        <f t="shared" ca="1" si="189"/>
        <v/>
      </c>
      <c r="BE61" s="74" t="str">
        <f t="shared" ca="1" si="189"/>
        <v/>
      </c>
      <c r="BF61" s="74" t="str">
        <f t="shared" ca="1" si="189"/>
        <v/>
      </c>
      <c r="BG61" s="74" t="str">
        <f t="shared" ca="1" si="189"/>
        <v/>
      </c>
      <c r="BH61" s="74" t="str">
        <f t="shared" ca="1" si="190"/>
        <v/>
      </c>
      <c r="BI61" s="74" t="str">
        <f t="shared" ca="1" si="190"/>
        <v/>
      </c>
      <c r="BJ61" s="74" t="str">
        <f t="shared" ca="1" si="190"/>
        <v/>
      </c>
      <c r="BK61" s="74" t="str">
        <f t="shared" ca="1" si="190"/>
        <v/>
      </c>
      <c r="BL61" s="74" t="str">
        <f t="shared" ca="1" si="190"/>
        <v/>
      </c>
      <c r="BM61" s="74" t="str">
        <f t="shared" ca="1" si="190"/>
        <v/>
      </c>
      <c r="BN61" s="74" t="str">
        <f t="shared" ca="1" si="190"/>
        <v/>
      </c>
      <c r="BO61" s="74" t="str">
        <f t="shared" ca="1" si="190"/>
        <v/>
      </c>
      <c r="BP61" s="74" t="str">
        <f t="shared" ca="1" si="190"/>
        <v/>
      </c>
      <c r="BQ61" s="74" t="str">
        <f t="shared" ca="1" si="190"/>
        <v/>
      </c>
      <c r="BR61" s="74" t="str">
        <f t="shared" ca="1" si="191"/>
        <v/>
      </c>
      <c r="BS61" s="74" t="str">
        <f t="shared" ca="1" si="191"/>
        <v/>
      </c>
      <c r="BT61" s="74" t="str">
        <f t="shared" ca="1" si="191"/>
        <v/>
      </c>
      <c r="BU61" s="74" t="str">
        <f t="shared" ca="1" si="191"/>
        <v/>
      </c>
      <c r="BV61" s="74" t="str">
        <f t="shared" ca="1" si="191"/>
        <v/>
      </c>
      <c r="BW61" s="74" t="str">
        <f t="shared" ca="1" si="191"/>
        <v/>
      </c>
      <c r="BX61" s="74" t="str">
        <f t="shared" ca="1" si="191"/>
        <v/>
      </c>
      <c r="BY61" s="74" t="str">
        <f t="shared" ca="1" si="191"/>
        <v/>
      </c>
      <c r="BZ61" s="74" t="str">
        <f t="shared" ca="1" si="191"/>
        <v/>
      </c>
      <c r="CA61" s="74" t="str">
        <f t="shared" ca="1" si="191"/>
        <v/>
      </c>
      <c r="CB61" s="74" t="str">
        <f t="shared" ca="1" si="192"/>
        <v/>
      </c>
      <c r="CC61" s="74" t="str">
        <f t="shared" ca="1" si="192"/>
        <v/>
      </c>
      <c r="CD61" s="74" t="str">
        <f t="shared" ca="1" si="192"/>
        <v/>
      </c>
      <c r="CE61" s="74" t="str">
        <f t="shared" ca="1" si="192"/>
        <v/>
      </c>
      <c r="CF61" s="74" t="str">
        <f t="shared" ca="1" si="192"/>
        <v/>
      </c>
      <c r="CG61" s="74" t="str">
        <f t="shared" ca="1" si="192"/>
        <v/>
      </c>
      <c r="CH61" s="74" t="str">
        <f t="shared" ca="1" si="192"/>
        <v/>
      </c>
      <c r="CI61" s="74" t="str">
        <f t="shared" ca="1" si="192"/>
        <v/>
      </c>
      <c r="CJ61" s="74" t="str">
        <f t="shared" ca="1" si="192"/>
        <v/>
      </c>
      <c r="CK61" s="74" t="str">
        <f t="shared" ca="1" si="192"/>
        <v/>
      </c>
      <c r="CL61" s="74" t="str">
        <f t="shared" ca="1" si="193"/>
        <v/>
      </c>
      <c r="CM61" s="74" t="str">
        <f t="shared" ca="1" si="193"/>
        <v/>
      </c>
      <c r="CN61" s="74" t="str">
        <f t="shared" ca="1" si="193"/>
        <v/>
      </c>
      <c r="CO61" s="74" t="str">
        <f t="shared" ca="1" si="193"/>
        <v/>
      </c>
      <c r="CP61" s="74" t="str">
        <f t="shared" ca="1" si="193"/>
        <v/>
      </c>
      <c r="CQ61" s="74" t="str">
        <f t="shared" ca="1" si="193"/>
        <v/>
      </c>
      <c r="CR61" s="74" t="str">
        <f t="shared" ca="1" si="193"/>
        <v/>
      </c>
      <c r="CS61" s="74" t="str">
        <f t="shared" ca="1" si="193"/>
        <v/>
      </c>
      <c r="CT61" s="74" t="str">
        <f t="shared" ca="1" si="193"/>
        <v/>
      </c>
      <c r="CU61" s="74" t="str">
        <f t="shared" ca="1" si="193"/>
        <v/>
      </c>
      <c r="CV61" s="74" t="str">
        <f t="shared" ca="1" si="194"/>
        <v/>
      </c>
      <c r="CW61" s="74" t="str">
        <f t="shared" ca="1" si="194"/>
        <v/>
      </c>
      <c r="CX61" s="74" t="str">
        <f t="shared" ca="1" si="194"/>
        <v/>
      </c>
      <c r="CY61" s="74" t="str">
        <f t="shared" ca="1" si="194"/>
        <v/>
      </c>
      <c r="CZ61" s="74" t="str">
        <f t="shared" ca="1" si="194"/>
        <v/>
      </c>
      <c r="DA61" s="74" t="str">
        <f t="shared" ca="1" si="194"/>
        <v/>
      </c>
      <c r="DB61" s="74" t="str">
        <f t="shared" ca="1" si="194"/>
        <v/>
      </c>
      <c r="DC61" s="74" t="str">
        <f t="shared" ca="1" si="194"/>
        <v/>
      </c>
      <c r="DD61" s="74" t="str">
        <f t="shared" ca="1" si="194"/>
        <v/>
      </c>
      <c r="DE61" s="74" t="str">
        <f t="shared" ca="1" si="194"/>
        <v/>
      </c>
      <c r="DF61" s="74" t="str">
        <f t="shared" ca="1" si="195"/>
        <v/>
      </c>
      <c r="DG61" s="74" t="str">
        <f t="shared" ca="1" si="195"/>
        <v/>
      </c>
      <c r="DH61" s="74" t="str">
        <f t="shared" ca="1" si="195"/>
        <v/>
      </c>
      <c r="DI61" s="74" t="str">
        <f t="shared" ca="1" si="195"/>
        <v/>
      </c>
      <c r="DJ61" s="74" t="str">
        <f t="shared" ca="1" si="195"/>
        <v/>
      </c>
      <c r="DK61" s="74" t="str">
        <f t="shared" ca="1" si="195"/>
        <v/>
      </c>
      <c r="DL61" s="74" t="str">
        <f t="shared" ca="1" si="195"/>
        <v/>
      </c>
      <c r="DM61" s="74" t="str">
        <f t="shared" ca="1" si="195"/>
        <v/>
      </c>
      <c r="DN61" s="74" t="str">
        <f t="shared" ca="1" si="195"/>
        <v/>
      </c>
      <c r="DO61" s="74" t="str">
        <f t="shared" ca="1" si="195"/>
        <v/>
      </c>
      <c r="DP61" s="74" t="str">
        <f t="shared" ca="1" si="196"/>
        <v/>
      </c>
      <c r="DQ61" s="74" t="str">
        <f t="shared" ca="1" si="196"/>
        <v/>
      </c>
      <c r="DR61" s="74" t="str">
        <f t="shared" ca="1" si="196"/>
        <v/>
      </c>
      <c r="DS61" s="74" t="str">
        <f t="shared" ca="1" si="196"/>
        <v/>
      </c>
      <c r="DT61" s="74" t="str">
        <f t="shared" ca="1" si="196"/>
        <v/>
      </c>
      <c r="DU61" s="74" t="str">
        <f t="shared" ca="1" si="196"/>
        <v/>
      </c>
      <c r="DV61" s="74" t="str">
        <f t="shared" ca="1" si="196"/>
        <v/>
      </c>
      <c r="DW61" s="74" t="str">
        <f t="shared" ca="1" si="196"/>
        <v/>
      </c>
      <c r="DX61" s="74" t="str">
        <f t="shared" ca="1" si="196"/>
        <v/>
      </c>
      <c r="DY61" s="74" t="str">
        <f t="shared" ca="1" si="196"/>
        <v/>
      </c>
      <c r="DZ61" s="74" t="str">
        <f t="shared" ca="1" si="197"/>
        <v/>
      </c>
      <c r="EA61" s="74" t="str">
        <f t="shared" ca="1" si="197"/>
        <v/>
      </c>
      <c r="EB61" s="74" t="str">
        <f t="shared" ca="1" si="197"/>
        <v/>
      </c>
      <c r="EC61" s="74" t="str">
        <f t="shared" ca="1" si="197"/>
        <v/>
      </c>
      <c r="ED61" s="74" t="str">
        <f t="shared" ca="1" si="197"/>
        <v/>
      </c>
      <c r="EE61" s="74" t="str">
        <f t="shared" ca="1" si="197"/>
        <v/>
      </c>
      <c r="EF61" s="74" t="str">
        <f t="shared" ca="1" si="197"/>
        <v/>
      </c>
      <c r="EG61" s="74" t="str">
        <f t="shared" ca="1" si="197"/>
        <v/>
      </c>
      <c r="EH61" s="74" t="str">
        <f t="shared" ca="1" si="197"/>
        <v/>
      </c>
      <c r="EI61" s="74" t="str">
        <f t="shared" ca="1" si="197"/>
        <v/>
      </c>
      <c r="EJ61" s="74" t="str">
        <f t="shared" ca="1" si="198"/>
        <v/>
      </c>
      <c r="EK61" s="74" t="str">
        <f t="shared" ca="1" si="198"/>
        <v/>
      </c>
      <c r="EL61" s="74" t="str">
        <f t="shared" ca="1" si="198"/>
        <v/>
      </c>
      <c r="EM61" s="74" t="str">
        <f t="shared" ca="1" si="198"/>
        <v/>
      </c>
      <c r="EN61" s="74" t="str">
        <f t="shared" ca="1" si="198"/>
        <v/>
      </c>
      <c r="EO61" s="74" t="str">
        <f t="shared" ca="1" si="198"/>
        <v/>
      </c>
      <c r="EP61" s="74" t="str">
        <f t="shared" ca="1" si="198"/>
        <v/>
      </c>
      <c r="EQ61" s="74" t="str">
        <f t="shared" ca="1" si="198"/>
        <v/>
      </c>
      <c r="ER61" s="74" t="str">
        <f t="shared" ca="1" si="198"/>
        <v/>
      </c>
      <c r="ES61" s="74" t="str">
        <f t="shared" ca="1" si="198"/>
        <v/>
      </c>
      <c r="ET61" s="74" t="str">
        <f t="shared" ca="1" si="199"/>
        <v/>
      </c>
      <c r="EU61" s="74" t="str">
        <f t="shared" ca="1" si="199"/>
        <v/>
      </c>
      <c r="EV61" s="74" t="str">
        <f t="shared" ca="1" si="199"/>
        <v/>
      </c>
      <c r="EW61" s="74" t="str">
        <f t="shared" ca="1" si="199"/>
        <v/>
      </c>
      <c r="EX61" s="74" t="str">
        <f t="shared" ca="1" si="199"/>
        <v/>
      </c>
      <c r="EY61" s="74" t="str">
        <f t="shared" ca="1" si="199"/>
        <v/>
      </c>
      <c r="EZ61" s="74" t="str">
        <f t="shared" ca="1" si="199"/>
        <v/>
      </c>
      <c r="FA61" s="74" t="str">
        <f t="shared" ca="1" si="199"/>
        <v/>
      </c>
      <c r="FB61" s="74" t="str">
        <f t="shared" ca="1" si="199"/>
        <v/>
      </c>
      <c r="FC61" s="74" t="str">
        <f t="shared" ca="1" si="199"/>
        <v/>
      </c>
      <c r="FD61" s="74" t="str">
        <f t="shared" ca="1" si="200"/>
        <v/>
      </c>
      <c r="FE61" s="74" t="str">
        <f t="shared" ca="1" si="200"/>
        <v/>
      </c>
      <c r="FF61" s="74" t="str">
        <f t="shared" ca="1" si="200"/>
        <v/>
      </c>
      <c r="FG61" s="74" t="str">
        <f t="shared" ca="1" si="200"/>
        <v/>
      </c>
      <c r="FH61" s="74" t="str">
        <f t="shared" ca="1" si="200"/>
        <v/>
      </c>
      <c r="FI61" s="74" t="str">
        <f t="shared" ca="1" si="200"/>
        <v/>
      </c>
      <c r="FJ61" s="74" t="str">
        <f t="shared" ca="1" si="200"/>
        <v/>
      </c>
      <c r="FK61" s="74" t="str">
        <f t="shared" ca="1" si="200"/>
        <v/>
      </c>
      <c r="FL61" s="74" t="str">
        <f t="shared" ca="1" si="200"/>
        <v/>
      </c>
      <c r="FM61" s="74" t="str">
        <f t="shared" ca="1" si="200"/>
        <v/>
      </c>
      <c r="FN61" s="74" t="str">
        <f t="shared" ca="1" si="201"/>
        <v/>
      </c>
      <c r="FO61" s="74" t="str">
        <f t="shared" ca="1" si="201"/>
        <v/>
      </c>
      <c r="FP61" s="74" t="str">
        <f t="shared" ca="1" si="201"/>
        <v/>
      </c>
      <c r="FQ61" s="74" t="str">
        <f t="shared" ca="1" si="201"/>
        <v/>
      </c>
      <c r="FR61" s="74" t="str">
        <f t="shared" ca="1" si="201"/>
        <v/>
      </c>
      <c r="FS61" s="74" t="str">
        <f t="shared" ca="1" si="201"/>
        <v/>
      </c>
      <c r="FT61" s="74" t="str">
        <f t="shared" ca="1" si="201"/>
        <v/>
      </c>
      <c r="FU61" s="74" t="str">
        <f t="shared" ca="1" si="201"/>
        <v/>
      </c>
      <c r="FV61" s="74" t="str">
        <f t="shared" ca="1" si="201"/>
        <v/>
      </c>
      <c r="FW61" s="74" t="str">
        <f t="shared" ca="1" si="201"/>
        <v/>
      </c>
      <c r="FX61" s="74" t="str">
        <f t="shared" ca="1" si="202"/>
        <v/>
      </c>
      <c r="FY61" s="74" t="str">
        <f t="shared" ca="1" si="202"/>
        <v/>
      </c>
      <c r="FZ61" s="74" t="str">
        <f t="shared" ca="1" si="202"/>
        <v/>
      </c>
      <c r="GA61" s="74" t="str">
        <f t="shared" ca="1" si="202"/>
        <v/>
      </c>
      <c r="GB61" s="74" t="str">
        <f t="shared" ca="1" si="202"/>
        <v/>
      </c>
      <c r="GC61" s="74" t="str">
        <f t="shared" ca="1" si="202"/>
        <v/>
      </c>
      <c r="GD61" s="74" t="str">
        <f t="shared" ca="1" si="202"/>
        <v/>
      </c>
      <c r="GE61" s="74" t="str">
        <f t="shared" ca="1" si="202"/>
        <v/>
      </c>
      <c r="GF61" s="74" t="str">
        <f t="shared" ca="1" si="202"/>
        <v/>
      </c>
      <c r="GG61" s="74" t="str">
        <f t="shared" ca="1" si="202"/>
        <v/>
      </c>
      <c r="GH61" s="74" t="str">
        <f t="shared" ca="1" si="203"/>
        <v/>
      </c>
      <c r="GI61" s="74" t="str">
        <f t="shared" ca="1" si="203"/>
        <v/>
      </c>
      <c r="GJ61" s="74" t="str">
        <f t="shared" ca="1" si="203"/>
        <v/>
      </c>
      <c r="GK61" s="74" t="str">
        <f t="shared" ca="1" si="203"/>
        <v/>
      </c>
      <c r="GL61" s="74" t="str">
        <f t="shared" ca="1" si="203"/>
        <v/>
      </c>
      <c r="GM61" s="74" t="str">
        <f t="shared" ca="1" si="203"/>
        <v/>
      </c>
      <c r="GN61" s="74" t="str">
        <f t="shared" ca="1" si="203"/>
        <v/>
      </c>
      <c r="GO61" s="74" t="str">
        <f t="shared" ca="1" si="203"/>
        <v/>
      </c>
      <c r="GP61" s="74" t="str">
        <f t="shared" ca="1" si="203"/>
        <v/>
      </c>
      <c r="GQ61" s="74" t="str">
        <f t="shared" ca="1" si="203"/>
        <v/>
      </c>
      <c r="GR61" s="74" t="str">
        <f t="shared" ca="1" si="204"/>
        <v/>
      </c>
      <c r="GS61" s="74" t="str">
        <f t="shared" ca="1" si="204"/>
        <v/>
      </c>
      <c r="GT61" s="74" t="str">
        <f t="shared" ca="1" si="204"/>
        <v/>
      </c>
      <c r="GU61" s="74" t="str">
        <f t="shared" ca="1" si="204"/>
        <v/>
      </c>
      <c r="GV61" s="74" t="str">
        <f t="shared" ca="1" si="204"/>
        <v/>
      </c>
      <c r="GW61" s="74" t="str">
        <f t="shared" ca="1" si="204"/>
        <v/>
      </c>
      <c r="GX61" s="74" t="str">
        <f t="shared" ca="1" si="204"/>
        <v/>
      </c>
      <c r="GY61" s="74" t="str">
        <f t="shared" ca="1" si="204"/>
        <v/>
      </c>
      <c r="GZ61" s="74" t="str">
        <f t="shared" ca="1" si="204"/>
        <v/>
      </c>
      <c r="HA61" s="74" t="str">
        <f t="shared" ca="1" si="204"/>
        <v/>
      </c>
      <c r="HB61" s="74" t="str">
        <f t="shared" ca="1" si="205"/>
        <v/>
      </c>
      <c r="HC61" s="74" t="str">
        <f t="shared" ca="1" si="205"/>
        <v/>
      </c>
      <c r="HD61" s="74" t="str">
        <f t="shared" ca="1" si="205"/>
        <v/>
      </c>
      <c r="HE61" s="74" t="str">
        <f t="shared" ca="1" si="205"/>
        <v/>
      </c>
      <c r="HF61" s="74" t="str">
        <f t="shared" ca="1" si="205"/>
        <v/>
      </c>
      <c r="HG61" s="74" t="str">
        <f t="shared" ca="1" si="205"/>
        <v/>
      </c>
      <c r="HH61" s="74" t="str">
        <f t="shared" ca="1" si="205"/>
        <v/>
      </c>
      <c r="HI61" s="74" t="str">
        <f t="shared" ca="1" si="205"/>
        <v/>
      </c>
      <c r="HJ61" s="74" t="str">
        <f t="shared" ca="1" si="205"/>
        <v/>
      </c>
      <c r="HK61" s="74" t="str">
        <f t="shared" ca="1" si="205"/>
        <v/>
      </c>
      <c r="HL61" s="74" t="str">
        <f t="shared" ca="1" si="206"/>
        <v/>
      </c>
      <c r="HM61" s="74" t="str">
        <f t="shared" ca="1" si="206"/>
        <v/>
      </c>
      <c r="HN61" s="74" t="str">
        <f t="shared" ca="1" si="206"/>
        <v/>
      </c>
      <c r="HO61" s="74" t="str">
        <f t="shared" ca="1" si="206"/>
        <v/>
      </c>
      <c r="HP61" s="74" t="str">
        <f t="shared" ca="1" si="206"/>
        <v/>
      </c>
      <c r="HQ61" s="74" t="str">
        <f t="shared" ca="1" si="206"/>
        <v/>
      </c>
      <c r="HR61" s="74" t="str">
        <f t="shared" ca="1" si="206"/>
        <v/>
      </c>
      <c r="HS61" s="74" t="str">
        <f t="shared" ca="1" si="206"/>
        <v/>
      </c>
      <c r="HT61" s="74" t="str">
        <f t="shared" ca="1" si="206"/>
        <v/>
      </c>
      <c r="HU61" s="74" t="str">
        <f t="shared" ca="1" si="206"/>
        <v/>
      </c>
      <c r="HV61" s="74" t="str">
        <f t="shared" ca="1" si="207"/>
        <v/>
      </c>
      <c r="HW61" s="74" t="str">
        <f t="shared" ca="1" si="207"/>
        <v/>
      </c>
      <c r="HX61" s="74" t="str">
        <f t="shared" ca="1" si="207"/>
        <v/>
      </c>
      <c r="HY61" s="74" t="str">
        <f t="shared" ca="1" si="207"/>
        <v/>
      </c>
      <c r="HZ61" s="74" t="str">
        <f t="shared" ca="1" si="207"/>
        <v/>
      </c>
      <c r="IA61" s="74" t="str">
        <f t="shared" ca="1" si="207"/>
        <v/>
      </c>
      <c r="IB61" s="74" t="str">
        <f t="shared" ca="1" si="207"/>
        <v/>
      </c>
      <c r="IC61" s="74" t="str">
        <f t="shared" ca="1" si="207"/>
        <v/>
      </c>
      <c r="ID61" s="74" t="str">
        <f t="shared" ca="1" si="207"/>
        <v/>
      </c>
      <c r="IE61" s="74" t="str">
        <f t="shared" ca="1" si="207"/>
        <v/>
      </c>
      <c r="IF61" s="74" t="str">
        <f t="shared" ca="1" si="208"/>
        <v/>
      </c>
      <c r="IG61" s="74" t="str">
        <f t="shared" ca="1" si="208"/>
        <v/>
      </c>
      <c r="IH61" s="74" t="str">
        <f t="shared" ca="1" si="208"/>
        <v/>
      </c>
      <c r="II61" s="74" t="str">
        <f t="shared" ca="1" si="208"/>
        <v/>
      </c>
      <c r="IJ61" s="74" t="str">
        <f t="shared" ca="1" si="208"/>
        <v/>
      </c>
      <c r="IK61" s="74" t="str">
        <f t="shared" ca="1" si="208"/>
        <v/>
      </c>
      <c r="IL61" s="74" t="str">
        <f t="shared" ca="1" si="208"/>
        <v/>
      </c>
      <c r="IM61" s="74" t="str">
        <f t="shared" ca="1" si="208"/>
        <v/>
      </c>
      <c r="IN61" s="74" t="str">
        <f t="shared" ca="1" si="208"/>
        <v/>
      </c>
      <c r="IO61" s="74" t="str">
        <f t="shared" ca="1" si="208"/>
        <v/>
      </c>
      <c r="IP61" s="74" t="str">
        <f t="shared" ca="1" si="209"/>
        <v/>
      </c>
      <c r="IQ61" s="74" t="str">
        <f t="shared" ca="1" si="209"/>
        <v/>
      </c>
      <c r="IR61" s="74" t="str">
        <f t="shared" ca="1" si="209"/>
        <v/>
      </c>
      <c r="IS61" s="74" t="str">
        <f t="shared" ca="1" si="209"/>
        <v/>
      </c>
      <c r="IT61" s="74" t="str">
        <f t="shared" ca="1" si="209"/>
        <v/>
      </c>
      <c r="IU61" s="74" t="str">
        <f t="shared" ca="1" si="209"/>
        <v/>
      </c>
      <c r="IV61" s="74" t="str">
        <f t="shared" ca="1" si="209"/>
        <v/>
      </c>
      <c r="IW61" s="74" t="str">
        <f t="shared" ca="1" si="209"/>
        <v/>
      </c>
      <c r="IX61" s="74" t="str">
        <f t="shared" ca="1" si="209"/>
        <v/>
      </c>
      <c r="IY61" s="74" t="str">
        <f t="shared" ca="1" si="209"/>
        <v/>
      </c>
      <c r="IZ61" s="74" t="str">
        <f t="shared" ca="1" si="210"/>
        <v/>
      </c>
      <c r="JA61" s="74" t="str">
        <f t="shared" ca="1" si="210"/>
        <v/>
      </c>
      <c r="JB61" s="74" t="str">
        <f t="shared" ca="1" si="210"/>
        <v/>
      </c>
      <c r="JC61" s="74" t="str">
        <f t="shared" ca="1" si="210"/>
        <v/>
      </c>
      <c r="JD61" s="74" t="str">
        <f t="shared" ca="1" si="210"/>
        <v/>
      </c>
      <c r="JE61" s="74" t="str">
        <f t="shared" ca="1" si="210"/>
        <v/>
      </c>
      <c r="JF61" s="74" t="str">
        <f t="shared" ca="1" si="210"/>
        <v/>
      </c>
      <c r="JG61" s="74" t="str">
        <f t="shared" ca="1" si="210"/>
        <v/>
      </c>
      <c r="JH61" s="74" t="str">
        <f t="shared" ca="1" si="210"/>
        <v/>
      </c>
      <c r="JI61" s="74" t="str">
        <f t="shared" ca="1" si="210"/>
        <v/>
      </c>
      <c r="JJ61" s="74" t="str">
        <f t="shared" ca="1" si="211"/>
        <v/>
      </c>
      <c r="JK61" s="74" t="str">
        <f t="shared" ca="1" si="211"/>
        <v/>
      </c>
      <c r="JL61" s="74" t="str">
        <f t="shared" ca="1" si="211"/>
        <v/>
      </c>
      <c r="JM61" s="74" t="str">
        <f t="shared" ca="1" si="211"/>
        <v/>
      </c>
      <c r="JN61" s="74" t="str">
        <f t="shared" ca="1" si="211"/>
        <v/>
      </c>
      <c r="JO61" s="74" t="str">
        <f t="shared" ca="1" si="211"/>
        <v/>
      </c>
      <c r="JP61" s="74" t="str">
        <f t="shared" ca="1" si="211"/>
        <v/>
      </c>
      <c r="JQ61" s="74" t="str">
        <f t="shared" ca="1" si="211"/>
        <v/>
      </c>
      <c r="JR61" s="74" t="str">
        <f t="shared" ca="1" si="211"/>
        <v/>
      </c>
      <c r="JS61" s="74" t="str">
        <f t="shared" ca="1" si="211"/>
        <v/>
      </c>
      <c r="JT61" s="74" t="str">
        <f t="shared" ca="1" si="212"/>
        <v/>
      </c>
      <c r="JU61" s="74" t="str">
        <f t="shared" ca="1" si="212"/>
        <v/>
      </c>
      <c r="JV61" s="74" t="str">
        <f t="shared" ca="1" si="212"/>
        <v/>
      </c>
      <c r="JW61" s="74" t="str">
        <f t="shared" ca="1" si="212"/>
        <v/>
      </c>
      <c r="JX61" s="74" t="str">
        <f t="shared" ca="1" si="212"/>
        <v/>
      </c>
      <c r="JY61" s="74" t="str">
        <f t="shared" ca="1" si="212"/>
        <v/>
      </c>
      <c r="JZ61" s="74" t="str">
        <f t="shared" ca="1" si="212"/>
        <v/>
      </c>
      <c r="KA61" s="74" t="str">
        <f t="shared" ca="1" si="212"/>
        <v/>
      </c>
      <c r="KB61" s="74" t="str">
        <f t="shared" ca="1" si="212"/>
        <v/>
      </c>
      <c r="KC61" s="74" t="str">
        <f t="shared" ca="1" si="212"/>
        <v/>
      </c>
      <c r="KD61" s="74" t="str">
        <f t="shared" ca="1" si="213"/>
        <v/>
      </c>
      <c r="KE61" s="74" t="str">
        <f t="shared" ca="1" si="213"/>
        <v/>
      </c>
      <c r="KF61" s="74" t="str">
        <f t="shared" ca="1" si="213"/>
        <v/>
      </c>
      <c r="KG61" s="74" t="str">
        <f t="shared" ca="1" si="213"/>
        <v/>
      </c>
      <c r="KH61" s="74" t="str">
        <f t="shared" ca="1" si="213"/>
        <v/>
      </c>
      <c r="KI61" s="74" t="str">
        <f t="shared" ca="1" si="213"/>
        <v/>
      </c>
      <c r="KJ61" s="74" t="str">
        <f t="shared" ca="1" si="213"/>
        <v/>
      </c>
      <c r="KK61" s="74" t="str">
        <f t="shared" ca="1" si="213"/>
        <v/>
      </c>
      <c r="KL61" s="74" t="str">
        <f t="shared" ca="1" si="213"/>
        <v/>
      </c>
      <c r="KM61" s="74" t="str">
        <f t="shared" ca="1" si="213"/>
        <v/>
      </c>
      <c r="KN61" s="74" t="str">
        <f t="shared" ca="1" si="214"/>
        <v/>
      </c>
      <c r="KO61" s="74" t="str">
        <f t="shared" ca="1" si="214"/>
        <v/>
      </c>
      <c r="KP61" s="74" t="str">
        <f t="shared" ca="1" si="214"/>
        <v/>
      </c>
      <c r="KQ61" s="74" t="str">
        <f t="shared" ca="1" si="214"/>
        <v/>
      </c>
      <c r="KR61" s="74" t="str">
        <f t="shared" ca="1" si="214"/>
        <v/>
      </c>
      <c r="KS61" s="74" t="str">
        <f t="shared" ca="1" si="214"/>
        <v/>
      </c>
      <c r="KT61" s="74" t="str">
        <f t="shared" ca="1" si="214"/>
        <v/>
      </c>
      <c r="KU61" s="74" t="str">
        <f t="shared" ca="1" si="214"/>
        <v/>
      </c>
      <c r="KV61" s="74" t="str">
        <f t="shared" ca="1" si="214"/>
        <v/>
      </c>
      <c r="KW61" s="74" t="str">
        <f t="shared" ca="1" si="214"/>
        <v/>
      </c>
      <c r="KX61" s="74" t="str">
        <f t="shared" ca="1" si="215"/>
        <v/>
      </c>
      <c r="KY61" s="74" t="str">
        <f t="shared" ca="1" si="215"/>
        <v/>
      </c>
      <c r="KZ61" s="74" t="str">
        <f t="shared" ca="1" si="215"/>
        <v/>
      </c>
      <c r="LA61" s="74" t="str">
        <f t="shared" ca="1" si="215"/>
        <v/>
      </c>
      <c r="LB61" s="74" t="str">
        <f t="shared" ca="1" si="215"/>
        <v/>
      </c>
      <c r="LC61" s="74" t="str">
        <f t="shared" ca="1" si="215"/>
        <v/>
      </c>
      <c r="LD61" s="74" t="str">
        <f t="shared" ca="1" si="215"/>
        <v/>
      </c>
      <c r="LE61" s="74" t="str">
        <f t="shared" ca="1" si="215"/>
        <v/>
      </c>
      <c r="LF61" s="74" t="str">
        <f t="shared" ca="1" si="215"/>
        <v/>
      </c>
      <c r="LG61" s="74" t="str">
        <f t="shared" ca="1" si="215"/>
        <v/>
      </c>
      <c r="LH61" s="74" t="str">
        <f t="shared" ca="1" si="216"/>
        <v/>
      </c>
      <c r="LI61" s="74" t="str">
        <f t="shared" ca="1" si="216"/>
        <v/>
      </c>
      <c r="LJ61" s="74" t="str">
        <f t="shared" ca="1" si="216"/>
        <v/>
      </c>
      <c r="LK61" s="74" t="str">
        <f t="shared" ca="1" si="216"/>
        <v/>
      </c>
      <c r="LL61" s="74" t="str">
        <f t="shared" ca="1" si="216"/>
        <v/>
      </c>
      <c r="LM61" s="74" t="str">
        <f t="shared" ca="1" si="216"/>
        <v/>
      </c>
      <c r="LN61" s="74" t="str">
        <f t="shared" ca="1" si="216"/>
        <v/>
      </c>
      <c r="LO61" s="74" t="str">
        <f t="shared" ca="1" si="216"/>
        <v/>
      </c>
      <c r="LP61" s="74" t="str">
        <f t="shared" ca="1" si="216"/>
        <v/>
      </c>
      <c r="LQ61" s="74" t="str">
        <f t="shared" ca="1" si="216"/>
        <v/>
      </c>
      <c r="LR61" s="74" t="str">
        <f t="shared" ca="1" si="217"/>
        <v/>
      </c>
      <c r="LS61" s="74" t="str">
        <f t="shared" ca="1" si="217"/>
        <v/>
      </c>
      <c r="LT61" s="74" t="str">
        <f t="shared" ca="1" si="217"/>
        <v/>
      </c>
      <c r="LU61" s="74" t="str">
        <f t="shared" ca="1" si="217"/>
        <v/>
      </c>
      <c r="LV61" s="74" t="str">
        <f t="shared" ca="1" si="217"/>
        <v/>
      </c>
      <c r="LW61" s="74" t="str">
        <f t="shared" ca="1" si="217"/>
        <v/>
      </c>
      <c r="LX61" s="74" t="str">
        <f t="shared" ca="1" si="217"/>
        <v/>
      </c>
      <c r="LY61" s="74" t="str">
        <f t="shared" ca="1" si="217"/>
        <v/>
      </c>
      <c r="LZ61" s="74" t="str">
        <f t="shared" ca="1" si="217"/>
        <v/>
      </c>
      <c r="MA61" s="74" t="str">
        <f t="shared" ca="1" si="217"/>
        <v/>
      </c>
      <c r="MB61" s="74" t="str">
        <f t="shared" ca="1" si="218"/>
        <v/>
      </c>
      <c r="MC61" s="74" t="str">
        <f t="shared" ca="1" si="218"/>
        <v/>
      </c>
      <c r="MD61" s="74" t="str">
        <f t="shared" ca="1" si="218"/>
        <v/>
      </c>
      <c r="ME61" s="74" t="str">
        <f t="shared" ca="1" si="218"/>
        <v/>
      </c>
      <c r="MF61" s="74" t="str">
        <f t="shared" ca="1" si="218"/>
        <v/>
      </c>
      <c r="MG61" s="74" t="str">
        <f t="shared" ca="1" si="218"/>
        <v/>
      </c>
      <c r="MH61" s="74" t="str">
        <f t="shared" ca="1" si="218"/>
        <v/>
      </c>
      <c r="MI61" s="74" t="str">
        <f t="shared" ca="1" si="218"/>
        <v/>
      </c>
      <c r="MJ61" s="74" t="str">
        <f t="shared" ca="1" si="218"/>
        <v/>
      </c>
      <c r="MK61" s="74" t="str">
        <f t="shared" ca="1" si="218"/>
        <v/>
      </c>
      <c r="ML61" s="74" t="str">
        <f t="shared" ca="1" si="219"/>
        <v/>
      </c>
      <c r="MM61" s="74" t="str">
        <f t="shared" ca="1" si="219"/>
        <v/>
      </c>
      <c r="MN61" s="74" t="str">
        <f t="shared" ca="1" si="219"/>
        <v/>
      </c>
      <c r="MO61" s="74" t="str">
        <f t="shared" ca="1" si="219"/>
        <v/>
      </c>
      <c r="MP61" s="74" t="str">
        <f t="shared" ca="1" si="219"/>
        <v/>
      </c>
      <c r="MQ61" s="74" t="str">
        <f t="shared" ca="1" si="219"/>
        <v/>
      </c>
      <c r="MR61" s="74" t="str">
        <f t="shared" ca="1" si="219"/>
        <v/>
      </c>
      <c r="MS61" s="74" t="str">
        <f t="shared" ca="1" si="219"/>
        <v/>
      </c>
      <c r="MT61" s="74" t="str">
        <f t="shared" ca="1" si="219"/>
        <v/>
      </c>
      <c r="MU61" s="74" t="str">
        <f t="shared" ca="1" si="219"/>
        <v/>
      </c>
      <c r="MV61" s="74" t="str">
        <f t="shared" ca="1" si="220"/>
        <v/>
      </c>
      <c r="MW61" s="74" t="str">
        <f t="shared" ca="1" si="220"/>
        <v/>
      </c>
      <c r="MX61" s="74" t="str">
        <f t="shared" ca="1" si="220"/>
        <v/>
      </c>
      <c r="MY61" s="74" t="str">
        <f t="shared" ca="1" si="220"/>
        <v/>
      </c>
      <c r="MZ61" s="74" t="str">
        <f t="shared" ca="1" si="220"/>
        <v/>
      </c>
      <c r="NA61" s="74" t="str">
        <f t="shared" ca="1" si="220"/>
        <v/>
      </c>
      <c r="NB61" s="74" t="str">
        <f t="shared" ca="1" si="220"/>
        <v/>
      </c>
      <c r="NC61" s="74" t="str">
        <f t="shared" ca="1" si="220"/>
        <v/>
      </c>
      <c r="ND61" s="74" t="str">
        <f t="shared" ca="1" si="220"/>
        <v/>
      </c>
      <c r="NE61" s="74" t="str">
        <f t="shared" ca="1" si="220"/>
        <v/>
      </c>
      <c r="NF61" s="74" t="str">
        <f t="shared" ca="1" si="221"/>
        <v/>
      </c>
      <c r="NG61" s="74" t="str">
        <f t="shared" ca="1" si="221"/>
        <v/>
      </c>
      <c r="NH61" s="74" t="str">
        <f t="shared" ca="1" si="221"/>
        <v/>
      </c>
      <c r="NI61" s="74" t="str">
        <f t="shared" ca="1" si="221"/>
        <v/>
      </c>
      <c r="NJ61" s="74" t="str">
        <f t="shared" ca="1" si="221"/>
        <v/>
      </c>
      <c r="NK61" s="74" t="str">
        <f t="shared" ca="1" si="221"/>
        <v/>
      </c>
      <c r="NL61" s="74" t="str">
        <f t="shared" ca="1" si="221"/>
        <v/>
      </c>
      <c r="NM61" s="74" t="str">
        <f t="shared" ca="1" si="221"/>
        <v/>
      </c>
      <c r="NN61" s="74" t="str">
        <f t="shared" ca="1" si="221"/>
        <v/>
      </c>
      <c r="NO61" s="74" t="str">
        <f t="shared" ca="1" si="221"/>
        <v/>
      </c>
      <c r="NP61" s="74" t="str">
        <f t="shared" ca="1" si="222"/>
        <v/>
      </c>
      <c r="NQ61" s="74" t="str">
        <f t="shared" ca="1" si="222"/>
        <v/>
      </c>
      <c r="NR61" s="74" t="str">
        <f t="shared" ca="1" si="222"/>
        <v/>
      </c>
      <c r="NS61" s="74" t="str">
        <f t="shared" ca="1" si="222"/>
        <v/>
      </c>
      <c r="NT61" s="74" t="str">
        <f t="shared" ca="1" si="222"/>
        <v/>
      </c>
      <c r="NU61" s="74" t="str">
        <f t="shared" ca="1" si="222"/>
        <v/>
      </c>
      <c r="NV61" s="74" t="str">
        <f t="shared" ca="1" si="222"/>
        <v/>
      </c>
      <c r="NW61" s="74" t="str">
        <f t="shared" ca="1" si="222"/>
        <v/>
      </c>
      <c r="NX61" s="74" t="str">
        <f t="shared" ca="1" si="222"/>
        <v/>
      </c>
      <c r="NY61" s="74" t="str">
        <f t="shared" ca="1" si="222"/>
        <v/>
      </c>
      <c r="NZ61" s="74" t="str">
        <f t="shared" ca="1" si="223"/>
        <v/>
      </c>
      <c r="OA61" s="74" t="str">
        <f t="shared" ca="1" si="223"/>
        <v/>
      </c>
      <c r="OB61" s="74" t="str">
        <f t="shared" ca="1" si="223"/>
        <v/>
      </c>
      <c r="OC61" s="74" t="str">
        <f t="shared" ca="1" si="223"/>
        <v/>
      </c>
      <c r="OD61" s="74" t="str">
        <f t="shared" ca="1" si="223"/>
        <v/>
      </c>
      <c r="OE61" s="74" t="str">
        <f t="shared" ca="1" si="223"/>
        <v/>
      </c>
      <c r="OF61" s="74" t="str">
        <f t="shared" ca="1" si="223"/>
        <v/>
      </c>
      <c r="OG61" s="74" t="str">
        <f t="shared" ca="1" si="223"/>
        <v/>
      </c>
      <c r="OH61" s="74" t="str">
        <f t="shared" ca="1" si="223"/>
        <v/>
      </c>
      <c r="OI61" s="74" t="str">
        <f t="shared" ca="1" si="223"/>
        <v/>
      </c>
      <c r="OJ61" s="74" t="str">
        <f t="shared" ca="1" si="224"/>
        <v/>
      </c>
      <c r="OK61" s="74" t="str">
        <f t="shared" ca="1" si="224"/>
        <v/>
      </c>
      <c r="OL61" s="74" t="str">
        <f t="shared" ca="1" si="224"/>
        <v/>
      </c>
      <c r="OM61" s="74" t="str">
        <f t="shared" ca="1" si="224"/>
        <v/>
      </c>
      <c r="ON61" s="74" t="str">
        <f t="shared" ca="1" si="224"/>
        <v/>
      </c>
      <c r="OO61" s="74" t="str">
        <f t="shared" ca="1" si="224"/>
        <v/>
      </c>
      <c r="OP61" s="74" t="str">
        <f t="shared" ca="1" si="224"/>
        <v/>
      </c>
      <c r="OQ61" s="74" t="str">
        <f t="shared" ca="1" si="224"/>
        <v/>
      </c>
      <c r="OR61" s="74" t="str">
        <f t="shared" ca="1" si="224"/>
        <v/>
      </c>
      <c r="OS61" s="74" t="str">
        <f t="shared" ca="1" si="224"/>
        <v/>
      </c>
      <c r="OT61" s="74" t="str">
        <f t="shared" ca="1" si="225"/>
        <v/>
      </c>
      <c r="OU61" s="74" t="str">
        <f t="shared" ca="1" si="225"/>
        <v/>
      </c>
      <c r="OV61" s="74" t="str">
        <f t="shared" ca="1" si="225"/>
        <v/>
      </c>
      <c r="OW61" s="74" t="str">
        <f t="shared" ca="1" si="225"/>
        <v/>
      </c>
      <c r="OX61" s="74" t="str">
        <f t="shared" ca="1" si="225"/>
        <v/>
      </c>
      <c r="OY61" s="74" t="str">
        <f t="shared" ca="1" si="225"/>
        <v/>
      </c>
      <c r="OZ61" s="74" t="str">
        <f t="shared" ca="1" si="225"/>
        <v/>
      </c>
      <c r="PA61" s="74" t="str">
        <f t="shared" ca="1" si="225"/>
        <v/>
      </c>
      <c r="PB61" s="74" t="str">
        <f t="shared" ca="1" si="225"/>
        <v/>
      </c>
      <c r="PC61" s="74" t="str">
        <f t="shared" ca="1" si="225"/>
        <v/>
      </c>
      <c r="PD61" s="74" t="str">
        <f t="shared" ca="1" si="226"/>
        <v/>
      </c>
      <c r="PE61" s="74" t="str">
        <f t="shared" ca="1" si="226"/>
        <v/>
      </c>
      <c r="PF61" s="74" t="str">
        <f t="shared" ca="1" si="226"/>
        <v/>
      </c>
      <c r="PG61" s="74" t="str">
        <f t="shared" ca="1" si="226"/>
        <v/>
      </c>
      <c r="PH61" s="74" t="str">
        <f t="shared" ca="1" si="226"/>
        <v/>
      </c>
      <c r="PI61" s="74" t="str">
        <f t="shared" ca="1" si="226"/>
        <v/>
      </c>
      <c r="PJ61" s="74" t="str">
        <f t="shared" ca="1" si="226"/>
        <v/>
      </c>
      <c r="PK61" s="74" t="str">
        <f t="shared" ca="1" si="226"/>
        <v/>
      </c>
      <c r="PL61" s="74" t="str">
        <f t="shared" ca="1" si="226"/>
        <v/>
      </c>
      <c r="PM61" s="74" t="str">
        <f t="shared" ca="1" si="226"/>
        <v/>
      </c>
      <c r="PN61" s="74" t="str">
        <f t="shared" ca="1" si="227"/>
        <v/>
      </c>
      <c r="PO61" s="74" t="str">
        <f t="shared" ca="1" si="227"/>
        <v/>
      </c>
      <c r="PP61" s="74" t="str">
        <f t="shared" ca="1" si="227"/>
        <v/>
      </c>
      <c r="PQ61" s="74" t="str">
        <f t="shared" ca="1" si="227"/>
        <v/>
      </c>
      <c r="PR61" s="74" t="str">
        <f t="shared" ca="1" si="227"/>
        <v/>
      </c>
      <c r="PS61" s="74" t="str">
        <f t="shared" ca="1" si="227"/>
        <v/>
      </c>
      <c r="PT61" s="74" t="str">
        <f t="shared" ca="1" si="227"/>
        <v/>
      </c>
      <c r="PU61" s="74" t="str">
        <f t="shared" ca="1" si="227"/>
        <v/>
      </c>
      <c r="PV61" s="74" t="str">
        <f t="shared" ca="1" si="227"/>
        <v/>
      </c>
      <c r="PW61" s="74" t="str">
        <f t="shared" ca="1" si="227"/>
        <v/>
      </c>
      <c r="PX61" s="74" t="str">
        <f t="shared" ca="1" si="228"/>
        <v/>
      </c>
      <c r="PY61" s="74" t="str">
        <f t="shared" ca="1" si="228"/>
        <v/>
      </c>
      <c r="PZ61" s="74" t="str">
        <f t="shared" ca="1" si="228"/>
        <v/>
      </c>
      <c r="QA61" s="74" t="str">
        <f t="shared" ca="1" si="228"/>
        <v/>
      </c>
      <c r="QB61" s="74" t="str">
        <f t="shared" ca="1" si="228"/>
        <v/>
      </c>
      <c r="QC61" s="74" t="str">
        <f t="shared" ca="1" si="228"/>
        <v/>
      </c>
      <c r="QD61" s="74" t="str">
        <f t="shared" ca="1" si="228"/>
        <v/>
      </c>
      <c r="QE61" s="74" t="str">
        <f t="shared" ca="1" si="228"/>
        <v/>
      </c>
      <c r="QF61" s="74" t="str">
        <f t="shared" ca="1" si="228"/>
        <v/>
      </c>
      <c r="QG61" s="74" t="str">
        <f t="shared" ca="1" si="228"/>
        <v/>
      </c>
      <c r="QH61" s="74" t="str">
        <f t="shared" ca="1" si="229"/>
        <v/>
      </c>
      <c r="QI61" s="74" t="str">
        <f t="shared" ca="1" si="229"/>
        <v/>
      </c>
      <c r="QJ61" s="74" t="str">
        <f t="shared" ca="1" si="229"/>
        <v/>
      </c>
      <c r="QK61" s="74" t="str">
        <f t="shared" ca="1" si="229"/>
        <v/>
      </c>
      <c r="QL61" s="74" t="str">
        <f t="shared" ca="1" si="229"/>
        <v/>
      </c>
      <c r="QM61" s="74" t="str">
        <f t="shared" ca="1" si="229"/>
        <v/>
      </c>
      <c r="QN61" s="74" t="str">
        <f t="shared" ca="1" si="229"/>
        <v/>
      </c>
      <c r="QO61" s="74" t="str">
        <f t="shared" ca="1" si="229"/>
        <v/>
      </c>
      <c r="QP61" s="74" t="str">
        <f t="shared" ca="1" si="229"/>
        <v/>
      </c>
      <c r="QQ61" s="74" t="str">
        <f t="shared" ca="1" si="229"/>
        <v/>
      </c>
      <c r="QR61" s="74" t="str">
        <f t="shared" ca="1" si="230"/>
        <v/>
      </c>
      <c r="QS61" s="74" t="str">
        <f t="shared" ca="1" si="230"/>
        <v/>
      </c>
      <c r="QT61" s="74" t="str">
        <f t="shared" ca="1" si="230"/>
        <v/>
      </c>
      <c r="QU61" s="74" t="str">
        <f t="shared" ca="1" si="230"/>
        <v/>
      </c>
      <c r="QV61" s="74" t="str">
        <f t="shared" ca="1" si="230"/>
        <v/>
      </c>
      <c r="QW61" s="74" t="str">
        <f t="shared" ca="1" si="230"/>
        <v/>
      </c>
      <c r="QX61" s="74" t="str">
        <f t="shared" ca="1" si="230"/>
        <v/>
      </c>
      <c r="QY61" s="74" t="str">
        <f t="shared" ca="1" si="230"/>
        <v/>
      </c>
      <c r="QZ61" s="74" t="str">
        <f t="shared" ca="1" si="230"/>
        <v/>
      </c>
      <c r="RA61" s="74" t="str">
        <f t="shared" ca="1" si="230"/>
        <v/>
      </c>
      <c r="RB61" s="74" t="str">
        <f t="shared" ca="1" si="231"/>
        <v/>
      </c>
      <c r="RC61" s="74" t="str">
        <f t="shared" ca="1" si="231"/>
        <v/>
      </c>
      <c r="RD61" s="74" t="str">
        <f t="shared" ca="1" si="231"/>
        <v/>
      </c>
      <c r="RE61" s="74" t="str">
        <f t="shared" ca="1" si="231"/>
        <v/>
      </c>
      <c r="RF61" s="74" t="str">
        <f t="shared" ca="1" si="231"/>
        <v/>
      </c>
      <c r="RG61" s="74" t="str">
        <f t="shared" ca="1" si="231"/>
        <v/>
      </c>
      <c r="RH61" s="74" t="str">
        <f t="shared" ca="1" si="231"/>
        <v/>
      </c>
      <c r="RI61" s="74" t="str">
        <f t="shared" ca="1" si="231"/>
        <v/>
      </c>
      <c r="RJ61" s="74" t="str">
        <f t="shared" ca="1" si="231"/>
        <v/>
      </c>
      <c r="RK61" s="74" t="str">
        <f t="shared" ca="1" si="231"/>
        <v/>
      </c>
      <c r="RL61" s="74" t="str">
        <f t="shared" ca="1" si="232"/>
        <v/>
      </c>
      <c r="RM61" s="74" t="str">
        <f t="shared" ca="1" si="232"/>
        <v/>
      </c>
      <c r="RN61" s="74" t="str">
        <f t="shared" ca="1" si="232"/>
        <v/>
      </c>
      <c r="RO61" s="74" t="str">
        <f t="shared" ca="1" si="232"/>
        <v/>
      </c>
      <c r="RP61" s="74" t="str">
        <f t="shared" ca="1" si="232"/>
        <v/>
      </c>
      <c r="RQ61" s="74" t="str">
        <f t="shared" ca="1" si="232"/>
        <v/>
      </c>
      <c r="RR61" s="74" t="str">
        <f t="shared" ca="1" si="232"/>
        <v/>
      </c>
      <c r="RS61" s="74" t="str">
        <f t="shared" ca="1" si="232"/>
        <v/>
      </c>
      <c r="RT61" s="74" t="str">
        <f t="shared" ca="1" si="232"/>
        <v/>
      </c>
      <c r="RU61" s="74" t="str">
        <f t="shared" ca="1" si="232"/>
        <v/>
      </c>
      <c r="RV61" s="74" t="str">
        <f t="shared" ca="1" si="233"/>
        <v/>
      </c>
      <c r="RW61" s="74" t="str">
        <f t="shared" ca="1" si="233"/>
        <v/>
      </c>
      <c r="RX61" s="74" t="str">
        <f t="shared" ca="1" si="233"/>
        <v/>
      </c>
      <c r="RY61" s="74" t="str">
        <f t="shared" ca="1" si="233"/>
        <v/>
      </c>
      <c r="RZ61" s="74" t="str">
        <f t="shared" ca="1" si="233"/>
        <v/>
      </c>
      <c r="SA61" s="74" t="str">
        <f t="shared" ca="1" si="233"/>
        <v/>
      </c>
      <c r="SB61" s="74" t="str">
        <f t="shared" ca="1" si="233"/>
        <v/>
      </c>
      <c r="SC61" s="74" t="str">
        <f t="shared" ca="1" si="233"/>
        <v/>
      </c>
      <c r="SD61" s="74" t="str">
        <f t="shared" ca="1" si="233"/>
        <v/>
      </c>
      <c r="SE61" s="74" t="str">
        <f t="shared" ca="1" si="233"/>
        <v/>
      </c>
      <c r="SF61" s="74" t="str">
        <f t="shared" ca="1" si="234"/>
        <v/>
      </c>
      <c r="SG61" s="74" t="str">
        <f t="shared" ca="1" si="234"/>
        <v/>
      </c>
      <c r="SH61" s="74" t="str">
        <f t="shared" ca="1" si="234"/>
        <v/>
      </c>
      <c r="SI61" s="74" t="str">
        <f t="shared" ca="1" si="234"/>
        <v/>
      </c>
      <c r="SJ61" s="74" t="str">
        <f t="shared" ca="1" si="234"/>
        <v/>
      </c>
      <c r="SK61" s="74" t="str">
        <f t="shared" ca="1" si="234"/>
        <v/>
      </c>
      <c r="SL61" s="74" t="str">
        <f t="shared" ca="1" si="234"/>
        <v/>
      </c>
      <c r="SM61" s="74" t="str">
        <f t="shared" ca="1" si="234"/>
        <v/>
      </c>
      <c r="SN61" s="74" t="str">
        <f t="shared" ca="1" si="234"/>
        <v/>
      </c>
      <c r="SO61" s="74" t="str">
        <f t="shared" ca="1" si="234"/>
        <v/>
      </c>
      <c r="SP61" s="74" t="str">
        <f t="shared" ca="1" si="235"/>
        <v/>
      </c>
      <c r="SQ61" s="74" t="str">
        <f t="shared" ca="1" si="235"/>
        <v/>
      </c>
      <c r="SR61" s="74" t="str">
        <f t="shared" ca="1" si="235"/>
        <v/>
      </c>
      <c r="SS61" s="74" t="str">
        <f t="shared" ca="1" si="235"/>
        <v/>
      </c>
      <c r="ST61" s="74" t="str">
        <f t="shared" ca="1" si="235"/>
        <v/>
      </c>
      <c r="SU61" s="74" t="str">
        <f t="shared" ca="1" si="235"/>
        <v/>
      </c>
      <c r="SV61" s="74" t="str">
        <f t="shared" ca="1" si="235"/>
        <v/>
      </c>
      <c r="SW61" s="74" t="str">
        <f t="shared" ca="1" si="235"/>
        <v/>
      </c>
      <c r="SX61" s="74" t="str">
        <f t="shared" ca="1" si="235"/>
        <v/>
      </c>
      <c r="SY61" s="74" t="str">
        <f t="shared" ca="1" si="235"/>
        <v/>
      </c>
      <c r="SZ61" s="74" t="str">
        <f t="shared" ca="1" si="236"/>
        <v/>
      </c>
      <c r="TA61" s="74" t="str">
        <f t="shared" ca="1" si="236"/>
        <v/>
      </c>
      <c r="TB61" s="74" t="str">
        <f t="shared" ca="1" si="236"/>
        <v/>
      </c>
      <c r="TC61" s="74" t="str">
        <f t="shared" ca="1" si="236"/>
        <v/>
      </c>
      <c r="TD61" s="74" t="str">
        <f t="shared" ca="1" si="236"/>
        <v/>
      </c>
      <c r="TE61" s="74" t="str">
        <f t="shared" ca="1" si="236"/>
        <v/>
      </c>
      <c r="TF61" s="74" t="str">
        <f t="shared" ca="1" si="236"/>
        <v/>
      </c>
      <c r="TG61" s="74" t="str">
        <f t="shared" ca="1" si="236"/>
        <v/>
      </c>
      <c r="TH61" s="74" t="str">
        <f t="shared" ca="1" si="236"/>
        <v/>
      </c>
      <c r="TI61" s="74" t="str">
        <f t="shared" ca="1" si="236"/>
        <v/>
      </c>
      <c r="TJ61" s="74" t="str">
        <f t="shared" ca="1" si="237"/>
        <v/>
      </c>
      <c r="TK61" s="74" t="str">
        <f t="shared" ca="1" si="237"/>
        <v/>
      </c>
      <c r="TL61" s="74" t="str">
        <f t="shared" ca="1" si="237"/>
        <v/>
      </c>
      <c r="TM61" s="74" t="str">
        <f t="shared" ca="1" si="237"/>
        <v/>
      </c>
      <c r="TN61" s="74" t="str">
        <f t="shared" ca="1" si="237"/>
        <v/>
      </c>
      <c r="TO61" s="74" t="str">
        <f t="shared" ca="1" si="237"/>
        <v/>
      </c>
      <c r="TP61" s="74" t="str">
        <f t="shared" ca="1" si="237"/>
        <v/>
      </c>
      <c r="TQ61" s="74" t="str">
        <f t="shared" ca="1" si="237"/>
        <v/>
      </c>
      <c r="TR61" s="74" t="str">
        <f t="shared" ca="1" si="237"/>
        <v/>
      </c>
      <c r="TS61" s="74" t="str">
        <f t="shared" ca="1" si="237"/>
        <v/>
      </c>
      <c r="TT61" s="74" t="str">
        <f t="shared" ca="1" si="238"/>
        <v/>
      </c>
      <c r="TU61" s="74" t="str">
        <f t="shared" ca="1" si="238"/>
        <v/>
      </c>
      <c r="TV61" s="74" t="str">
        <f t="shared" ca="1" si="238"/>
        <v/>
      </c>
      <c r="TW61" s="74" t="str">
        <f t="shared" ca="1" si="238"/>
        <v/>
      </c>
      <c r="TX61" s="74" t="str">
        <f t="shared" ca="1" si="238"/>
        <v/>
      </c>
      <c r="TY61" s="74" t="str">
        <f t="shared" ca="1" si="238"/>
        <v/>
      </c>
      <c r="TZ61" s="74" t="str">
        <f t="shared" ca="1" si="238"/>
        <v/>
      </c>
      <c r="UA61" s="74" t="str">
        <f t="shared" ca="1" si="238"/>
        <v/>
      </c>
      <c r="UB61" s="74" t="str">
        <f t="shared" ca="1" si="238"/>
        <v/>
      </c>
      <c r="UC61" s="74" t="str">
        <f t="shared" ca="1" si="238"/>
        <v/>
      </c>
      <c r="UD61" s="74" t="str">
        <f t="shared" ca="1" si="239"/>
        <v/>
      </c>
      <c r="UE61" s="74" t="str">
        <f t="shared" ca="1" si="239"/>
        <v/>
      </c>
      <c r="UF61" s="74" t="str">
        <f t="shared" ca="1" si="239"/>
        <v/>
      </c>
      <c r="UG61" s="74" t="str">
        <f t="shared" ca="1" si="239"/>
        <v/>
      </c>
      <c r="UH61" s="74" t="str">
        <f t="shared" ca="1" si="239"/>
        <v/>
      </c>
      <c r="UI61" s="74" t="str">
        <f t="shared" ca="1" si="239"/>
        <v/>
      </c>
      <c r="UJ61" s="74" t="str">
        <f t="shared" ca="1" si="239"/>
        <v/>
      </c>
      <c r="UK61" s="74" t="str">
        <f t="shared" ca="1" si="239"/>
        <v/>
      </c>
      <c r="UL61" s="74" t="str">
        <f t="shared" ca="1" si="239"/>
        <v/>
      </c>
      <c r="UM61" s="74" t="str">
        <f t="shared" ca="1" si="239"/>
        <v/>
      </c>
      <c r="UN61" s="74" t="str">
        <f t="shared" ca="1" si="240"/>
        <v/>
      </c>
      <c r="UO61" s="74" t="str">
        <f t="shared" ca="1" si="240"/>
        <v/>
      </c>
      <c r="UP61" s="74" t="str">
        <f t="shared" ca="1" si="240"/>
        <v/>
      </c>
      <c r="UQ61" s="74" t="str">
        <f t="shared" ca="1" si="240"/>
        <v/>
      </c>
      <c r="UR61" s="74" t="str">
        <f t="shared" ca="1" si="240"/>
        <v/>
      </c>
      <c r="US61" s="74" t="str">
        <f t="shared" ca="1" si="240"/>
        <v/>
      </c>
      <c r="UT61" s="74" t="str">
        <f t="shared" ca="1" si="240"/>
        <v/>
      </c>
      <c r="UU61" s="74" t="str">
        <f t="shared" ca="1" si="240"/>
        <v/>
      </c>
      <c r="UV61" s="74" t="str">
        <f t="shared" ca="1" si="240"/>
        <v/>
      </c>
      <c r="UW61" s="74" t="str">
        <f t="shared" ca="1" si="240"/>
        <v/>
      </c>
      <c r="UX61" s="74" t="str">
        <f t="shared" ca="1" si="241"/>
        <v/>
      </c>
      <c r="UY61" s="74" t="str">
        <f t="shared" ca="1" si="241"/>
        <v/>
      </c>
      <c r="UZ61" s="74" t="str">
        <f t="shared" ca="1" si="241"/>
        <v/>
      </c>
      <c r="VA61" s="74" t="str">
        <f t="shared" ca="1" si="241"/>
        <v/>
      </c>
      <c r="VB61" s="74" t="str">
        <f t="shared" ca="1" si="241"/>
        <v/>
      </c>
      <c r="VC61" s="74" t="str">
        <f t="shared" ca="1" si="241"/>
        <v/>
      </c>
      <c r="VD61" s="74" t="str">
        <f t="shared" ca="1" si="241"/>
        <v/>
      </c>
      <c r="VE61" s="74" t="str">
        <f t="shared" ca="1" si="241"/>
        <v/>
      </c>
      <c r="VF61" s="74" t="str">
        <f t="shared" ca="1" si="241"/>
        <v/>
      </c>
      <c r="VG61" s="74" t="str">
        <f t="shared" ca="1" si="241"/>
        <v/>
      </c>
      <c r="VH61" s="74" t="str">
        <f t="shared" ca="1" si="242"/>
        <v/>
      </c>
      <c r="VI61" s="74" t="str">
        <f t="shared" ca="1" si="242"/>
        <v/>
      </c>
      <c r="VJ61" s="74" t="str">
        <f t="shared" ca="1" si="242"/>
        <v/>
      </c>
      <c r="VK61" s="74" t="str">
        <f t="shared" ca="1" si="242"/>
        <v/>
      </c>
      <c r="VL61" s="74" t="str">
        <f t="shared" ca="1" si="242"/>
        <v/>
      </c>
      <c r="VM61" s="74" t="str">
        <f t="shared" ca="1" si="242"/>
        <v/>
      </c>
      <c r="VN61" s="74" t="str">
        <f t="shared" ca="1" si="242"/>
        <v/>
      </c>
      <c r="VO61" s="74" t="str">
        <f t="shared" ca="1" si="242"/>
        <v/>
      </c>
      <c r="VP61" s="74" t="str">
        <f t="shared" ca="1" si="242"/>
        <v/>
      </c>
      <c r="VQ61" s="74" t="str">
        <f t="shared" ca="1" si="242"/>
        <v/>
      </c>
      <c r="VR61" s="74" t="str">
        <f t="shared" ca="1" si="242"/>
        <v/>
      </c>
      <c r="VS61" s="74" t="str">
        <f t="shared" ca="1" si="242"/>
        <v/>
      </c>
    </row>
    <row r="62" spans="1:591" s="80" customFormat="1" ht="21.6" customHeight="1" x14ac:dyDescent="0.3">
      <c r="A62" s="81"/>
      <c r="B62" s="84" t="s">
        <v>95</v>
      </c>
      <c r="C62" s="76"/>
      <c r="D62" s="76"/>
      <c r="E62" s="77"/>
      <c r="F62" s="78"/>
      <c r="G62" s="78">
        <f>Milestones43524[[#This Row],[Start]]+Milestones43524[[#This Row],[Days]]</f>
        <v>0</v>
      </c>
      <c r="H62" s="79"/>
      <c r="I62" s="76"/>
      <c r="J62" s="76" t="str">
        <f t="shared" ca="1" si="185"/>
        <v/>
      </c>
      <c r="K62" s="76" t="str">
        <f t="shared" ca="1" si="185"/>
        <v/>
      </c>
      <c r="L62" s="76" t="str">
        <f t="shared" ca="1" si="185"/>
        <v/>
      </c>
      <c r="M62" s="76" t="str">
        <f t="shared" ca="1" si="185"/>
        <v/>
      </c>
      <c r="N62" s="76" t="str">
        <f t="shared" ca="1" si="185"/>
        <v/>
      </c>
      <c r="O62" s="76" t="str">
        <f t="shared" ca="1" si="185"/>
        <v/>
      </c>
      <c r="P62" s="76" t="str">
        <f t="shared" ca="1" si="185"/>
        <v/>
      </c>
      <c r="Q62" s="76" t="str">
        <f t="shared" ca="1" si="185"/>
        <v/>
      </c>
      <c r="R62" s="76" t="str">
        <f t="shared" ca="1" si="185"/>
        <v/>
      </c>
      <c r="S62" s="76" t="str">
        <f t="shared" ca="1" si="185"/>
        <v/>
      </c>
      <c r="T62" s="76" t="str">
        <f t="shared" ca="1" si="186"/>
        <v/>
      </c>
      <c r="U62" s="76" t="str">
        <f t="shared" ca="1" si="186"/>
        <v/>
      </c>
      <c r="V62" s="76" t="str">
        <f t="shared" ca="1" si="186"/>
        <v/>
      </c>
      <c r="W62" s="76" t="str">
        <f t="shared" ca="1" si="186"/>
        <v/>
      </c>
      <c r="X62" s="76" t="str">
        <f t="shared" ca="1" si="186"/>
        <v/>
      </c>
      <c r="Y62" s="76" t="str">
        <f t="shared" ca="1" si="186"/>
        <v/>
      </c>
      <c r="Z62" s="76" t="str">
        <f t="shared" ca="1" si="186"/>
        <v/>
      </c>
      <c r="AA62" s="76" t="str">
        <f t="shared" ca="1" si="186"/>
        <v/>
      </c>
      <c r="AB62" s="76" t="str">
        <f t="shared" ca="1" si="186"/>
        <v/>
      </c>
      <c r="AC62" s="76" t="str">
        <f t="shared" ca="1" si="186"/>
        <v/>
      </c>
      <c r="AD62" s="76" t="str">
        <f t="shared" ca="1" si="187"/>
        <v/>
      </c>
      <c r="AE62" s="76" t="str">
        <f t="shared" ca="1" si="187"/>
        <v/>
      </c>
      <c r="AF62" s="76" t="str">
        <f t="shared" ca="1" si="187"/>
        <v/>
      </c>
      <c r="AG62" s="76" t="str">
        <f t="shared" ca="1" si="187"/>
        <v/>
      </c>
      <c r="AH62" s="76" t="str">
        <f t="shared" ca="1" si="187"/>
        <v/>
      </c>
      <c r="AI62" s="76" t="str">
        <f t="shared" ca="1" si="187"/>
        <v/>
      </c>
      <c r="AJ62" s="76" t="str">
        <f t="shared" ca="1" si="187"/>
        <v/>
      </c>
      <c r="AK62" s="76" t="str">
        <f t="shared" ca="1" si="187"/>
        <v/>
      </c>
      <c r="AL62" s="76" t="str">
        <f t="shared" ca="1" si="187"/>
        <v/>
      </c>
      <c r="AM62" s="76" t="str">
        <f t="shared" ca="1" si="187"/>
        <v/>
      </c>
      <c r="AN62" s="76" t="str">
        <f t="shared" ca="1" si="188"/>
        <v/>
      </c>
      <c r="AO62" s="76" t="str">
        <f t="shared" ca="1" si="188"/>
        <v/>
      </c>
      <c r="AP62" s="76" t="str">
        <f t="shared" ca="1" si="188"/>
        <v/>
      </c>
      <c r="AQ62" s="76" t="str">
        <f t="shared" ca="1" si="188"/>
        <v/>
      </c>
      <c r="AR62" s="76" t="str">
        <f t="shared" ca="1" si="188"/>
        <v/>
      </c>
      <c r="AS62" s="76" t="str">
        <f t="shared" ca="1" si="188"/>
        <v/>
      </c>
      <c r="AT62" s="76" t="str">
        <f t="shared" ca="1" si="188"/>
        <v/>
      </c>
      <c r="AU62" s="76" t="str">
        <f t="shared" ca="1" si="188"/>
        <v/>
      </c>
      <c r="AV62" s="76" t="str">
        <f t="shared" ca="1" si="188"/>
        <v/>
      </c>
      <c r="AW62" s="76" t="str">
        <f t="shared" ca="1" si="188"/>
        <v/>
      </c>
      <c r="AX62" s="76" t="str">
        <f t="shared" ca="1" si="189"/>
        <v/>
      </c>
      <c r="AY62" s="76" t="str">
        <f t="shared" ca="1" si="189"/>
        <v/>
      </c>
      <c r="AZ62" s="76" t="str">
        <f t="shared" ca="1" si="189"/>
        <v/>
      </c>
      <c r="BA62" s="76" t="str">
        <f t="shared" ca="1" si="189"/>
        <v/>
      </c>
      <c r="BB62" s="76" t="str">
        <f t="shared" ca="1" si="189"/>
        <v/>
      </c>
      <c r="BC62" s="76" t="str">
        <f t="shared" ca="1" si="189"/>
        <v/>
      </c>
      <c r="BD62" s="76" t="str">
        <f t="shared" ca="1" si="189"/>
        <v/>
      </c>
      <c r="BE62" s="76" t="str">
        <f t="shared" ca="1" si="189"/>
        <v/>
      </c>
      <c r="BF62" s="76" t="str">
        <f t="shared" ca="1" si="189"/>
        <v/>
      </c>
      <c r="BG62" s="76" t="str">
        <f t="shared" ca="1" si="189"/>
        <v/>
      </c>
      <c r="BH62" s="76" t="str">
        <f t="shared" ca="1" si="190"/>
        <v/>
      </c>
      <c r="BI62" s="76" t="str">
        <f t="shared" ca="1" si="190"/>
        <v/>
      </c>
      <c r="BJ62" s="76" t="str">
        <f t="shared" ca="1" si="190"/>
        <v/>
      </c>
      <c r="BK62" s="76" t="str">
        <f t="shared" ca="1" si="190"/>
        <v/>
      </c>
      <c r="BL62" s="76" t="str">
        <f t="shared" ca="1" si="190"/>
        <v/>
      </c>
      <c r="BM62" s="76" t="str">
        <f t="shared" ca="1" si="190"/>
        <v/>
      </c>
      <c r="BN62" s="76" t="str">
        <f t="shared" ca="1" si="190"/>
        <v/>
      </c>
      <c r="BO62" s="76" t="str">
        <f t="shared" ca="1" si="190"/>
        <v/>
      </c>
      <c r="BP62" s="76" t="str">
        <f t="shared" ca="1" si="190"/>
        <v/>
      </c>
      <c r="BQ62" s="76" t="str">
        <f t="shared" ca="1" si="190"/>
        <v/>
      </c>
      <c r="BR62" s="76" t="str">
        <f t="shared" ca="1" si="191"/>
        <v/>
      </c>
      <c r="BS62" s="76" t="str">
        <f t="shared" ca="1" si="191"/>
        <v/>
      </c>
      <c r="BT62" s="76" t="str">
        <f t="shared" ca="1" si="191"/>
        <v/>
      </c>
      <c r="BU62" s="76" t="str">
        <f t="shared" ca="1" si="191"/>
        <v/>
      </c>
      <c r="BV62" s="76" t="str">
        <f t="shared" ca="1" si="191"/>
        <v/>
      </c>
      <c r="BW62" s="76" t="str">
        <f t="shared" ca="1" si="191"/>
        <v/>
      </c>
      <c r="BX62" s="76" t="str">
        <f t="shared" ca="1" si="191"/>
        <v/>
      </c>
      <c r="BY62" s="76" t="str">
        <f t="shared" ca="1" si="191"/>
        <v/>
      </c>
      <c r="BZ62" s="76" t="str">
        <f t="shared" ca="1" si="191"/>
        <v/>
      </c>
      <c r="CA62" s="76" t="str">
        <f t="shared" ca="1" si="191"/>
        <v/>
      </c>
      <c r="CB62" s="76" t="str">
        <f t="shared" ca="1" si="192"/>
        <v/>
      </c>
      <c r="CC62" s="76" t="str">
        <f t="shared" ca="1" si="192"/>
        <v/>
      </c>
      <c r="CD62" s="76" t="str">
        <f t="shared" ca="1" si="192"/>
        <v/>
      </c>
      <c r="CE62" s="76" t="str">
        <f t="shared" ca="1" si="192"/>
        <v/>
      </c>
      <c r="CF62" s="76" t="str">
        <f t="shared" ca="1" si="192"/>
        <v/>
      </c>
      <c r="CG62" s="76" t="str">
        <f t="shared" ca="1" si="192"/>
        <v/>
      </c>
      <c r="CH62" s="76" t="str">
        <f t="shared" ca="1" si="192"/>
        <v/>
      </c>
      <c r="CI62" s="76" t="str">
        <f t="shared" ca="1" si="192"/>
        <v/>
      </c>
      <c r="CJ62" s="76" t="str">
        <f t="shared" ca="1" si="192"/>
        <v/>
      </c>
      <c r="CK62" s="76" t="str">
        <f t="shared" ca="1" si="192"/>
        <v/>
      </c>
      <c r="CL62" s="76" t="str">
        <f t="shared" ca="1" si="193"/>
        <v/>
      </c>
      <c r="CM62" s="76" t="str">
        <f t="shared" ca="1" si="193"/>
        <v/>
      </c>
      <c r="CN62" s="76" t="str">
        <f t="shared" ca="1" si="193"/>
        <v/>
      </c>
      <c r="CO62" s="76" t="str">
        <f t="shared" ca="1" si="193"/>
        <v/>
      </c>
      <c r="CP62" s="76" t="str">
        <f t="shared" ca="1" si="193"/>
        <v/>
      </c>
      <c r="CQ62" s="76" t="str">
        <f t="shared" ca="1" si="193"/>
        <v/>
      </c>
      <c r="CR62" s="76" t="str">
        <f t="shared" ca="1" si="193"/>
        <v/>
      </c>
      <c r="CS62" s="76" t="str">
        <f t="shared" ca="1" si="193"/>
        <v/>
      </c>
      <c r="CT62" s="76" t="str">
        <f t="shared" ca="1" si="193"/>
        <v/>
      </c>
      <c r="CU62" s="76" t="str">
        <f t="shared" ca="1" si="193"/>
        <v/>
      </c>
      <c r="CV62" s="76" t="str">
        <f t="shared" ca="1" si="194"/>
        <v/>
      </c>
      <c r="CW62" s="76" t="str">
        <f t="shared" ca="1" si="194"/>
        <v/>
      </c>
      <c r="CX62" s="76" t="str">
        <f t="shared" ca="1" si="194"/>
        <v/>
      </c>
      <c r="CY62" s="76" t="str">
        <f t="shared" ca="1" si="194"/>
        <v/>
      </c>
      <c r="CZ62" s="76" t="str">
        <f t="shared" ca="1" si="194"/>
        <v/>
      </c>
      <c r="DA62" s="76" t="str">
        <f t="shared" ca="1" si="194"/>
        <v/>
      </c>
      <c r="DB62" s="76" t="str">
        <f t="shared" ca="1" si="194"/>
        <v/>
      </c>
      <c r="DC62" s="76" t="str">
        <f t="shared" ca="1" si="194"/>
        <v/>
      </c>
      <c r="DD62" s="76" t="str">
        <f t="shared" ca="1" si="194"/>
        <v/>
      </c>
      <c r="DE62" s="76" t="str">
        <f t="shared" ca="1" si="194"/>
        <v/>
      </c>
      <c r="DF62" s="76" t="str">
        <f t="shared" ca="1" si="195"/>
        <v/>
      </c>
      <c r="DG62" s="76" t="str">
        <f t="shared" ca="1" si="195"/>
        <v/>
      </c>
      <c r="DH62" s="76" t="str">
        <f t="shared" ca="1" si="195"/>
        <v/>
      </c>
      <c r="DI62" s="76" t="str">
        <f t="shared" ca="1" si="195"/>
        <v/>
      </c>
      <c r="DJ62" s="76" t="str">
        <f t="shared" ca="1" si="195"/>
        <v/>
      </c>
      <c r="DK62" s="76" t="str">
        <f t="shared" ca="1" si="195"/>
        <v/>
      </c>
      <c r="DL62" s="76" t="str">
        <f t="shared" ca="1" si="195"/>
        <v/>
      </c>
      <c r="DM62" s="76" t="str">
        <f t="shared" ca="1" si="195"/>
        <v/>
      </c>
      <c r="DN62" s="76" t="str">
        <f t="shared" ca="1" si="195"/>
        <v/>
      </c>
      <c r="DO62" s="76" t="str">
        <f t="shared" ca="1" si="195"/>
        <v/>
      </c>
      <c r="DP62" s="76" t="str">
        <f t="shared" ca="1" si="196"/>
        <v/>
      </c>
      <c r="DQ62" s="76" t="str">
        <f t="shared" ca="1" si="196"/>
        <v/>
      </c>
      <c r="DR62" s="76" t="str">
        <f t="shared" ca="1" si="196"/>
        <v/>
      </c>
      <c r="DS62" s="76" t="str">
        <f t="shared" ca="1" si="196"/>
        <v/>
      </c>
      <c r="DT62" s="76" t="str">
        <f t="shared" ca="1" si="196"/>
        <v/>
      </c>
      <c r="DU62" s="76" t="str">
        <f t="shared" ca="1" si="196"/>
        <v/>
      </c>
      <c r="DV62" s="76" t="str">
        <f t="shared" ca="1" si="196"/>
        <v/>
      </c>
      <c r="DW62" s="76" t="str">
        <f t="shared" ca="1" si="196"/>
        <v/>
      </c>
      <c r="DX62" s="76" t="str">
        <f t="shared" ca="1" si="196"/>
        <v/>
      </c>
      <c r="DY62" s="76" t="str">
        <f t="shared" ca="1" si="196"/>
        <v/>
      </c>
      <c r="DZ62" s="76" t="str">
        <f t="shared" ca="1" si="197"/>
        <v/>
      </c>
      <c r="EA62" s="76" t="str">
        <f t="shared" ca="1" si="197"/>
        <v/>
      </c>
      <c r="EB62" s="76" t="str">
        <f t="shared" ca="1" si="197"/>
        <v/>
      </c>
      <c r="EC62" s="76" t="str">
        <f t="shared" ca="1" si="197"/>
        <v/>
      </c>
      <c r="ED62" s="76" t="str">
        <f t="shared" ca="1" si="197"/>
        <v/>
      </c>
      <c r="EE62" s="76" t="str">
        <f t="shared" ca="1" si="197"/>
        <v/>
      </c>
      <c r="EF62" s="76" t="str">
        <f t="shared" ca="1" si="197"/>
        <v/>
      </c>
      <c r="EG62" s="76" t="str">
        <f t="shared" ca="1" si="197"/>
        <v/>
      </c>
      <c r="EH62" s="76" t="str">
        <f t="shared" ca="1" si="197"/>
        <v/>
      </c>
      <c r="EI62" s="76" t="str">
        <f t="shared" ca="1" si="197"/>
        <v/>
      </c>
      <c r="EJ62" s="76" t="str">
        <f t="shared" ca="1" si="198"/>
        <v/>
      </c>
      <c r="EK62" s="76" t="str">
        <f t="shared" ca="1" si="198"/>
        <v/>
      </c>
      <c r="EL62" s="76" t="str">
        <f t="shared" ca="1" si="198"/>
        <v/>
      </c>
      <c r="EM62" s="76" t="str">
        <f t="shared" ca="1" si="198"/>
        <v/>
      </c>
      <c r="EN62" s="76" t="str">
        <f t="shared" ca="1" si="198"/>
        <v/>
      </c>
      <c r="EO62" s="76" t="str">
        <f t="shared" ca="1" si="198"/>
        <v/>
      </c>
      <c r="EP62" s="76" t="str">
        <f t="shared" ca="1" si="198"/>
        <v/>
      </c>
      <c r="EQ62" s="76" t="str">
        <f t="shared" ca="1" si="198"/>
        <v/>
      </c>
      <c r="ER62" s="76" t="str">
        <f t="shared" ca="1" si="198"/>
        <v/>
      </c>
      <c r="ES62" s="76" t="str">
        <f t="shared" ca="1" si="198"/>
        <v/>
      </c>
      <c r="ET62" s="76" t="str">
        <f t="shared" ca="1" si="199"/>
        <v/>
      </c>
      <c r="EU62" s="76" t="str">
        <f t="shared" ca="1" si="199"/>
        <v/>
      </c>
      <c r="EV62" s="76" t="str">
        <f t="shared" ca="1" si="199"/>
        <v/>
      </c>
      <c r="EW62" s="76" t="str">
        <f t="shared" ca="1" si="199"/>
        <v/>
      </c>
      <c r="EX62" s="76" t="str">
        <f t="shared" ca="1" si="199"/>
        <v/>
      </c>
      <c r="EY62" s="76" t="str">
        <f t="shared" ca="1" si="199"/>
        <v/>
      </c>
      <c r="EZ62" s="76" t="str">
        <f t="shared" ca="1" si="199"/>
        <v/>
      </c>
      <c r="FA62" s="76" t="str">
        <f t="shared" ca="1" si="199"/>
        <v/>
      </c>
      <c r="FB62" s="76" t="str">
        <f t="shared" ca="1" si="199"/>
        <v/>
      </c>
      <c r="FC62" s="76" t="str">
        <f t="shared" ca="1" si="199"/>
        <v/>
      </c>
      <c r="FD62" s="76" t="str">
        <f t="shared" ca="1" si="200"/>
        <v/>
      </c>
      <c r="FE62" s="76" t="str">
        <f t="shared" ca="1" si="200"/>
        <v/>
      </c>
      <c r="FF62" s="76" t="str">
        <f t="shared" ca="1" si="200"/>
        <v/>
      </c>
      <c r="FG62" s="76" t="str">
        <f t="shared" ca="1" si="200"/>
        <v/>
      </c>
      <c r="FH62" s="76" t="str">
        <f t="shared" ca="1" si="200"/>
        <v/>
      </c>
      <c r="FI62" s="76" t="str">
        <f t="shared" ca="1" si="200"/>
        <v/>
      </c>
      <c r="FJ62" s="76" t="str">
        <f t="shared" ca="1" si="200"/>
        <v/>
      </c>
      <c r="FK62" s="76" t="str">
        <f t="shared" ca="1" si="200"/>
        <v/>
      </c>
      <c r="FL62" s="76" t="str">
        <f t="shared" ca="1" si="200"/>
        <v/>
      </c>
      <c r="FM62" s="76" t="str">
        <f t="shared" ca="1" si="200"/>
        <v/>
      </c>
      <c r="FN62" s="76" t="str">
        <f t="shared" ca="1" si="201"/>
        <v/>
      </c>
      <c r="FO62" s="76" t="str">
        <f t="shared" ca="1" si="201"/>
        <v/>
      </c>
      <c r="FP62" s="76" t="str">
        <f t="shared" ca="1" si="201"/>
        <v/>
      </c>
      <c r="FQ62" s="76" t="str">
        <f t="shared" ca="1" si="201"/>
        <v/>
      </c>
      <c r="FR62" s="76" t="str">
        <f t="shared" ca="1" si="201"/>
        <v/>
      </c>
      <c r="FS62" s="76" t="str">
        <f t="shared" ca="1" si="201"/>
        <v/>
      </c>
      <c r="FT62" s="76" t="str">
        <f t="shared" ca="1" si="201"/>
        <v/>
      </c>
      <c r="FU62" s="76" t="str">
        <f t="shared" ca="1" si="201"/>
        <v/>
      </c>
      <c r="FV62" s="76" t="str">
        <f t="shared" ca="1" si="201"/>
        <v/>
      </c>
      <c r="FW62" s="76" t="str">
        <f t="shared" ca="1" si="201"/>
        <v/>
      </c>
      <c r="FX62" s="76" t="str">
        <f t="shared" ca="1" si="202"/>
        <v/>
      </c>
      <c r="FY62" s="76" t="str">
        <f t="shared" ca="1" si="202"/>
        <v/>
      </c>
      <c r="FZ62" s="76" t="str">
        <f t="shared" ca="1" si="202"/>
        <v/>
      </c>
      <c r="GA62" s="76" t="str">
        <f t="shared" ca="1" si="202"/>
        <v/>
      </c>
      <c r="GB62" s="76" t="str">
        <f t="shared" ca="1" si="202"/>
        <v/>
      </c>
      <c r="GC62" s="76" t="str">
        <f t="shared" ca="1" si="202"/>
        <v/>
      </c>
      <c r="GD62" s="76" t="str">
        <f t="shared" ca="1" si="202"/>
        <v/>
      </c>
      <c r="GE62" s="76" t="str">
        <f t="shared" ca="1" si="202"/>
        <v/>
      </c>
      <c r="GF62" s="76" t="str">
        <f t="shared" ca="1" si="202"/>
        <v/>
      </c>
      <c r="GG62" s="76" t="str">
        <f t="shared" ca="1" si="202"/>
        <v/>
      </c>
      <c r="GH62" s="76" t="str">
        <f t="shared" ca="1" si="203"/>
        <v/>
      </c>
      <c r="GI62" s="76" t="str">
        <f t="shared" ca="1" si="203"/>
        <v/>
      </c>
      <c r="GJ62" s="76" t="str">
        <f t="shared" ca="1" si="203"/>
        <v/>
      </c>
      <c r="GK62" s="76" t="str">
        <f t="shared" ca="1" si="203"/>
        <v/>
      </c>
      <c r="GL62" s="76" t="str">
        <f t="shared" ca="1" si="203"/>
        <v/>
      </c>
      <c r="GM62" s="76" t="str">
        <f t="shared" ca="1" si="203"/>
        <v/>
      </c>
      <c r="GN62" s="76" t="str">
        <f t="shared" ca="1" si="203"/>
        <v/>
      </c>
      <c r="GO62" s="76" t="str">
        <f t="shared" ca="1" si="203"/>
        <v/>
      </c>
      <c r="GP62" s="76" t="str">
        <f t="shared" ca="1" si="203"/>
        <v/>
      </c>
      <c r="GQ62" s="76" t="str">
        <f t="shared" ca="1" si="203"/>
        <v/>
      </c>
      <c r="GR62" s="76" t="str">
        <f t="shared" ca="1" si="204"/>
        <v/>
      </c>
      <c r="GS62" s="76" t="str">
        <f t="shared" ca="1" si="204"/>
        <v/>
      </c>
      <c r="GT62" s="76" t="str">
        <f t="shared" ca="1" si="204"/>
        <v/>
      </c>
      <c r="GU62" s="76" t="str">
        <f t="shared" ca="1" si="204"/>
        <v/>
      </c>
      <c r="GV62" s="76" t="str">
        <f t="shared" ca="1" si="204"/>
        <v/>
      </c>
      <c r="GW62" s="76" t="str">
        <f t="shared" ca="1" si="204"/>
        <v/>
      </c>
      <c r="GX62" s="76" t="str">
        <f t="shared" ca="1" si="204"/>
        <v/>
      </c>
      <c r="GY62" s="76" t="str">
        <f t="shared" ca="1" si="204"/>
        <v/>
      </c>
      <c r="GZ62" s="76" t="str">
        <f t="shared" ca="1" si="204"/>
        <v/>
      </c>
      <c r="HA62" s="76" t="str">
        <f t="shared" ca="1" si="204"/>
        <v/>
      </c>
      <c r="HB62" s="76" t="str">
        <f t="shared" ca="1" si="205"/>
        <v/>
      </c>
      <c r="HC62" s="76" t="str">
        <f t="shared" ca="1" si="205"/>
        <v/>
      </c>
      <c r="HD62" s="76" t="str">
        <f t="shared" ca="1" si="205"/>
        <v/>
      </c>
      <c r="HE62" s="76" t="str">
        <f t="shared" ca="1" si="205"/>
        <v/>
      </c>
      <c r="HF62" s="76" t="str">
        <f t="shared" ca="1" si="205"/>
        <v/>
      </c>
      <c r="HG62" s="76" t="str">
        <f t="shared" ca="1" si="205"/>
        <v/>
      </c>
      <c r="HH62" s="76" t="str">
        <f t="shared" ca="1" si="205"/>
        <v/>
      </c>
      <c r="HI62" s="76" t="str">
        <f t="shared" ca="1" si="205"/>
        <v/>
      </c>
      <c r="HJ62" s="76" t="str">
        <f t="shared" ca="1" si="205"/>
        <v/>
      </c>
      <c r="HK62" s="76" t="str">
        <f t="shared" ca="1" si="205"/>
        <v/>
      </c>
      <c r="HL62" s="76" t="str">
        <f t="shared" ca="1" si="206"/>
        <v/>
      </c>
      <c r="HM62" s="76" t="str">
        <f t="shared" ca="1" si="206"/>
        <v/>
      </c>
      <c r="HN62" s="76" t="str">
        <f t="shared" ca="1" si="206"/>
        <v/>
      </c>
      <c r="HO62" s="76" t="str">
        <f t="shared" ca="1" si="206"/>
        <v/>
      </c>
      <c r="HP62" s="76" t="str">
        <f t="shared" ca="1" si="206"/>
        <v/>
      </c>
      <c r="HQ62" s="76" t="str">
        <f t="shared" ca="1" si="206"/>
        <v/>
      </c>
      <c r="HR62" s="76" t="str">
        <f t="shared" ca="1" si="206"/>
        <v/>
      </c>
      <c r="HS62" s="76" t="str">
        <f t="shared" ca="1" si="206"/>
        <v/>
      </c>
      <c r="HT62" s="76" t="str">
        <f t="shared" ca="1" si="206"/>
        <v/>
      </c>
      <c r="HU62" s="76" t="str">
        <f t="shared" ca="1" si="206"/>
        <v/>
      </c>
      <c r="HV62" s="76" t="str">
        <f t="shared" ca="1" si="207"/>
        <v/>
      </c>
      <c r="HW62" s="76" t="str">
        <f t="shared" ca="1" si="207"/>
        <v/>
      </c>
      <c r="HX62" s="76" t="str">
        <f t="shared" ca="1" si="207"/>
        <v/>
      </c>
      <c r="HY62" s="76" t="str">
        <f t="shared" ca="1" si="207"/>
        <v/>
      </c>
      <c r="HZ62" s="76" t="str">
        <f t="shared" ca="1" si="207"/>
        <v/>
      </c>
      <c r="IA62" s="76" t="str">
        <f t="shared" ca="1" si="207"/>
        <v/>
      </c>
      <c r="IB62" s="76" t="str">
        <f t="shared" ca="1" si="207"/>
        <v/>
      </c>
      <c r="IC62" s="76" t="str">
        <f t="shared" ca="1" si="207"/>
        <v/>
      </c>
      <c r="ID62" s="76" t="str">
        <f t="shared" ca="1" si="207"/>
        <v/>
      </c>
      <c r="IE62" s="76" t="str">
        <f t="shared" ca="1" si="207"/>
        <v/>
      </c>
      <c r="IF62" s="76" t="str">
        <f t="shared" ca="1" si="208"/>
        <v/>
      </c>
      <c r="IG62" s="76" t="str">
        <f t="shared" ca="1" si="208"/>
        <v/>
      </c>
      <c r="IH62" s="76" t="str">
        <f t="shared" ca="1" si="208"/>
        <v/>
      </c>
      <c r="II62" s="76" t="str">
        <f t="shared" ca="1" si="208"/>
        <v/>
      </c>
      <c r="IJ62" s="76" t="str">
        <f t="shared" ca="1" si="208"/>
        <v/>
      </c>
      <c r="IK62" s="76" t="str">
        <f t="shared" ca="1" si="208"/>
        <v/>
      </c>
      <c r="IL62" s="76" t="str">
        <f t="shared" ca="1" si="208"/>
        <v/>
      </c>
      <c r="IM62" s="76" t="str">
        <f t="shared" ca="1" si="208"/>
        <v/>
      </c>
      <c r="IN62" s="76" t="str">
        <f t="shared" ca="1" si="208"/>
        <v/>
      </c>
      <c r="IO62" s="76" t="str">
        <f t="shared" ca="1" si="208"/>
        <v/>
      </c>
      <c r="IP62" s="76" t="str">
        <f t="shared" ca="1" si="209"/>
        <v/>
      </c>
      <c r="IQ62" s="76" t="str">
        <f t="shared" ca="1" si="209"/>
        <v/>
      </c>
      <c r="IR62" s="76" t="str">
        <f t="shared" ca="1" si="209"/>
        <v/>
      </c>
      <c r="IS62" s="76" t="str">
        <f t="shared" ca="1" si="209"/>
        <v/>
      </c>
      <c r="IT62" s="76" t="str">
        <f t="shared" ca="1" si="209"/>
        <v/>
      </c>
      <c r="IU62" s="76" t="str">
        <f t="shared" ca="1" si="209"/>
        <v/>
      </c>
      <c r="IV62" s="76" t="str">
        <f t="shared" ca="1" si="209"/>
        <v/>
      </c>
      <c r="IW62" s="76" t="str">
        <f t="shared" ca="1" si="209"/>
        <v/>
      </c>
      <c r="IX62" s="76" t="str">
        <f t="shared" ca="1" si="209"/>
        <v/>
      </c>
      <c r="IY62" s="76" t="str">
        <f t="shared" ca="1" si="209"/>
        <v/>
      </c>
      <c r="IZ62" s="76" t="str">
        <f t="shared" ca="1" si="210"/>
        <v/>
      </c>
      <c r="JA62" s="76" t="str">
        <f t="shared" ca="1" si="210"/>
        <v/>
      </c>
      <c r="JB62" s="76" t="str">
        <f t="shared" ca="1" si="210"/>
        <v/>
      </c>
      <c r="JC62" s="76" t="str">
        <f t="shared" ca="1" si="210"/>
        <v/>
      </c>
      <c r="JD62" s="76" t="str">
        <f t="shared" ca="1" si="210"/>
        <v/>
      </c>
      <c r="JE62" s="76" t="str">
        <f t="shared" ca="1" si="210"/>
        <v/>
      </c>
      <c r="JF62" s="76" t="str">
        <f t="shared" ca="1" si="210"/>
        <v/>
      </c>
      <c r="JG62" s="76" t="str">
        <f t="shared" ca="1" si="210"/>
        <v/>
      </c>
      <c r="JH62" s="76" t="str">
        <f t="shared" ca="1" si="210"/>
        <v/>
      </c>
      <c r="JI62" s="76" t="str">
        <f t="shared" ca="1" si="210"/>
        <v/>
      </c>
      <c r="JJ62" s="76" t="str">
        <f t="shared" ca="1" si="211"/>
        <v/>
      </c>
      <c r="JK62" s="76" t="str">
        <f t="shared" ca="1" si="211"/>
        <v/>
      </c>
      <c r="JL62" s="76" t="str">
        <f t="shared" ca="1" si="211"/>
        <v/>
      </c>
      <c r="JM62" s="76" t="str">
        <f t="shared" ca="1" si="211"/>
        <v/>
      </c>
      <c r="JN62" s="76" t="str">
        <f t="shared" ca="1" si="211"/>
        <v/>
      </c>
      <c r="JO62" s="76" t="str">
        <f t="shared" ca="1" si="211"/>
        <v/>
      </c>
      <c r="JP62" s="76" t="str">
        <f t="shared" ca="1" si="211"/>
        <v/>
      </c>
      <c r="JQ62" s="76" t="str">
        <f t="shared" ca="1" si="211"/>
        <v/>
      </c>
      <c r="JR62" s="76" t="str">
        <f t="shared" ca="1" si="211"/>
        <v/>
      </c>
      <c r="JS62" s="76" t="str">
        <f t="shared" ca="1" si="211"/>
        <v/>
      </c>
      <c r="JT62" s="76" t="str">
        <f t="shared" ca="1" si="212"/>
        <v/>
      </c>
      <c r="JU62" s="76" t="str">
        <f t="shared" ca="1" si="212"/>
        <v/>
      </c>
      <c r="JV62" s="76" t="str">
        <f t="shared" ca="1" si="212"/>
        <v/>
      </c>
      <c r="JW62" s="76" t="str">
        <f t="shared" ca="1" si="212"/>
        <v/>
      </c>
      <c r="JX62" s="76" t="str">
        <f t="shared" ca="1" si="212"/>
        <v/>
      </c>
      <c r="JY62" s="76" t="str">
        <f t="shared" ca="1" si="212"/>
        <v/>
      </c>
      <c r="JZ62" s="76" t="str">
        <f t="shared" ca="1" si="212"/>
        <v/>
      </c>
      <c r="KA62" s="76" t="str">
        <f t="shared" ca="1" si="212"/>
        <v/>
      </c>
      <c r="KB62" s="76" t="str">
        <f t="shared" ca="1" si="212"/>
        <v/>
      </c>
      <c r="KC62" s="76" t="str">
        <f t="shared" ca="1" si="212"/>
        <v/>
      </c>
      <c r="KD62" s="76" t="str">
        <f t="shared" ca="1" si="213"/>
        <v/>
      </c>
      <c r="KE62" s="76" t="str">
        <f t="shared" ca="1" si="213"/>
        <v/>
      </c>
      <c r="KF62" s="76" t="str">
        <f t="shared" ca="1" si="213"/>
        <v/>
      </c>
      <c r="KG62" s="76" t="str">
        <f t="shared" ca="1" si="213"/>
        <v/>
      </c>
      <c r="KH62" s="76" t="str">
        <f t="shared" ca="1" si="213"/>
        <v/>
      </c>
      <c r="KI62" s="76" t="str">
        <f t="shared" ca="1" si="213"/>
        <v/>
      </c>
      <c r="KJ62" s="76" t="str">
        <f t="shared" ca="1" si="213"/>
        <v/>
      </c>
      <c r="KK62" s="76" t="str">
        <f t="shared" ca="1" si="213"/>
        <v/>
      </c>
      <c r="KL62" s="76" t="str">
        <f t="shared" ca="1" si="213"/>
        <v/>
      </c>
      <c r="KM62" s="76" t="str">
        <f t="shared" ca="1" si="213"/>
        <v/>
      </c>
      <c r="KN62" s="76" t="str">
        <f t="shared" ca="1" si="214"/>
        <v/>
      </c>
      <c r="KO62" s="76" t="str">
        <f t="shared" ca="1" si="214"/>
        <v/>
      </c>
      <c r="KP62" s="76" t="str">
        <f t="shared" ca="1" si="214"/>
        <v/>
      </c>
      <c r="KQ62" s="76" t="str">
        <f t="shared" ca="1" si="214"/>
        <v/>
      </c>
      <c r="KR62" s="76" t="str">
        <f t="shared" ca="1" si="214"/>
        <v/>
      </c>
      <c r="KS62" s="76" t="str">
        <f t="shared" ca="1" si="214"/>
        <v/>
      </c>
      <c r="KT62" s="76" t="str">
        <f t="shared" ca="1" si="214"/>
        <v/>
      </c>
      <c r="KU62" s="76" t="str">
        <f t="shared" ca="1" si="214"/>
        <v/>
      </c>
      <c r="KV62" s="76" t="str">
        <f t="shared" ca="1" si="214"/>
        <v/>
      </c>
      <c r="KW62" s="76" t="str">
        <f t="shared" ca="1" si="214"/>
        <v/>
      </c>
      <c r="KX62" s="76" t="str">
        <f t="shared" ca="1" si="215"/>
        <v/>
      </c>
      <c r="KY62" s="76" t="str">
        <f t="shared" ca="1" si="215"/>
        <v/>
      </c>
      <c r="KZ62" s="76" t="str">
        <f t="shared" ca="1" si="215"/>
        <v/>
      </c>
      <c r="LA62" s="76" t="str">
        <f t="shared" ca="1" si="215"/>
        <v/>
      </c>
      <c r="LB62" s="76" t="str">
        <f t="shared" ca="1" si="215"/>
        <v/>
      </c>
      <c r="LC62" s="76" t="str">
        <f t="shared" ca="1" si="215"/>
        <v/>
      </c>
      <c r="LD62" s="76" t="str">
        <f t="shared" ca="1" si="215"/>
        <v/>
      </c>
      <c r="LE62" s="76" t="str">
        <f t="shared" ca="1" si="215"/>
        <v/>
      </c>
      <c r="LF62" s="76" t="str">
        <f t="shared" ca="1" si="215"/>
        <v/>
      </c>
      <c r="LG62" s="76" t="str">
        <f t="shared" ca="1" si="215"/>
        <v/>
      </c>
      <c r="LH62" s="76" t="str">
        <f t="shared" ca="1" si="216"/>
        <v/>
      </c>
      <c r="LI62" s="76" t="str">
        <f t="shared" ca="1" si="216"/>
        <v/>
      </c>
      <c r="LJ62" s="76" t="str">
        <f t="shared" ca="1" si="216"/>
        <v/>
      </c>
      <c r="LK62" s="76" t="str">
        <f t="shared" ca="1" si="216"/>
        <v/>
      </c>
      <c r="LL62" s="76" t="str">
        <f t="shared" ca="1" si="216"/>
        <v/>
      </c>
      <c r="LM62" s="76" t="str">
        <f t="shared" ca="1" si="216"/>
        <v/>
      </c>
      <c r="LN62" s="76" t="str">
        <f t="shared" ca="1" si="216"/>
        <v/>
      </c>
      <c r="LO62" s="76" t="str">
        <f t="shared" ca="1" si="216"/>
        <v/>
      </c>
      <c r="LP62" s="76" t="str">
        <f t="shared" ca="1" si="216"/>
        <v/>
      </c>
      <c r="LQ62" s="76" t="str">
        <f t="shared" ca="1" si="216"/>
        <v/>
      </c>
      <c r="LR62" s="76" t="str">
        <f t="shared" ca="1" si="217"/>
        <v/>
      </c>
      <c r="LS62" s="76" t="str">
        <f t="shared" ca="1" si="217"/>
        <v/>
      </c>
      <c r="LT62" s="76" t="str">
        <f t="shared" ca="1" si="217"/>
        <v/>
      </c>
      <c r="LU62" s="76" t="str">
        <f t="shared" ca="1" si="217"/>
        <v/>
      </c>
      <c r="LV62" s="76" t="str">
        <f t="shared" ca="1" si="217"/>
        <v/>
      </c>
      <c r="LW62" s="76" t="str">
        <f t="shared" ca="1" si="217"/>
        <v/>
      </c>
      <c r="LX62" s="76" t="str">
        <f t="shared" ca="1" si="217"/>
        <v/>
      </c>
      <c r="LY62" s="76" t="str">
        <f t="shared" ca="1" si="217"/>
        <v/>
      </c>
      <c r="LZ62" s="76" t="str">
        <f t="shared" ca="1" si="217"/>
        <v/>
      </c>
      <c r="MA62" s="76" t="str">
        <f t="shared" ca="1" si="217"/>
        <v/>
      </c>
      <c r="MB62" s="76" t="str">
        <f t="shared" ca="1" si="218"/>
        <v/>
      </c>
      <c r="MC62" s="76" t="str">
        <f t="shared" ca="1" si="218"/>
        <v/>
      </c>
      <c r="MD62" s="76" t="str">
        <f t="shared" ca="1" si="218"/>
        <v/>
      </c>
      <c r="ME62" s="76" t="str">
        <f t="shared" ca="1" si="218"/>
        <v/>
      </c>
      <c r="MF62" s="76" t="str">
        <f t="shared" ca="1" si="218"/>
        <v/>
      </c>
      <c r="MG62" s="76" t="str">
        <f t="shared" ca="1" si="218"/>
        <v/>
      </c>
      <c r="MH62" s="76" t="str">
        <f t="shared" ca="1" si="218"/>
        <v/>
      </c>
      <c r="MI62" s="76" t="str">
        <f t="shared" ca="1" si="218"/>
        <v/>
      </c>
      <c r="MJ62" s="76" t="str">
        <f t="shared" ca="1" si="218"/>
        <v/>
      </c>
      <c r="MK62" s="76" t="str">
        <f t="shared" ca="1" si="218"/>
        <v/>
      </c>
      <c r="ML62" s="76" t="str">
        <f t="shared" ca="1" si="219"/>
        <v/>
      </c>
      <c r="MM62" s="76" t="str">
        <f t="shared" ca="1" si="219"/>
        <v/>
      </c>
      <c r="MN62" s="76" t="str">
        <f t="shared" ca="1" si="219"/>
        <v/>
      </c>
      <c r="MO62" s="76" t="str">
        <f t="shared" ca="1" si="219"/>
        <v/>
      </c>
      <c r="MP62" s="76" t="str">
        <f t="shared" ca="1" si="219"/>
        <v/>
      </c>
      <c r="MQ62" s="76" t="str">
        <f t="shared" ca="1" si="219"/>
        <v/>
      </c>
      <c r="MR62" s="76" t="str">
        <f t="shared" ca="1" si="219"/>
        <v/>
      </c>
      <c r="MS62" s="76" t="str">
        <f t="shared" ca="1" si="219"/>
        <v/>
      </c>
      <c r="MT62" s="76" t="str">
        <f t="shared" ca="1" si="219"/>
        <v/>
      </c>
      <c r="MU62" s="76" t="str">
        <f t="shared" ca="1" si="219"/>
        <v/>
      </c>
      <c r="MV62" s="76" t="str">
        <f t="shared" ca="1" si="220"/>
        <v/>
      </c>
      <c r="MW62" s="76" t="str">
        <f t="shared" ca="1" si="220"/>
        <v/>
      </c>
      <c r="MX62" s="76" t="str">
        <f t="shared" ca="1" si="220"/>
        <v/>
      </c>
      <c r="MY62" s="76" t="str">
        <f t="shared" ca="1" si="220"/>
        <v/>
      </c>
      <c r="MZ62" s="76" t="str">
        <f t="shared" ca="1" si="220"/>
        <v/>
      </c>
      <c r="NA62" s="76" t="str">
        <f t="shared" ca="1" si="220"/>
        <v/>
      </c>
      <c r="NB62" s="76" t="str">
        <f t="shared" ca="1" si="220"/>
        <v/>
      </c>
      <c r="NC62" s="76" t="str">
        <f t="shared" ca="1" si="220"/>
        <v/>
      </c>
      <c r="ND62" s="76" t="str">
        <f t="shared" ca="1" si="220"/>
        <v/>
      </c>
      <c r="NE62" s="76" t="str">
        <f t="shared" ca="1" si="220"/>
        <v/>
      </c>
      <c r="NF62" s="76" t="str">
        <f t="shared" ca="1" si="221"/>
        <v/>
      </c>
      <c r="NG62" s="76" t="str">
        <f t="shared" ca="1" si="221"/>
        <v/>
      </c>
      <c r="NH62" s="76" t="str">
        <f t="shared" ca="1" si="221"/>
        <v/>
      </c>
      <c r="NI62" s="76" t="str">
        <f t="shared" ca="1" si="221"/>
        <v/>
      </c>
      <c r="NJ62" s="76" t="str">
        <f t="shared" ca="1" si="221"/>
        <v/>
      </c>
      <c r="NK62" s="76" t="str">
        <f t="shared" ca="1" si="221"/>
        <v/>
      </c>
      <c r="NL62" s="76" t="str">
        <f t="shared" ca="1" si="221"/>
        <v/>
      </c>
      <c r="NM62" s="76" t="str">
        <f t="shared" ca="1" si="221"/>
        <v/>
      </c>
      <c r="NN62" s="76" t="str">
        <f t="shared" ca="1" si="221"/>
        <v/>
      </c>
      <c r="NO62" s="76" t="str">
        <f t="shared" ca="1" si="221"/>
        <v/>
      </c>
      <c r="NP62" s="76" t="str">
        <f t="shared" ca="1" si="222"/>
        <v/>
      </c>
      <c r="NQ62" s="76" t="str">
        <f t="shared" ca="1" si="222"/>
        <v/>
      </c>
      <c r="NR62" s="76" t="str">
        <f t="shared" ca="1" si="222"/>
        <v/>
      </c>
      <c r="NS62" s="76" t="str">
        <f t="shared" ca="1" si="222"/>
        <v/>
      </c>
      <c r="NT62" s="76" t="str">
        <f t="shared" ca="1" si="222"/>
        <v/>
      </c>
      <c r="NU62" s="76" t="str">
        <f t="shared" ca="1" si="222"/>
        <v/>
      </c>
      <c r="NV62" s="76" t="str">
        <f t="shared" ca="1" si="222"/>
        <v/>
      </c>
      <c r="NW62" s="76" t="str">
        <f t="shared" ca="1" si="222"/>
        <v/>
      </c>
      <c r="NX62" s="76" t="str">
        <f t="shared" ca="1" si="222"/>
        <v/>
      </c>
      <c r="NY62" s="76" t="str">
        <f t="shared" ca="1" si="222"/>
        <v/>
      </c>
      <c r="NZ62" s="76" t="str">
        <f t="shared" ca="1" si="223"/>
        <v/>
      </c>
      <c r="OA62" s="76" t="str">
        <f t="shared" ca="1" si="223"/>
        <v/>
      </c>
      <c r="OB62" s="76" t="str">
        <f t="shared" ca="1" si="223"/>
        <v/>
      </c>
      <c r="OC62" s="76" t="str">
        <f t="shared" ca="1" si="223"/>
        <v/>
      </c>
      <c r="OD62" s="76" t="str">
        <f t="shared" ca="1" si="223"/>
        <v/>
      </c>
      <c r="OE62" s="76" t="str">
        <f t="shared" ca="1" si="223"/>
        <v/>
      </c>
      <c r="OF62" s="76" t="str">
        <f t="shared" ca="1" si="223"/>
        <v/>
      </c>
      <c r="OG62" s="76" t="str">
        <f t="shared" ca="1" si="223"/>
        <v/>
      </c>
      <c r="OH62" s="76" t="str">
        <f t="shared" ca="1" si="223"/>
        <v/>
      </c>
      <c r="OI62" s="76" t="str">
        <f t="shared" ca="1" si="223"/>
        <v/>
      </c>
      <c r="OJ62" s="76" t="str">
        <f t="shared" ca="1" si="224"/>
        <v/>
      </c>
      <c r="OK62" s="76" t="str">
        <f t="shared" ca="1" si="224"/>
        <v/>
      </c>
      <c r="OL62" s="76" t="str">
        <f t="shared" ca="1" si="224"/>
        <v/>
      </c>
      <c r="OM62" s="76" t="str">
        <f t="shared" ca="1" si="224"/>
        <v/>
      </c>
      <c r="ON62" s="76" t="str">
        <f t="shared" ca="1" si="224"/>
        <v/>
      </c>
      <c r="OO62" s="76" t="str">
        <f t="shared" ca="1" si="224"/>
        <v/>
      </c>
      <c r="OP62" s="76" t="str">
        <f t="shared" ca="1" si="224"/>
        <v/>
      </c>
      <c r="OQ62" s="76" t="str">
        <f t="shared" ca="1" si="224"/>
        <v/>
      </c>
      <c r="OR62" s="76" t="str">
        <f t="shared" ca="1" si="224"/>
        <v/>
      </c>
      <c r="OS62" s="76" t="str">
        <f t="shared" ca="1" si="224"/>
        <v/>
      </c>
      <c r="OT62" s="76" t="str">
        <f t="shared" ca="1" si="225"/>
        <v/>
      </c>
      <c r="OU62" s="76" t="str">
        <f t="shared" ca="1" si="225"/>
        <v/>
      </c>
      <c r="OV62" s="76" t="str">
        <f t="shared" ca="1" si="225"/>
        <v/>
      </c>
      <c r="OW62" s="76" t="str">
        <f t="shared" ca="1" si="225"/>
        <v/>
      </c>
      <c r="OX62" s="76" t="str">
        <f t="shared" ca="1" si="225"/>
        <v/>
      </c>
      <c r="OY62" s="76" t="str">
        <f t="shared" ca="1" si="225"/>
        <v/>
      </c>
      <c r="OZ62" s="76" t="str">
        <f t="shared" ca="1" si="225"/>
        <v/>
      </c>
      <c r="PA62" s="76" t="str">
        <f t="shared" ca="1" si="225"/>
        <v/>
      </c>
      <c r="PB62" s="76" t="str">
        <f t="shared" ca="1" si="225"/>
        <v/>
      </c>
      <c r="PC62" s="76" t="str">
        <f t="shared" ca="1" si="225"/>
        <v/>
      </c>
      <c r="PD62" s="76" t="str">
        <f t="shared" ca="1" si="226"/>
        <v/>
      </c>
      <c r="PE62" s="76" t="str">
        <f t="shared" ca="1" si="226"/>
        <v/>
      </c>
      <c r="PF62" s="76" t="str">
        <f t="shared" ca="1" si="226"/>
        <v/>
      </c>
      <c r="PG62" s="76" t="str">
        <f t="shared" ca="1" si="226"/>
        <v/>
      </c>
      <c r="PH62" s="76" t="str">
        <f t="shared" ca="1" si="226"/>
        <v/>
      </c>
      <c r="PI62" s="76" t="str">
        <f t="shared" ca="1" si="226"/>
        <v/>
      </c>
      <c r="PJ62" s="76" t="str">
        <f t="shared" ca="1" si="226"/>
        <v/>
      </c>
      <c r="PK62" s="76" t="str">
        <f t="shared" ca="1" si="226"/>
        <v/>
      </c>
      <c r="PL62" s="76" t="str">
        <f t="shared" ca="1" si="226"/>
        <v/>
      </c>
      <c r="PM62" s="76" t="str">
        <f t="shared" ca="1" si="226"/>
        <v/>
      </c>
      <c r="PN62" s="76" t="str">
        <f t="shared" ca="1" si="227"/>
        <v/>
      </c>
      <c r="PO62" s="76" t="str">
        <f t="shared" ca="1" si="227"/>
        <v/>
      </c>
      <c r="PP62" s="76" t="str">
        <f t="shared" ca="1" si="227"/>
        <v/>
      </c>
      <c r="PQ62" s="76" t="str">
        <f t="shared" ca="1" si="227"/>
        <v/>
      </c>
      <c r="PR62" s="76" t="str">
        <f t="shared" ca="1" si="227"/>
        <v/>
      </c>
      <c r="PS62" s="76" t="str">
        <f t="shared" ca="1" si="227"/>
        <v/>
      </c>
      <c r="PT62" s="76" t="str">
        <f t="shared" ca="1" si="227"/>
        <v/>
      </c>
      <c r="PU62" s="76" t="str">
        <f t="shared" ca="1" si="227"/>
        <v/>
      </c>
      <c r="PV62" s="76" t="str">
        <f t="shared" ca="1" si="227"/>
        <v/>
      </c>
      <c r="PW62" s="76" t="str">
        <f t="shared" ca="1" si="227"/>
        <v/>
      </c>
      <c r="PX62" s="76" t="str">
        <f t="shared" ca="1" si="228"/>
        <v/>
      </c>
      <c r="PY62" s="76" t="str">
        <f t="shared" ca="1" si="228"/>
        <v/>
      </c>
      <c r="PZ62" s="76" t="str">
        <f t="shared" ca="1" si="228"/>
        <v/>
      </c>
      <c r="QA62" s="76" t="str">
        <f t="shared" ca="1" si="228"/>
        <v/>
      </c>
      <c r="QB62" s="76" t="str">
        <f t="shared" ca="1" si="228"/>
        <v/>
      </c>
      <c r="QC62" s="76" t="str">
        <f t="shared" ca="1" si="228"/>
        <v/>
      </c>
      <c r="QD62" s="76" t="str">
        <f t="shared" ca="1" si="228"/>
        <v/>
      </c>
      <c r="QE62" s="76" t="str">
        <f t="shared" ca="1" si="228"/>
        <v/>
      </c>
      <c r="QF62" s="76" t="str">
        <f t="shared" ca="1" si="228"/>
        <v/>
      </c>
      <c r="QG62" s="76" t="str">
        <f t="shared" ca="1" si="228"/>
        <v/>
      </c>
      <c r="QH62" s="76" t="str">
        <f t="shared" ca="1" si="229"/>
        <v/>
      </c>
      <c r="QI62" s="76" t="str">
        <f t="shared" ca="1" si="229"/>
        <v/>
      </c>
      <c r="QJ62" s="76" t="str">
        <f t="shared" ca="1" si="229"/>
        <v/>
      </c>
      <c r="QK62" s="76" t="str">
        <f t="shared" ca="1" si="229"/>
        <v/>
      </c>
      <c r="QL62" s="76" t="str">
        <f t="shared" ca="1" si="229"/>
        <v/>
      </c>
      <c r="QM62" s="76" t="str">
        <f t="shared" ca="1" si="229"/>
        <v/>
      </c>
      <c r="QN62" s="76" t="str">
        <f t="shared" ca="1" si="229"/>
        <v/>
      </c>
      <c r="QO62" s="76" t="str">
        <f t="shared" ca="1" si="229"/>
        <v/>
      </c>
      <c r="QP62" s="76" t="str">
        <f t="shared" ca="1" si="229"/>
        <v/>
      </c>
      <c r="QQ62" s="76" t="str">
        <f t="shared" ca="1" si="229"/>
        <v/>
      </c>
      <c r="QR62" s="76" t="str">
        <f t="shared" ca="1" si="230"/>
        <v/>
      </c>
      <c r="QS62" s="76" t="str">
        <f t="shared" ca="1" si="230"/>
        <v/>
      </c>
      <c r="QT62" s="76" t="str">
        <f t="shared" ca="1" si="230"/>
        <v/>
      </c>
      <c r="QU62" s="76" t="str">
        <f t="shared" ca="1" si="230"/>
        <v/>
      </c>
      <c r="QV62" s="76" t="str">
        <f t="shared" ca="1" si="230"/>
        <v/>
      </c>
      <c r="QW62" s="76" t="str">
        <f t="shared" ca="1" si="230"/>
        <v/>
      </c>
      <c r="QX62" s="76" t="str">
        <f t="shared" ca="1" si="230"/>
        <v/>
      </c>
      <c r="QY62" s="76" t="str">
        <f t="shared" ca="1" si="230"/>
        <v/>
      </c>
      <c r="QZ62" s="76" t="str">
        <f t="shared" ca="1" si="230"/>
        <v/>
      </c>
      <c r="RA62" s="76" t="str">
        <f t="shared" ca="1" si="230"/>
        <v/>
      </c>
      <c r="RB62" s="76" t="str">
        <f t="shared" ca="1" si="231"/>
        <v/>
      </c>
      <c r="RC62" s="76" t="str">
        <f t="shared" ca="1" si="231"/>
        <v/>
      </c>
      <c r="RD62" s="76" t="str">
        <f t="shared" ca="1" si="231"/>
        <v/>
      </c>
      <c r="RE62" s="76" t="str">
        <f t="shared" ca="1" si="231"/>
        <v/>
      </c>
      <c r="RF62" s="76" t="str">
        <f t="shared" ca="1" si="231"/>
        <v/>
      </c>
      <c r="RG62" s="76" t="str">
        <f t="shared" ca="1" si="231"/>
        <v/>
      </c>
      <c r="RH62" s="76" t="str">
        <f t="shared" ca="1" si="231"/>
        <v/>
      </c>
      <c r="RI62" s="76" t="str">
        <f t="shared" ca="1" si="231"/>
        <v/>
      </c>
      <c r="RJ62" s="76" t="str">
        <f t="shared" ca="1" si="231"/>
        <v/>
      </c>
      <c r="RK62" s="76" t="str">
        <f t="shared" ca="1" si="231"/>
        <v/>
      </c>
      <c r="RL62" s="76" t="str">
        <f t="shared" ca="1" si="232"/>
        <v/>
      </c>
      <c r="RM62" s="76" t="str">
        <f t="shared" ca="1" si="232"/>
        <v/>
      </c>
      <c r="RN62" s="76" t="str">
        <f t="shared" ca="1" si="232"/>
        <v/>
      </c>
      <c r="RO62" s="76" t="str">
        <f t="shared" ca="1" si="232"/>
        <v/>
      </c>
      <c r="RP62" s="76" t="str">
        <f t="shared" ca="1" si="232"/>
        <v/>
      </c>
      <c r="RQ62" s="76" t="str">
        <f t="shared" ca="1" si="232"/>
        <v/>
      </c>
      <c r="RR62" s="76" t="str">
        <f t="shared" ca="1" si="232"/>
        <v/>
      </c>
      <c r="RS62" s="76" t="str">
        <f t="shared" ca="1" si="232"/>
        <v/>
      </c>
      <c r="RT62" s="76" t="str">
        <f t="shared" ca="1" si="232"/>
        <v/>
      </c>
      <c r="RU62" s="76" t="str">
        <f t="shared" ca="1" si="232"/>
        <v/>
      </c>
      <c r="RV62" s="76" t="str">
        <f t="shared" ca="1" si="233"/>
        <v/>
      </c>
      <c r="RW62" s="76" t="str">
        <f t="shared" ca="1" si="233"/>
        <v/>
      </c>
      <c r="RX62" s="76" t="str">
        <f t="shared" ca="1" si="233"/>
        <v/>
      </c>
      <c r="RY62" s="76" t="str">
        <f t="shared" ca="1" si="233"/>
        <v/>
      </c>
      <c r="RZ62" s="76" t="str">
        <f t="shared" ca="1" si="233"/>
        <v/>
      </c>
      <c r="SA62" s="76" t="str">
        <f t="shared" ca="1" si="233"/>
        <v/>
      </c>
      <c r="SB62" s="76" t="str">
        <f t="shared" ca="1" si="233"/>
        <v/>
      </c>
      <c r="SC62" s="76" t="str">
        <f t="shared" ca="1" si="233"/>
        <v/>
      </c>
      <c r="SD62" s="76" t="str">
        <f t="shared" ca="1" si="233"/>
        <v/>
      </c>
      <c r="SE62" s="76" t="str">
        <f t="shared" ca="1" si="233"/>
        <v/>
      </c>
      <c r="SF62" s="76" t="str">
        <f t="shared" ca="1" si="234"/>
        <v/>
      </c>
      <c r="SG62" s="76" t="str">
        <f t="shared" ca="1" si="234"/>
        <v/>
      </c>
      <c r="SH62" s="76" t="str">
        <f t="shared" ca="1" si="234"/>
        <v/>
      </c>
      <c r="SI62" s="76" t="str">
        <f t="shared" ca="1" si="234"/>
        <v/>
      </c>
      <c r="SJ62" s="76" t="str">
        <f t="shared" ca="1" si="234"/>
        <v/>
      </c>
      <c r="SK62" s="76" t="str">
        <f t="shared" ca="1" si="234"/>
        <v/>
      </c>
      <c r="SL62" s="76" t="str">
        <f t="shared" ca="1" si="234"/>
        <v/>
      </c>
      <c r="SM62" s="76" t="str">
        <f t="shared" ca="1" si="234"/>
        <v/>
      </c>
      <c r="SN62" s="76" t="str">
        <f t="shared" ca="1" si="234"/>
        <v/>
      </c>
      <c r="SO62" s="76" t="str">
        <f t="shared" ca="1" si="234"/>
        <v/>
      </c>
      <c r="SP62" s="76" t="str">
        <f t="shared" ca="1" si="235"/>
        <v/>
      </c>
      <c r="SQ62" s="76" t="str">
        <f t="shared" ca="1" si="235"/>
        <v/>
      </c>
      <c r="SR62" s="76" t="str">
        <f t="shared" ca="1" si="235"/>
        <v/>
      </c>
      <c r="SS62" s="76" t="str">
        <f t="shared" ca="1" si="235"/>
        <v/>
      </c>
      <c r="ST62" s="76" t="str">
        <f t="shared" ca="1" si="235"/>
        <v/>
      </c>
      <c r="SU62" s="76" t="str">
        <f t="shared" ca="1" si="235"/>
        <v/>
      </c>
      <c r="SV62" s="76" t="str">
        <f t="shared" ca="1" si="235"/>
        <v/>
      </c>
      <c r="SW62" s="76" t="str">
        <f t="shared" ca="1" si="235"/>
        <v/>
      </c>
      <c r="SX62" s="76" t="str">
        <f t="shared" ca="1" si="235"/>
        <v/>
      </c>
      <c r="SY62" s="76" t="str">
        <f t="shared" ca="1" si="235"/>
        <v/>
      </c>
      <c r="SZ62" s="76" t="str">
        <f t="shared" ca="1" si="236"/>
        <v/>
      </c>
      <c r="TA62" s="76" t="str">
        <f t="shared" ca="1" si="236"/>
        <v/>
      </c>
      <c r="TB62" s="76" t="str">
        <f t="shared" ca="1" si="236"/>
        <v/>
      </c>
      <c r="TC62" s="76" t="str">
        <f t="shared" ca="1" si="236"/>
        <v/>
      </c>
      <c r="TD62" s="76" t="str">
        <f t="shared" ca="1" si="236"/>
        <v/>
      </c>
      <c r="TE62" s="76" t="str">
        <f t="shared" ca="1" si="236"/>
        <v/>
      </c>
      <c r="TF62" s="76" t="str">
        <f t="shared" ca="1" si="236"/>
        <v/>
      </c>
      <c r="TG62" s="76" t="str">
        <f t="shared" ca="1" si="236"/>
        <v/>
      </c>
      <c r="TH62" s="76" t="str">
        <f t="shared" ca="1" si="236"/>
        <v/>
      </c>
      <c r="TI62" s="76" t="str">
        <f t="shared" ca="1" si="236"/>
        <v/>
      </c>
      <c r="TJ62" s="76" t="str">
        <f t="shared" ca="1" si="237"/>
        <v/>
      </c>
      <c r="TK62" s="76" t="str">
        <f t="shared" ca="1" si="237"/>
        <v/>
      </c>
      <c r="TL62" s="76" t="str">
        <f t="shared" ca="1" si="237"/>
        <v/>
      </c>
      <c r="TM62" s="76" t="str">
        <f t="shared" ca="1" si="237"/>
        <v/>
      </c>
      <c r="TN62" s="76" t="str">
        <f t="shared" ca="1" si="237"/>
        <v/>
      </c>
      <c r="TO62" s="76" t="str">
        <f t="shared" ca="1" si="237"/>
        <v/>
      </c>
      <c r="TP62" s="76" t="str">
        <f t="shared" ca="1" si="237"/>
        <v/>
      </c>
      <c r="TQ62" s="76" t="str">
        <f t="shared" ca="1" si="237"/>
        <v/>
      </c>
      <c r="TR62" s="76" t="str">
        <f t="shared" ca="1" si="237"/>
        <v/>
      </c>
      <c r="TS62" s="76" t="str">
        <f t="shared" ca="1" si="237"/>
        <v/>
      </c>
      <c r="TT62" s="76" t="str">
        <f t="shared" ca="1" si="238"/>
        <v/>
      </c>
      <c r="TU62" s="76" t="str">
        <f t="shared" ca="1" si="238"/>
        <v/>
      </c>
      <c r="TV62" s="76" t="str">
        <f t="shared" ca="1" si="238"/>
        <v/>
      </c>
      <c r="TW62" s="76" t="str">
        <f t="shared" ca="1" si="238"/>
        <v/>
      </c>
      <c r="TX62" s="76" t="str">
        <f t="shared" ca="1" si="238"/>
        <v/>
      </c>
      <c r="TY62" s="76" t="str">
        <f t="shared" ca="1" si="238"/>
        <v/>
      </c>
      <c r="TZ62" s="76" t="str">
        <f t="shared" ca="1" si="238"/>
        <v/>
      </c>
      <c r="UA62" s="76" t="str">
        <f t="shared" ca="1" si="238"/>
        <v/>
      </c>
      <c r="UB62" s="76" t="str">
        <f t="shared" ca="1" si="238"/>
        <v/>
      </c>
      <c r="UC62" s="76" t="str">
        <f t="shared" ca="1" si="238"/>
        <v/>
      </c>
      <c r="UD62" s="76" t="str">
        <f t="shared" ca="1" si="239"/>
        <v/>
      </c>
      <c r="UE62" s="76" t="str">
        <f t="shared" ca="1" si="239"/>
        <v/>
      </c>
      <c r="UF62" s="76" t="str">
        <f t="shared" ca="1" si="239"/>
        <v/>
      </c>
      <c r="UG62" s="76" t="str">
        <f t="shared" ca="1" si="239"/>
        <v/>
      </c>
      <c r="UH62" s="76" t="str">
        <f t="shared" ca="1" si="239"/>
        <v/>
      </c>
      <c r="UI62" s="76" t="str">
        <f t="shared" ca="1" si="239"/>
        <v/>
      </c>
      <c r="UJ62" s="76" t="str">
        <f t="shared" ca="1" si="239"/>
        <v/>
      </c>
      <c r="UK62" s="76" t="str">
        <f t="shared" ca="1" si="239"/>
        <v/>
      </c>
      <c r="UL62" s="76" t="str">
        <f t="shared" ca="1" si="239"/>
        <v/>
      </c>
      <c r="UM62" s="76" t="str">
        <f t="shared" ca="1" si="239"/>
        <v/>
      </c>
      <c r="UN62" s="76" t="str">
        <f t="shared" ca="1" si="240"/>
        <v/>
      </c>
      <c r="UO62" s="76" t="str">
        <f t="shared" ca="1" si="240"/>
        <v/>
      </c>
      <c r="UP62" s="76" t="str">
        <f t="shared" ca="1" si="240"/>
        <v/>
      </c>
      <c r="UQ62" s="76" t="str">
        <f t="shared" ca="1" si="240"/>
        <v/>
      </c>
      <c r="UR62" s="76" t="str">
        <f t="shared" ca="1" si="240"/>
        <v/>
      </c>
      <c r="US62" s="76" t="str">
        <f t="shared" ca="1" si="240"/>
        <v/>
      </c>
      <c r="UT62" s="76" t="str">
        <f t="shared" ca="1" si="240"/>
        <v/>
      </c>
      <c r="UU62" s="76" t="str">
        <f t="shared" ca="1" si="240"/>
        <v/>
      </c>
      <c r="UV62" s="76" t="str">
        <f t="shared" ca="1" si="240"/>
        <v/>
      </c>
      <c r="UW62" s="76" t="str">
        <f t="shared" ca="1" si="240"/>
        <v/>
      </c>
      <c r="UX62" s="76" t="str">
        <f t="shared" ca="1" si="241"/>
        <v/>
      </c>
      <c r="UY62" s="76" t="str">
        <f t="shared" ca="1" si="241"/>
        <v/>
      </c>
      <c r="UZ62" s="76" t="str">
        <f t="shared" ca="1" si="241"/>
        <v/>
      </c>
      <c r="VA62" s="76" t="str">
        <f t="shared" ca="1" si="241"/>
        <v/>
      </c>
      <c r="VB62" s="76" t="str">
        <f t="shared" ca="1" si="241"/>
        <v/>
      </c>
      <c r="VC62" s="76" t="str">
        <f t="shared" ca="1" si="241"/>
        <v/>
      </c>
      <c r="VD62" s="76" t="str">
        <f t="shared" ca="1" si="241"/>
        <v/>
      </c>
      <c r="VE62" s="76" t="str">
        <f t="shared" ca="1" si="241"/>
        <v/>
      </c>
      <c r="VF62" s="76" t="str">
        <f t="shared" ca="1" si="241"/>
        <v/>
      </c>
      <c r="VG62" s="76" t="str">
        <f t="shared" ca="1" si="241"/>
        <v/>
      </c>
      <c r="VH62" s="76" t="str">
        <f t="shared" ca="1" si="242"/>
        <v/>
      </c>
      <c r="VI62" s="76" t="str">
        <f t="shared" ca="1" si="242"/>
        <v/>
      </c>
      <c r="VJ62" s="76" t="str">
        <f t="shared" ca="1" si="242"/>
        <v/>
      </c>
      <c r="VK62" s="76" t="str">
        <f t="shared" ca="1" si="242"/>
        <v/>
      </c>
      <c r="VL62" s="76" t="str">
        <f t="shared" ca="1" si="242"/>
        <v/>
      </c>
      <c r="VM62" s="76" t="str">
        <f t="shared" ca="1" si="242"/>
        <v/>
      </c>
      <c r="VN62" s="76" t="str">
        <f t="shared" ca="1" si="242"/>
        <v/>
      </c>
      <c r="VO62" s="76" t="str">
        <f t="shared" ca="1" si="242"/>
        <v/>
      </c>
      <c r="VP62" s="76" t="str">
        <f t="shared" ca="1" si="242"/>
        <v/>
      </c>
      <c r="VQ62" s="76" t="str">
        <f t="shared" ca="1" si="242"/>
        <v/>
      </c>
      <c r="VR62" s="76" t="str">
        <f t="shared" ca="1" si="242"/>
        <v/>
      </c>
      <c r="VS62" s="76" t="str">
        <f t="shared" ca="1" si="242"/>
        <v/>
      </c>
    </row>
    <row r="63" spans="1:591" s="17" customFormat="1" ht="21.6" customHeight="1" x14ac:dyDescent="0.3">
      <c r="A63" s="81"/>
      <c r="B63" s="28" t="s">
        <v>94</v>
      </c>
      <c r="C63" s="19"/>
      <c r="D63" s="19"/>
      <c r="E63" s="27"/>
      <c r="F63" s="26">
        <f>F60+3</f>
        <v>46148</v>
      </c>
      <c r="G63" s="26">
        <f>Milestones43524[[#This Row],[Start]]+Milestones43524[[#This Row],[Days]]</f>
        <v>46163</v>
      </c>
      <c r="H63" s="25">
        <v>15</v>
      </c>
      <c r="I63" s="19"/>
      <c r="J63" s="75" t="str">
        <f t="shared" ca="1" si="185"/>
        <v/>
      </c>
      <c r="K63" s="75" t="str">
        <f t="shared" ca="1" si="185"/>
        <v/>
      </c>
      <c r="L63" s="75" t="str">
        <f t="shared" ca="1" si="185"/>
        <v/>
      </c>
      <c r="M63" s="75" t="str">
        <f t="shared" ca="1" si="185"/>
        <v/>
      </c>
      <c r="N63" s="75" t="str">
        <f t="shared" ca="1" si="185"/>
        <v/>
      </c>
      <c r="O63" s="75" t="str">
        <f t="shared" ca="1" si="185"/>
        <v/>
      </c>
      <c r="P63" s="75" t="str">
        <f t="shared" ca="1" si="185"/>
        <v/>
      </c>
      <c r="Q63" s="75" t="str">
        <f t="shared" ca="1" si="185"/>
        <v/>
      </c>
      <c r="R63" s="75" t="str">
        <f t="shared" ca="1" si="185"/>
        <v/>
      </c>
      <c r="S63" s="75" t="str">
        <f t="shared" ca="1" si="185"/>
        <v/>
      </c>
      <c r="T63" s="75" t="str">
        <f t="shared" ca="1" si="186"/>
        <v/>
      </c>
      <c r="U63" s="75" t="str">
        <f t="shared" ca="1" si="186"/>
        <v/>
      </c>
      <c r="V63" s="75" t="str">
        <f t="shared" ca="1" si="186"/>
        <v/>
      </c>
      <c r="W63" s="75" t="str">
        <f t="shared" ca="1" si="186"/>
        <v/>
      </c>
      <c r="X63" s="75" t="str">
        <f t="shared" ca="1" si="186"/>
        <v/>
      </c>
      <c r="Y63" s="75" t="str">
        <f t="shared" ca="1" si="186"/>
        <v/>
      </c>
      <c r="Z63" s="75" t="str">
        <f t="shared" ca="1" si="186"/>
        <v/>
      </c>
      <c r="AA63" s="75" t="str">
        <f t="shared" ca="1" si="186"/>
        <v/>
      </c>
      <c r="AB63" s="75" t="str">
        <f t="shared" ca="1" si="186"/>
        <v/>
      </c>
      <c r="AC63" s="75" t="str">
        <f t="shared" ca="1" si="186"/>
        <v/>
      </c>
      <c r="AD63" s="75" t="str">
        <f t="shared" ca="1" si="187"/>
        <v/>
      </c>
      <c r="AE63" s="75" t="str">
        <f t="shared" ca="1" si="187"/>
        <v/>
      </c>
      <c r="AF63" s="75" t="str">
        <f t="shared" ca="1" si="187"/>
        <v/>
      </c>
      <c r="AG63" s="75" t="str">
        <f t="shared" ca="1" si="187"/>
        <v/>
      </c>
      <c r="AH63" s="75" t="str">
        <f t="shared" ca="1" si="187"/>
        <v/>
      </c>
      <c r="AI63" s="75" t="str">
        <f t="shared" ca="1" si="187"/>
        <v/>
      </c>
      <c r="AJ63" s="75" t="str">
        <f t="shared" ca="1" si="187"/>
        <v/>
      </c>
      <c r="AK63" s="75" t="str">
        <f t="shared" ca="1" si="187"/>
        <v/>
      </c>
      <c r="AL63" s="75" t="str">
        <f t="shared" ca="1" si="187"/>
        <v/>
      </c>
      <c r="AM63" s="75" t="str">
        <f t="shared" ca="1" si="187"/>
        <v/>
      </c>
      <c r="AN63" s="75" t="str">
        <f t="shared" ca="1" si="188"/>
        <v/>
      </c>
      <c r="AO63" s="75" t="str">
        <f t="shared" ca="1" si="188"/>
        <v/>
      </c>
      <c r="AP63" s="75" t="str">
        <f t="shared" ca="1" si="188"/>
        <v/>
      </c>
      <c r="AQ63" s="75" t="str">
        <f t="shared" ca="1" si="188"/>
        <v/>
      </c>
      <c r="AR63" s="75" t="str">
        <f t="shared" ca="1" si="188"/>
        <v/>
      </c>
      <c r="AS63" s="75" t="str">
        <f t="shared" ca="1" si="188"/>
        <v/>
      </c>
      <c r="AT63" s="75" t="str">
        <f t="shared" ca="1" si="188"/>
        <v/>
      </c>
      <c r="AU63" s="75" t="str">
        <f t="shared" ca="1" si="188"/>
        <v/>
      </c>
      <c r="AV63" s="75" t="str">
        <f t="shared" ca="1" si="188"/>
        <v/>
      </c>
      <c r="AW63" s="75" t="str">
        <f t="shared" ca="1" si="188"/>
        <v/>
      </c>
      <c r="AX63" s="75" t="str">
        <f t="shared" ca="1" si="189"/>
        <v/>
      </c>
      <c r="AY63" s="75" t="str">
        <f t="shared" ca="1" si="189"/>
        <v/>
      </c>
      <c r="AZ63" s="75" t="str">
        <f t="shared" ca="1" si="189"/>
        <v/>
      </c>
      <c r="BA63" s="75" t="str">
        <f t="shared" ca="1" si="189"/>
        <v/>
      </c>
      <c r="BB63" s="75" t="str">
        <f t="shared" ca="1" si="189"/>
        <v/>
      </c>
      <c r="BC63" s="75" t="str">
        <f t="shared" ca="1" si="189"/>
        <v/>
      </c>
      <c r="BD63" s="75" t="str">
        <f t="shared" ca="1" si="189"/>
        <v/>
      </c>
      <c r="BE63" s="75" t="str">
        <f t="shared" ca="1" si="189"/>
        <v/>
      </c>
      <c r="BF63" s="75" t="str">
        <f t="shared" ca="1" si="189"/>
        <v/>
      </c>
      <c r="BG63" s="75" t="str">
        <f t="shared" ca="1" si="189"/>
        <v/>
      </c>
      <c r="BH63" s="75" t="str">
        <f t="shared" ca="1" si="190"/>
        <v/>
      </c>
      <c r="BI63" s="75" t="str">
        <f t="shared" ca="1" si="190"/>
        <v/>
      </c>
      <c r="BJ63" s="75" t="str">
        <f t="shared" ca="1" si="190"/>
        <v/>
      </c>
      <c r="BK63" s="75" t="str">
        <f t="shared" ca="1" si="190"/>
        <v/>
      </c>
      <c r="BL63" s="75" t="str">
        <f t="shared" ca="1" si="190"/>
        <v/>
      </c>
      <c r="BM63" s="75" t="str">
        <f t="shared" ca="1" si="190"/>
        <v/>
      </c>
      <c r="BN63" s="75" t="str">
        <f t="shared" ca="1" si="190"/>
        <v/>
      </c>
      <c r="BO63" s="75" t="str">
        <f t="shared" ca="1" si="190"/>
        <v/>
      </c>
      <c r="BP63" s="75" t="str">
        <f t="shared" ca="1" si="190"/>
        <v/>
      </c>
      <c r="BQ63" s="75" t="str">
        <f t="shared" ca="1" si="190"/>
        <v/>
      </c>
      <c r="BR63" s="75" t="str">
        <f t="shared" ca="1" si="191"/>
        <v/>
      </c>
      <c r="BS63" s="75" t="str">
        <f t="shared" ca="1" si="191"/>
        <v/>
      </c>
      <c r="BT63" s="75" t="str">
        <f t="shared" ca="1" si="191"/>
        <v/>
      </c>
      <c r="BU63" s="75" t="str">
        <f t="shared" ca="1" si="191"/>
        <v/>
      </c>
      <c r="BV63" s="75" t="str">
        <f t="shared" ca="1" si="191"/>
        <v/>
      </c>
      <c r="BW63" s="75" t="str">
        <f t="shared" ca="1" si="191"/>
        <v/>
      </c>
      <c r="BX63" s="75" t="str">
        <f t="shared" ca="1" si="191"/>
        <v/>
      </c>
      <c r="BY63" s="75" t="str">
        <f t="shared" ca="1" si="191"/>
        <v/>
      </c>
      <c r="BZ63" s="75" t="str">
        <f t="shared" ca="1" si="191"/>
        <v/>
      </c>
      <c r="CA63" s="75" t="str">
        <f t="shared" ca="1" si="191"/>
        <v/>
      </c>
      <c r="CB63" s="75" t="str">
        <f t="shared" ca="1" si="192"/>
        <v/>
      </c>
      <c r="CC63" s="75" t="str">
        <f t="shared" ca="1" si="192"/>
        <v/>
      </c>
      <c r="CD63" s="75" t="str">
        <f t="shared" ca="1" si="192"/>
        <v/>
      </c>
      <c r="CE63" s="75" t="str">
        <f t="shared" ca="1" si="192"/>
        <v/>
      </c>
      <c r="CF63" s="75" t="str">
        <f t="shared" ca="1" si="192"/>
        <v/>
      </c>
      <c r="CG63" s="75" t="str">
        <f t="shared" ca="1" si="192"/>
        <v/>
      </c>
      <c r="CH63" s="75" t="str">
        <f t="shared" ca="1" si="192"/>
        <v/>
      </c>
      <c r="CI63" s="75" t="str">
        <f t="shared" ca="1" si="192"/>
        <v/>
      </c>
      <c r="CJ63" s="75" t="str">
        <f t="shared" ca="1" si="192"/>
        <v/>
      </c>
      <c r="CK63" s="75" t="str">
        <f t="shared" ca="1" si="192"/>
        <v/>
      </c>
      <c r="CL63" s="75" t="str">
        <f t="shared" ca="1" si="193"/>
        <v/>
      </c>
      <c r="CM63" s="75" t="str">
        <f t="shared" ca="1" si="193"/>
        <v/>
      </c>
      <c r="CN63" s="75" t="str">
        <f t="shared" ca="1" si="193"/>
        <v/>
      </c>
      <c r="CO63" s="75" t="str">
        <f t="shared" ca="1" si="193"/>
        <v/>
      </c>
      <c r="CP63" s="75" t="str">
        <f t="shared" ca="1" si="193"/>
        <v/>
      </c>
      <c r="CQ63" s="75" t="str">
        <f t="shared" ca="1" si="193"/>
        <v/>
      </c>
      <c r="CR63" s="75" t="str">
        <f t="shared" ca="1" si="193"/>
        <v/>
      </c>
      <c r="CS63" s="75" t="str">
        <f t="shared" ca="1" si="193"/>
        <v/>
      </c>
      <c r="CT63" s="75" t="str">
        <f t="shared" ca="1" si="193"/>
        <v/>
      </c>
      <c r="CU63" s="75" t="str">
        <f t="shared" ca="1" si="193"/>
        <v/>
      </c>
      <c r="CV63" s="75" t="str">
        <f t="shared" ca="1" si="194"/>
        <v/>
      </c>
      <c r="CW63" s="75" t="str">
        <f t="shared" ca="1" si="194"/>
        <v/>
      </c>
      <c r="CX63" s="75" t="str">
        <f t="shared" ca="1" si="194"/>
        <v/>
      </c>
      <c r="CY63" s="75" t="str">
        <f t="shared" ca="1" si="194"/>
        <v/>
      </c>
      <c r="CZ63" s="75" t="str">
        <f t="shared" ca="1" si="194"/>
        <v/>
      </c>
      <c r="DA63" s="75" t="str">
        <f t="shared" ca="1" si="194"/>
        <v/>
      </c>
      <c r="DB63" s="75" t="str">
        <f t="shared" ca="1" si="194"/>
        <v/>
      </c>
      <c r="DC63" s="75" t="str">
        <f t="shared" ca="1" si="194"/>
        <v/>
      </c>
      <c r="DD63" s="75" t="str">
        <f t="shared" ca="1" si="194"/>
        <v/>
      </c>
      <c r="DE63" s="75" t="str">
        <f t="shared" ca="1" si="194"/>
        <v/>
      </c>
      <c r="DF63" s="75" t="str">
        <f t="shared" ca="1" si="195"/>
        <v/>
      </c>
      <c r="DG63" s="75" t="str">
        <f t="shared" ca="1" si="195"/>
        <v/>
      </c>
      <c r="DH63" s="75" t="str">
        <f t="shared" ca="1" si="195"/>
        <v/>
      </c>
      <c r="DI63" s="75" t="str">
        <f t="shared" ca="1" si="195"/>
        <v/>
      </c>
      <c r="DJ63" s="75" t="str">
        <f t="shared" ca="1" si="195"/>
        <v/>
      </c>
      <c r="DK63" s="75" t="str">
        <f t="shared" ca="1" si="195"/>
        <v/>
      </c>
      <c r="DL63" s="75" t="str">
        <f t="shared" ca="1" si="195"/>
        <v/>
      </c>
      <c r="DM63" s="75" t="str">
        <f t="shared" ca="1" si="195"/>
        <v/>
      </c>
      <c r="DN63" s="75" t="str">
        <f t="shared" ca="1" si="195"/>
        <v/>
      </c>
      <c r="DO63" s="75" t="str">
        <f t="shared" ca="1" si="195"/>
        <v/>
      </c>
      <c r="DP63" s="75" t="str">
        <f t="shared" ca="1" si="196"/>
        <v/>
      </c>
      <c r="DQ63" s="75" t="str">
        <f t="shared" ca="1" si="196"/>
        <v/>
      </c>
      <c r="DR63" s="75" t="str">
        <f t="shared" ca="1" si="196"/>
        <v/>
      </c>
      <c r="DS63" s="75" t="str">
        <f t="shared" ca="1" si="196"/>
        <v/>
      </c>
      <c r="DT63" s="75" t="str">
        <f t="shared" ca="1" si="196"/>
        <v/>
      </c>
      <c r="DU63" s="75" t="str">
        <f t="shared" ca="1" si="196"/>
        <v/>
      </c>
      <c r="DV63" s="75" t="str">
        <f t="shared" ca="1" si="196"/>
        <v/>
      </c>
      <c r="DW63" s="75" t="str">
        <f t="shared" ca="1" si="196"/>
        <v/>
      </c>
      <c r="DX63" s="75" t="str">
        <f t="shared" ca="1" si="196"/>
        <v/>
      </c>
      <c r="DY63" s="75" t="str">
        <f t="shared" ca="1" si="196"/>
        <v/>
      </c>
      <c r="DZ63" s="75" t="str">
        <f t="shared" ca="1" si="197"/>
        <v/>
      </c>
      <c r="EA63" s="75" t="str">
        <f t="shared" ca="1" si="197"/>
        <v/>
      </c>
      <c r="EB63" s="75" t="str">
        <f t="shared" ca="1" si="197"/>
        <v/>
      </c>
      <c r="EC63" s="75" t="str">
        <f t="shared" ca="1" si="197"/>
        <v/>
      </c>
      <c r="ED63" s="75" t="str">
        <f t="shared" ca="1" si="197"/>
        <v/>
      </c>
      <c r="EE63" s="75" t="str">
        <f t="shared" ca="1" si="197"/>
        <v/>
      </c>
      <c r="EF63" s="75" t="str">
        <f t="shared" ca="1" si="197"/>
        <v/>
      </c>
      <c r="EG63" s="75" t="str">
        <f t="shared" ca="1" si="197"/>
        <v/>
      </c>
      <c r="EH63" s="75" t="str">
        <f t="shared" ca="1" si="197"/>
        <v/>
      </c>
      <c r="EI63" s="75" t="str">
        <f t="shared" ca="1" si="197"/>
        <v/>
      </c>
      <c r="EJ63" s="75" t="str">
        <f t="shared" ca="1" si="198"/>
        <v/>
      </c>
      <c r="EK63" s="75" t="str">
        <f t="shared" ca="1" si="198"/>
        <v/>
      </c>
      <c r="EL63" s="75" t="str">
        <f t="shared" ca="1" si="198"/>
        <v/>
      </c>
      <c r="EM63" s="75" t="str">
        <f t="shared" ca="1" si="198"/>
        <v/>
      </c>
      <c r="EN63" s="75" t="str">
        <f t="shared" ca="1" si="198"/>
        <v/>
      </c>
      <c r="EO63" s="75" t="str">
        <f t="shared" ca="1" si="198"/>
        <v/>
      </c>
      <c r="EP63" s="75" t="str">
        <f t="shared" ca="1" si="198"/>
        <v/>
      </c>
      <c r="EQ63" s="75" t="str">
        <f t="shared" ca="1" si="198"/>
        <v/>
      </c>
      <c r="ER63" s="75" t="str">
        <f t="shared" ca="1" si="198"/>
        <v/>
      </c>
      <c r="ES63" s="75" t="str">
        <f t="shared" ca="1" si="198"/>
        <v/>
      </c>
      <c r="ET63" s="75" t="str">
        <f t="shared" ca="1" si="199"/>
        <v/>
      </c>
      <c r="EU63" s="75" t="str">
        <f t="shared" ca="1" si="199"/>
        <v/>
      </c>
      <c r="EV63" s="75" t="str">
        <f t="shared" ca="1" si="199"/>
        <v/>
      </c>
      <c r="EW63" s="75" t="str">
        <f t="shared" ca="1" si="199"/>
        <v/>
      </c>
      <c r="EX63" s="75" t="str">
        <f t="shared" ca="1" si="199"/>
        <v/>
      </c>
      <c r="EY63" s="75" t="str">
        <f t="shared" ca="1" si="199"/>
        <v/>
      </c>
      <c r="EZ63" s="75" t="str">
        <f t="shared" ca="1" si="199"/>
        <v/>
      </c>
      <c r="FA63" s="75" t="str">
        <f t="shared" ca="1" si="199"/>
        <v/>
      </c>
      <c r="FB63" s="75" t="str">
        <f t="shared" ca="1" si="199"/>
        <v/>
      </c>
      <c r="FC63" s="75" t="str">
        <f t="shared" ca="1" si="199"/>
        <v/>
      </c>
      <c r="FD63" s="75" t="str">
        <f t="shared" ca="1" si="200"/>
        <v/>
      </c>
      <c r="FE63" s="75" t="str">
        <f t="shared" ca="1" si="200"/>
        <v/>
      </c>
      <c r="FF63" s="75" t="str">
        <f t="shared" ca="1" si="200"/>
        <v/>
      </c>
      <c r="FG63" s="75" t="str">
        <f t="shared" ca="1" si="200"/>
        <v/>
      </c>
      <c r="FH63" s="75" t="str">
        <f t="shared" ca="1" si="200"/>
        <v/>
      </c>
      <c r="FI63" s="75" t="str">
        <f t="shared" ca="1" si="200"/>
        <v/>
      </c>
      <c r="FJ63" s="75" t="str">
        <f t="shared" ca="1" si="200"/>
        <v/>
      </c>
      <c r="FK63" s="75" t="str">
        <f t="shared" ca="1" si="200"/>
        <v/>
      </c>
      <c r="FL63" s="75" t="str">
        <f t="shared" ca="1" si="200"/>
        <v/>
      </c>
      <c r="FM63" s="75" t="str">
        <f t="shared" ca="1" si="200"/>
        <v/>
      </c>
      <c r="FN63" s="75" t="str">
        <f t="shared" ca="1" si="201"/>
        <v/>
      </c>
      <c r="FO63" s="75" t="str">
        <f t="shared" ca="1" si="201"/>
        <v/>
      </c>
      <c r="FP63" s="75" t="str">
        <f t="shared" ca="1" si="201"/>
        <v/>
      </c>
      <c r="FQ63" s="75" t="str">
        <f t="shared" ca="1" si="201"/>
        <v/>
      </c>
      <c r="FR63" s="75" t="str">
        <f t="shared" ca="1" si="201"/>
        <v/>
      </c>
      <c r="FS63" s="75" t="str">
        <f t="shared" ca="1" si="201"/>
        <v/>
      </c>
      <c r="FT63" s="75" t="str">
        <f t="shared" ca="1" si="201"/>
        <v/>
      </c>
      <c r="FU63" s="75" t="str">
        <f t="shared" ca="1" si="201"/>
        <v/>
      </c>
      <c r="FV63" s="75" t="str">
        <f t="shared" ca="1" si="201"/>
        <v/>
      </c>
      <c r="FW63" s="75" t="str">
        <f t="shared" ca="1" si="201"/>
        <v/>
      </c>
      <c r="FX63" s="75" t="str">
        <f t="shared" ca="1" si="202"/>
        <v/>
      </c>
      <c r="FY63" s="75" t="str">
        <f t="shared" ca="1" si="202"/>
        <v/>
      </c>
      <c r="FZ63" s="75" t="str">
        <f t="shared" ca="1" si="202"/>
        <v/>
      </c>
      <c r="GA63" s="75" t="str">
        <f t="shared" ca="1" si="202"/>
        <v/>
      </c>
      <c r="GB63" s="75" t="str">
        <f t="shared" ca="1" si="202"/>
        <v/>
      </c>
      <c r="GC63" s="75" t="str">
        <f t="shared" ca="1" si="202"/>
        <v/>
      </c>
      <c r="GD63" s="75" t="str">
        <f t="shared" ca="1" si="202"/>
        <v/>
      </c>
      <c r="GE63" s="75" t="str">
        <f t="shared" ca="1" si="202"/>
        <v/>
      </c>
      <c r="GF63" s="75" t="str">
        <f t="shared" ca="1" si="202"/>
        <v/>
      </c>
      <c r="GG63" s="75" t="str">
        <f t="shared" ca="1" si="202"/>
        <v/>
      </c>
      <c r="GH63" s="75" t="str">
        <f t="shared" ca="1" si="203"/>
        <v/>
      </c>
      <c r="GI63" s="75" t="str">
        <f t="shared" ca="1" si="203"/>
        <v/>
      </c>
      <c r="GJ63" s="75" t="str">
        <f t="shared" ca="1" si="203"/>
        <v/>
      </c>
      <c r="GK63" s="75" t="str">
        <f t="shared" ca="1" si="203"/>
        <v/>
      </c>
      <c r="GL63" s="75" t="str">
        <f t="shared" ca="1" si="203"/>
        <v/>
      </c>
      <c r="GM63" s="75" t="str">
        <f t="shared" ca="1" si="203"/>
        <v/>
      </c>
      <c r="GN63" s="75" t="str">
        <f t="shared" ca="1" si="203"/>
        <v/>
      </c>
      <c r="GO63" s="75" t="str">
        <f t="shared" ca="1" si="203"/>
        <v/>
      </c>
      <c r="GP63" s="75" t="str">
        <f t="shared" ca="1" si="203"/>
        <v/>
      </c>
      <c r="GQ63" s="75" t="str">
        <f t="shared" ca="1" si="203"/>
        <v/>
      </c>
      <c r="GR63" s="75" t="str">
        <f t="shared" ca="1" si="204"/>
        <v/>
      </c>
      <c r="GS63" s="75" t="str">
        <f t="shared" ca="1" si="204"/>
        <v/>
      </c>
      <c r="GT63" s="75" t="str">
        <f t="shared" ca="1" si="204"/>
        <v/>
      </c>
      <c r="GU63" s="75" t="str">
        <f t="shared" ca="1" si="204"/>
        <v/>
      </c>
      <c r="GV63" s="75" t="str">
        <f t="shared" ca="1" si="204"/>
        <v/>
      </c>
      <c r="GW63" s="75" t="str">
        <f t="shared" ca="1" si="204"/>
        <v/>
      </c>
      <c r="GX63" s="75" t="str">
        <f t="shared" ca="1" si="204"/>
        <v/>
      </c>
      <c r="GY63" s="75" t="str">
        <f t="shared" ca="1" si="204"/>
        <v/>
      </c>
      <c r="GZ63" s="75" t="str">
        <f t="shared" ca="1" si="204"/>
        <v/>
      </c>
      <c r="HA63" s="75" t="str">
        <f t="shared" ca="1" si="204"/>
        <v/>
      </c>
      <c r="HB63" s="75" t="str">
        <f t="shared" ca="1" si="205"/>
        <v/>
      </c>
      <c r="HC63" s="75" t="str">
        <f t="shared" ca="1" si="205"/>
        <v/>
      </c>
      <c r="HD63" s="75" t="str">
        <f t="shared" ca="1" si="205"/>
        <v/>
      </c>
      <c r="HE63" s="75" t="str">
        <f t="shared" ca="1" si="205"/>
        <v/>
      </c>
      <c r="HF63" s="75" t="str">
        <f t="shared" ca="1" si="205"/>
        <v/>
      </c>
      <c r="HG63" s="75" t="str">
        <f t="shared" ca="1" si="205"/>
        <v/>
      </c>
      <c r="HH63" s="75" t="str">
        <f t="shared" ca="1" si="205"/>
        <v/>
      </c>
      <c r="HI63" s="75" t="str">
        <f t="shared" ca="1" si="205"/>
        <v/>
      </c>
      <c r="HJ63" s="75" t="str">
        <f t="shared" ca="1" si="205"/>
        <v/>
      </c>
      <c r="HK63" s="75" t="str">
        <f t="shared" ca="1" si="205"/>
        <v/>
      </c>
      <c r="HL63" s="75" t="str">
        <f t="shared" ca="1" si="206"/>
        <v/>
      </c>
      <c r="HM63" s="75" t="str">
        <f t="shared" ca="1" si="206"/>
        <v/>
      </c>
      <c r="HN63" s="75" t="str">
        <f t="shared" ca="1" si="206"/>
        <v/>
      </c>
      <c r="HO63" s="75" t="str">
        <f t="shared" ca="1" si="206"/>
        <v/>
      </c>
      <c r="HP63" s="75" t="str">
        <f t="shared" ca="1" si="206"/>
        <v/>
      </c>
      <c r="HQ63" s="75" t="str">
        <f t="shared" ca="1" si="206"/>
        <v/>
      </c>
      <c r="HR63" s="75" t="str">
        <f t="shared" ca="1" si="206"/>
        <v/>
      </c>
      <c r="HS63" s="75" t="str">
        <f t="shared" ca="1" si="206"/>
        <v/>
      </c>
      <c r="HT63" s="75" t="str">
        <f t="shared" ca="1" si="206"/>
        <v/>
      </c>
      <c r="HU63" s="75" t="str">
        <f t="shared" ca="1" si="206"/>
        <v/>
      </c>
      <c r="HV63" s="75" t="str">
        <f t="shared" ca="1" si="207"/>
        <v/>
      </c>
      <c r="HW63" s="75" t="str">
        <f t="shared" ca="1" si="207"/>
        <v/>
      </c>
      <c r="HX63" s="75" t="str">
        <f t="shared" ca="1" si="207"/>
        <v/>
      </c>
      <c r="HY63" s="75" t="str">
        <f t="shared" ca="1" si="207"/>
        <v/>
      </c>
      <c r="HZ63" s="75" t="str">
        <f t="shared" ca="1" si="207"/>
        <v/>
      </c>
      <c r="IA63" s="75" t="str">
        <f t="shared" ca="1" si="207"/>
        <v/>
      </c>
      <c r="IB63" s="75" t="str">
        <f t="shared" ca="1" si="207"/>
        <v/>
      </c>
      <c r="IC63" s="75" t="str">
        <f t="shared" ca="1" si="207"/>
        <v/>
      </c>
      <c r="ID63" s="75" t="str">
        <f t="shared" ca="1" si="207"/>
        <v/>
      </c>
      <c r="IE63" s="75" t="str">
        <f t="shared" ca="1" si="207"/>
        <v/>
      </c>
      <c r="IF63" s="75" t="str">
        <f t="shared" ca="1" si="208"/>
        <v/>
      </c>
      <c r="IG63" s="75" t="str">
        <f t="shared" ca="1" si="208"/>
        <v/>
      </c>
      <c r="IH63" s="75" t="str">
        <f t="shared" ca="1" si="208"/>
        <v/>
      </c>
      <c r="II63" s="75" t="str">
        <f t="shared" ca="1" si="208"/>
        <v/>
      </c>
      <c r="IJ63" s="75" t="str">
        <f t="shared" ca="1" si="208"/>
        <v/>
      </c>
      <c r="IK63" s="75" t="str">
        <f t="shared" ca="1" si="208"/>
        <v/>
      </c>
      <c r="IL63" s="75" t="str">
        <f t="shared" ca="1" si="208"/>
        <v/>
      </c>
      <c r="IM63" s="75" t="str">
        <f t="shared" ca="1" si="208"/>
        <v/>
      </c>
      <c r="IN63" s="75" t="str">
        <f t="shared" ca="1" si="208"/>
        <v/>
      </c>
      <c r="IO63" s="75" t="str">
        <f t="shared" ca="1" si="208"/>
        <v/>
      </c>
      <c r="IP63" s="75" t="str">
        <f t="shared" ca="1" si="209"/>
        <v/>
      </c>
      <c r="IQ63" s="75" t="str">
        <f t="shared" ca="1" si="209"/>
        <v/>
      </c>
      <c r="IR63" s="75" t="str">
        <f t="shared" ca="1" si="209"/>
        <v/>
      </c>
      <c r="IS63" s="75" t="str">
        <f t="shared" ca="1" si="209"/>
        <v/>
      </c>
      <c r="IT63" s="75" t="str">
        <f t="shared" ca="1" si="209"/>
        <v/>
      </c>
      <c r="IU63" s="75" t="str">
        <f t="shared" ca="1" si="209"/>
        <v/>
      </c>
      <c r="IV63" s="75" t="str">
        <f t="shared" ca="1" si="209"/>
        <v/>
      </c>
      <c r="IW63" s="75" t="str">
        <f t="shared" ca="1" si="209"/>
        <v/>
      </c>
      <c r="IX63" s="75" t="str">
        <f t="shared" ca="1" si="209"/>
        <v/>
      </c>
      <c r="IY63" s="75" t="str">
        <f t="shared" ca="1" si="209"/>
        <v/>
      </c>
      <c r="IZ63" s="75" t="str">
        <f t="shared" ca="1" si="210"/>
        <v/>
      </c>
      <c r="JA63" s="75" t="str">
        <f t="shared" ca="1" si="210"/>
        <v/>
      </c>
      <c r="JB63" s="75" t="str">
        <f t="shared" ca="1" si="210"/>
        <v/>
      </c>
      <c r="JC63" s="75" t="str">
        <f t="shared" ca="1" si="210"/>
        <v/>
      </c>
      <c r="JD63" s="75" t="str">
        <f t="shared" ca="1" si="210"/>
        <v/>
      </c>
      <c r="JE63" s="75" t="str">
        <f t="shared" ca="1" si="210"/>
        <v/>
      </c>
      <c r="JF63" s="75" t="str">
        <f t="shared" ca="1" si="210"/>
        <v/>
      </c>
      <c r="JG63" s="75" t="str">
        <f t="shared" ca="1" si="210"/>
        <v/>
      </c>
      <c r="JH63" s="75" t="str">
        <f t="shared" ca="1" si="210"/>
        <v/>
      </c>
      <c r="JI63" s="75" t="str">
        <f t="shared" ca="1" si="210"/>
        <v/>
      </c>
      <c r="JJ63" s="75" t="str">
        <f t="shared" ca="1" si="211"/>
        <v/>
      </c>
      <c r="JK63" s="75" t="str">
        <f t="shared" ca="1" si="211"/>
        <v/>
      </c>
      <c r="JL63" s="75" t="str">
        <f t="shared" ca="1" si="211"/>
        <v/>
      </c>
      <c r="JM63" s="75" t="str">
        <f t="shared" ca="1" si="211"/>
        <v/>
      </c>
      <c r="JN63" s="75" t="str">
        <f t="shared" ca="1" si="211"/>
        <v/>
      </c>
      <c r="JO63" s="75" t="str">
        <f t="shared" ca="1" si="211"/>
        <v/>
      </c>
      <c r="JP63" s="75" t="str">
        <f t="shared" ca="1" si="211"/>
        <v/>
      </c>
      <c r="JQ63" s="75" t="str">
        <f t="shared" ca="1" si="211"/>
        <v/>
      </c>
      <c r="JR63" s="75" t="str">
        <f t="shared" ca="1" si="211"/>
        <v/>
      </c>
      <c r="JS63" s="75" t="str">
        <f t="shared" ca="1" si="211"/>
        <v/>
      </c>
      <c r="JT63" s="75" t="str">
        <f t="shared" ca="1" si="212"/>
        <v/>
      </c>
      <c r="JU63" s="75" t="str">
        <f t="shared" ca="1" si="212"/>
        <v/>
      </c>
      <c r="JV63" s="75" t="str">
        <f t="shared" ca="1" si="212"/>
        <v/>
      </c>
      <c r="JW63" s="75" t="str">
        <f t="shared" ca="1" si="212"/>
        <v/>
      </c>
      <c r="JX63" s="75" t="str">
        <f t="shared" ca="1" si="212"/>
        <v/>
      </c>
      <c r="JY63" s="75" t="str">
        <f t="shared" ca="1" si="212"/>
        <v/>
      </c>
      <c r="JZ63" s="75" t="str">
        <f t="shared" ca="1" si="212"/>
        <v/>
      </c>
      <c r="KA63" s="75" t="str">
        <f t="shared" ca="1" si="212"/>
        <v/>
      </c>
      <c r="KB63" s="75" t="str">
        <f t="shared" ca="1" si="212"/>
        <v/>
      </c>
      <c r="KC63" s="75" t="str">
        <f t="shared" ca="1" si="212"/>
        <v/>
      </c>
      <c r="KD63" s="75" t="str">
        <f t="shared" ca="1" si="213"/>
        <v/>
      </c>
      <c r="KE63" s="75" t="str">
        <f t="shared" ca="1" si="213"/>
        <v/>
      </c>
      <c r="KF63" s="75" t="str">
        <f t="shared" ca="1" si="213"/>
        <v/>
      </c>
      <c r="KG63" s="75" t="str">
        <f t="shared" ca="1" si="213"/>
        <v/>
      </c>
      <c r="KH63" s="75" t="str">
        <f t="shared" ca="1" si="213"/>
        <v/>
      </c>
      <c r="KI63" s="75" t="str">
        <f t="shared" ca="1" si="213"/>
        <v/>
      </c>
      <c r="KJ63" s="75" t="str">
        <f t="shared" ca="1" si="213"/>
        <v/>
      </c>
      <c r="KK63" s="75" t="str">
        <f t="shared" ca="1" si="213"/>
        <v/>
      </c>
      <c r="KL63" s="75" t="str">
        <f t="shared" ca="1" si="213"/>
        <v/>
      </c>
      <c r="KM63" s="75" t="str">
        <f t="shared" ca="1" si="213"/>
        <v/>
      </c>
      <c r="KN63" s="75" t="str">
        <f t="shared" ca="1" si="214"/>
        <v/>
      </c>
      <c r="KO63" s="75" t="str">
        <f t="shared" ca="1" si="214"/>
        <v/>
      </c>
      <c r="KP63" s="75" t="str">
        <f t="shared" ca="1" si="214"/>
        <v/>
      </c>
      <c r="KQ63" s="75" t="str">
        <f t="shared" ca="1" si="214"/>
        <v/>
      </c>
      <c r="KR63" s="75" t="str">
        <f t="shared" ca="1" si="214"/>
        <v/>
      </c>
      <c r="KS63" s="75" t="str">
        <f t="shared" ca="1" si="214"/>
        <v/>
      </c>
      <c r="KT63" s="75" t="str">
        <f t="shared" ca="1" si="214"/>
        <v/>
      </c>
      <c r="KU63" s="75" t="str">
        <f t="shared" ca="1" si="214"/>
        <v/>
      </c>
      <c r="KV63" s="75" t="str">
        <f t="shared" ca="1" si="214"/>
        <v/>
      </c>
      <c r="KW63" s="75" t="str">
        <f t="shared" ca="1" si="214"/>
        <v/>
      </c>
      <c r="KX63" s="75" t="str">
        <f t="shared" ca="1" si="215"/>
        <v/>
      </c>
      <c r="KY63" s="75" t="str">
        <f t="shared" ca="1" si="215"/>
        <v/>
      </c>
      <c r="KZ63" s="75" t="str">
        <f t="shared" ca="1" si="215"/>
        <v/>
      </c>
      <c r="LA63" s="75" t="str">
        <f t="shared" ca="1" si="215"/>
        <v/>
      </c>
      <c r="LB63" s="75" t="str">
        <f t="shared" ca="1" si="215"/>
        <v/>
      </c>
      <c r="LC63" s="75" t="str">
        <f t="shared" ca="1" si="215"/>
        <v/>
      </c>
      <c r="LD63" s="75" t="str">
        <f t="shared" ca="1" si="215"/>
        <v/>
      </c>
      <c r="LE63" s="75" t="str">
        <f t="shared" ca="1" si="215"/>
        <v/>
      </c>
      <c r="LF63" s="75" t="str">
        <f t="shared" ca="1" si="215"/>
        <v/>
      </c>
      <c r="LG63" s="75" t="str">
        <f t="shared" ca="1" si="215"/>
        <v/>
      </c>
      <c r="LH63" s="75" t="str">
        <f t="shared" ca="1" si="216"/>
        <v/>
      </c>
      <c r="LI63" s="75" t="str">
        <f t="shared" ca="1" si="216"/>
        <v/>
      </c>
      <c r="LJ63" s="75" t="str">
        <f t="shared" ca="1" si="216"/>
        <v/>
      </c>
      <c r="LK63" s="75" t="str">
        <f t="shared" ca="1" si="216"/>
        <v/>
      </c>
      <c r="LL63" s="75" t="str">
        <f t="shared" ca="1" si="216"/>
        <v/>
      </c>
      <c r="LM63" s="75" t="str">
        <f t="shared" ca="1" si="216"/>
        <v/>
      </c>
      <c r="LN63" s="75" t="str">
        <f t="shared" ca="1" si="216"/>
        <v/>
      </c>
      <c r="LO63" s="75" t="str">
        <f t="shared" ca="1" si="216"/>
        <v/>
      </c>
      <c r="LP63" s="75" t="str">
        <f t="shared" ca="1" si="216"/>
        <v/>
      </c>
      <c r="LQ63" s="75" t="str">
        <f t="shared" ca="1" si="216"/>
        <v/>
      </c>
      <c r="LR63" s="75" t="str">
        <f t="shared" ca="1" si="217"/>
        <v/>
      </c>
      <c r="LS63" s="75" t="str">
        <f t="shared" ca="1" si="217"/>
        <v/>
      </c>
      <c r="LT63" s="75" t="str">
        <f t="shared" ca="1" si="217"/>
        <v/>
      </c>
      <c r="LU63" s="75" t="str">
        <f t="shared" ca="1" si="217"/>
        <v/>
      </c>
      <c r="LV63" s="75" t="str">
        <f t="shared" ca="1" si="217"/>
        <v/>
      </c>
      <c r="LW63" s="75" t="str">
        <f t="shared" ca="1" si="217"/>
        <v/>
      </c>
      <c r="LX63" s="75" t="str">
        <f t="shared" ca="1" si="217"/>
        <v/>
      </c>
      <c r="LY63" s="75" t="str">
        <f t="shared" ca="1" si="217"/>
        <v/>
      </c>
      <c r="LZ63" s="75" t="str">
        <f t="shared" ca="1" si="217"/>
        <v/>
      </c>
      <c r="MA63" s="75" t="str">
        <f t="shared" ca="1" si="217"/>
        <v/>
      </c>
      <c r="MB63" s="75" t="str">
        <f t="shared" ca="1" si="218"/>
        <v/>
      </c>
      <c r="MC63" s="75" t="str">
        <f t="shared" ca="1" si="218"/>
        <v/>
      </c>
      <c r="MD63" s="75" t="str">
        <f t="shared" ca="1" si="218"/>
        <v/>
      </c>
      <c r="ME63" s="75" t="str">
        <f t="shared" ca="1" si="218"/>
        <v/>
      </c>
      <c r="MF63" s="75" t="str">
        <f t="shared" ca="1" si="218"/>
        <v/>
      </c>
      <c r="MG63" s="75" t="str">
        <f t="shared" ca="1" si="218"/>
        <v/>
      </c>
      <c r="MH63" s="75" t="str">
        <f t="shared" ca="1" si="218"/>
        <v/>
      </c>
      <c r="MI63" s="75" t="str">
        <f t="shared" ca="1" si="218"/>
        <v/>
      </c>
      <c r="MJ63" s="75" t="str">
        <f t="shared" ca="1" si="218"/>
        <v/>
      </c>
      <c r="MK63" s="75" t="str">
        <f t="shared" ca="1" si="218"/>
        <v/>
      </c>
      <c r="ML63" s="75" t="str">
        <f t="shared" ca="1" si="219"/>
        <v/>
      </c>
      <c r="MM63" s="75" t="str">
        <f t="shared" ca="1" si="219"/>
        <v/>
      </c>
      <c r="MN63" s="75" t="str">
        <f t="shared" ca="1" si="219"/>
        <v/>
      </c>
      <c r="MO63" s="75" t="str">
        <f t="shared" ca="1" si="219"/>
        <v/>
      </c>
      <c r="MP63" s="75" t="str">
        <f t="shared" ca="1" si="219"/>
        <v/>
      </c>
      <c r="MQ63" s="75" t="str">
        <f t="shared" ca="1" si="219"/>
        <v/>
      </c>
      <c r="MR63" s="75" t="str">
        <f t="shared" ca="1" si="219"/>
        <v/>
      </c>
      <c r="MS63" s="75" t="str">
        <f t="shared" ca="1" si="219"/>
        <v/>
      </c>
      <c r="MT63" s="75" t="str">
        <f t="shared" ca="1" si="219"/>
        <v/>
      </c>
      <c r="MU63" s="75" t="str">
        <f t="shared" ca="1" si="219"/>
        <v/>
      </c>
      <c r="MV63" s="75" t="str">
        <f t="shared" ca="1" si="220"/>
        <v/>
      </c>
      <c r="MW63" s="75" t="str">
        <f t="shared" ca="1" si="220"/>
        <v/>
      </c>
      <c r="MX63" s="75" t="str">
        <f t="shared" ca="1" si="220"/>
        <v/>
      </c>
      <c r="MY63" s="75" t="str">
        <f t="shared" ca="1" si="220"/>
        <v/>
      </c>
      <c r="MZ63" s="75" t="str">
        <f t="shared" ca="1" si="220"/>
        <v/>
      </c>
      <c r="NA63" s="75" t="str">
        <f t="shared" ca="1" si="220"/>
        <v/>
      </c>
      <c r="NB63" s="75" t="str">
        <f t="shared" ca="1" si="220"/>
        <v/>
      </c>
      <c r="NC63" s="75" t="str">
        <f t="shared" ca="1" si="220"/>
        <v/>
      </c>
      <c r="ND63" s="75" t="str">
        <f t="shared" ca="1" si="220"/>
        <v/>
      </c>
      <c r="NE63" s="75" t="str">
        <f t="shared" ca="1" si="220"/>
        <v/>
      </c>
      <c r="NF63" s="75" t="str">
        <f t="shared" ca="1" si="221"/>
        <v/>
      </c>
      <c r="NG63" s="75" t="str">
        <f t="shared" ca="1" si="221"/>
        <v/>
      </c>
      <c r="NH63" s="75" t="str">
        <f t="shared" ca="1" si="221"/>
        <v/>
      </c>
      <c r="NI63" s="75" t="str">
        <f t="shared" ca="1" si="221"/>
        <v/>
      </c>
      <c r="NJ63" s="75" t="str">
        <f t="shared" ca="1" si="221"/>
        <v/>
      </c>
      <c r="NK63" s="75" t="str">
        <f t="shared" ca="1" si="221"/>
        <v/>
      </c>
      <c r="NL63" s="75" t="str">
        <f t="shared" ca="1" si="221"/>
        <v/>
      </c>
      <c r="NM63" s="75" t="str">
        <f t="shared" ca="1" si="221"/>
        <v/>
      </c>
      <c r="NN63" s="75" t="str">
        <f t="shared" ca="1" si="221"/>
        <v/>
      </c>
      <c r="NO63" s="75" t="str">
        <f t="shared" ca="1" si="221"/>
        <v/>
      </c>
      <c r="NP63" s="75" t="str">
        <f t="shared" ca="1" si="222"/>
        <v/>
      </c>
      <c r="NQ63" s="75" t="str">
        <f t="shared" ca="1" si="222"/>
        <v/>
      </c>
      <c r="NR63" s="75" t="str">
        <f t="shared" ca="1" si="222"/>
        <v/>
      </c>
      <c r="NS63" s="75" t="str">
        <f t="shared" ca="1" si="222"/>
        <v/>
      </c>
      <c r="NT63" s="75" t="str">
        <f t="shared" ca="1" si="222"/>
        <v/>
      </c>
      <c r="NU63" s="75" t="str">
        <f t="shared" ca="1" si="222"/>
        <v/>
      </c>
      <c r="NV63" s="75" t="str">
        <f t="shared" ca="1" si="222"/>
        <v/>
      </c>
      <c r="NW63" s="75" t="str">
        <f t="shared" ca="1" si="222"/>
        <v/>
      </c>
      <c r="NX63" s="75" t="str">
        <f t="shared" ca="1" si="222"/>
        <v/>
      </c>
      <c r="NY63" s="75" t="str">
        <f t="shared" ca="1" si="222"/>
        <v/>
      </c>
      <c r="NZ63" s="75" t="str">
        <f t="shared" ca="1" si="223"/>
        <v/>
      </c>
      <c r="OA63" s="75" t="str">
        <f t="shared" ca="1" si="223"/>
        <v/>
      </c>
      <c r="OB63" s="75" t="str">
        <f t="shared" ca="1" si="223"/>
        <v/>
      </c>
      <c r="OC63" s="75" t="str">
        <f t="shared" ca="1" si="223"/>
        <v/>
      </c>
      <c r="OD63" s="75" t="str">
        <f t="shared" ca="1" si="223"/>
        <v/>
      </c>
      <c r="OE63" s="75" t="str">
        <f t="shared" ca="1" si="223"/>
        <v/>
      </c>
      <c r="OF63" s="75" t="str">
        <f t="shared" ca="1" si="223"/>
        <v/>
      </c>
      <c r="OG63" s="75" t="str">
        <f t="shared" ca="1" si="223"/>
        <v/>
      </c>
      <c r="OH63" s="75" t="str">
        <f t="shared" ca="1" si="223"/>
        <v/>
      </c>
      <c r="OI63" s="75" t="str">
        <f t="shared" ca="1" si="223"/>
        <v/>
      </c>
      <c r="OJ63" s="75" t="str">
        <f t="shared" ca="1" si="224"/>
        <v/>
      </c>
      <c r="OK63" s="75" t="str">
        <f t="shared" ca="1" si="224"/>
        <v/>
      </c>
      <c r="OL63" s="75" t="str">
        <f t="shared" ca="1" si="224"/>
        <v/>
      </c>
      <c r="OM63" s="75" t="str">
        <f t="shared" ca="1" si="224"/>
        <v/>
      </c>
      <c r="ON63" s="75" t="str">
        <f t="shared" ca="1" si="224"/>
        <v/>
      </c>
      <c r="OO63" s="75" t="str">
        <f t="shared" ca="1" si="224"/>
        <v/>
      </c>
      <c r="OP63" s="75" t="str">
        <f t="shared" ca="1" si="224"/>
        <v/>
      </c>
      <c r="OQ63" s="75" t="str">
        <f t="shared" ca="1" si="224"/>
        <v/>
      </c>
      <c r="OR63" s="75" t="str">
        <f t="shared" ca="1" si="224"/>
        <v/>
      </c>
      <c r="OS63" s="75" t="str">
        <f t="shared" ca="1" si="224"/>
        <v/>
      </c>
      <c r="OT63" s="75" t="str">
        <f t="shared" ca="1" si="225"/>
        <v/>
      </c>
      <c r="OU63" s="75" t="str">
        <f t="shared" ca="1" si="225"/>
        <v/>
      </c>
      <c r="OV63" s="75" t="str">
        <f t="shared" ca="1" si="225"/>
        <v/>
      </c>
      <c r="OW63" s="75" t="str">
        <f t="shared" ca="1" si="225"/>
        <v/>
      </c>
      <c r="OX63" s="75" t="str">
        <f t="shared" ca="1" si="225"/>
        <v/>
      </c>
      <c r="OY63" s="75" t="str">
        <f t="shared" ca="1" si="225"/>
        <v/>
      </c>
      <c r="OZ63" s="75" t="str">
        <f t="shared" ca="1" si="225"/>
        <v/>
      </c>
      <c r="PA63" s="75" t="str">
        <f t="shared" ca="1" si="225"/>
        <v/>
      </c>
      <c r="PB63" s="75" t="str">
        <f t="shared" ca="1" si="225"/>
        <v/>
      </c>
      <c r="PC63" s="75" t="str">
        <f t="shared" ca="1" si="225"/>
        <v/>
      </c>
      <c r="PD63" s="75" t="str">
        <f t="shared" ca="1" si="226"/>
        <v/>
      </c>
      <c r="PE63" s="75" t="str">
        <f t="shared" ca="1" si="226"/>
        <v/>
      </c>
      <c r="PF63" s="75" t="str">
        <f t="shared" ca="1" si="226"/>
        <v/>
      </c>
      <c r="PG63" s="75" t="str">
        <f t="shared" ca="1" si="226"/>
        <v/>
      </c>
      <c r="PH63" s="75" t="str">
        <f t="shared" ca="1" si="226"/>
        <v/>
      </c>
      <c r="PI63" s="75" t="str">
        <f t="shared" ca="1" si="226"/>
        <v/>
      </c>
      <c r="PJ63" s="75" t="str">
        <f t="shared" ca="1" si="226"/>
        <v/>
      </c>
      <c r="PK63" s="75" t="str">
        <f t="shared" ca="1" si="226"/>
        <v/>
      </c>
      <c r="PL63" s="75" t="str">
        <f t="shared" ca="1" si="226"/>
        <v/>
      </c>
      <c r="PM63" s="75" t="str">
        <f t="shared" ca="1" si="226"/>
        <v/>
      </c>
      <c r="PN63" s="75" t="str">
        <f t="shared" ca="1" si="227"/>
        <v/>
      </c>
      <c r="PO63" s="75" t="str">
        <f t="shared" ca="1" si="227"/>
        <v/>
      </c>
      <c r="PP63" s="75" t="str">
        <f t="shared" ca="1" si="227"/>
        <v/>
      </c>
      <c r="PQ63" s="75" t="str">
        <f t="shared" ca="1" si="227"/>
        <v/>
      </c>
      <c r="PR63" s="75" t="str">
        <f t="shared" ca="1" si="227"/>
        <v/>
      </c>
      <c r="PS63" s="75" t="str">
        <f t="shared" ca="1" si="227"/>
        <v/>
      </c>
      <c r="PT63" s="75" t="str">
        <f t="shared" ca="1" si="227"/>
        <v/>
      </c>
      <c r="PU63" s="75" t="str">
        <f t="shared" ca="1" si="227"/>
        <v/>
      </c>
      <c r="PV63" s="75" t="str">
        <f t="shared" ca="1" si="227"/>
        <v/>
      </c>
      <c r="PW63" s="75" t="str">
        <f t="shared" ca="1" si="227"/>
        <v/>
      </c>
      <c r="PX63" s="75" t="str">
        <f t="shared" ca="1" si="228"/>
        <v/>
      </c>
      <c r="PY63" s="75" t="str">
        <f t="shared" ca="1" si="228"/>
        <v/>
      </c>
      <c r="PZ63" s="75" t="str">
        <f t="shared" ca="1" si="228"/>
        <v/>
      </c>
      <c r="QA63" s="75" t="str">
        <f t="shared" ca="1" si="228"/>
        <v/>
      </c>
      <c r="QB63" s="75" t="str">
        <f t="shared" ca="1" si="228"/>
        <v/>
      </c>
      <c r="QC63" s="75" t="str">
        <f t="shared" ca="1" si="228"/>
        <v/>
      </c>
      <c r="QD63" s="75" t="str">
        <f t="shared" ca="1" si="228"/>
        <v/>
      </c>
      <c r="QE63" s="75" t="str">
        <f t="shared" ca="1" si="228"/>
        <v/>
      </c>
      <c r="QF63" s="75" t="str">
        <f t="shared" ca="1" si="228"/>
        <v/>
      </c>
      <c r="QG63" s="75" t="str">
        <f t="shared" ca="1" si="228"/>
        <v/>
      </c>
      <c r="QH63" s="75" t="str">
        <f t="shared" ca="1" si="229"/>
        <v/>
      </c>
      <c r="QI63" s="75" t="str">
        <f t="shared" ca="1" si="229"/>
        <v/>
      </c>
      <c r="QJ63" s="75" t="str">
        <f t="shared" ca="1" si="229"/>
        <v/>
      </c>
      <c r="QK63" s="75" t="str">
        <f t="shared" ca="1" si="229"/>
        <v/>
      </c>
      <c r="QL63" s="75" t="str">
        <f t="shared" ca="1" si="229"/>
        <v/>
      </c>
      <c r="QM63" s="75" t="str">
        <f t="shared" ca="1" si="229"/>
        <v/>
      </c>
      <c r="QN63" s="75" t="str">
        <f t="shared" ca="1" si="229"/>
        <v/>
      </c>
      <c r="QO63" s="75" t="str">
        <f t="shared" ca="1" si="229"/>
        <v/>
      </c>
      <c r="QP63" s="75" t="str">
        <f t="shared" ca="1" si="229"/>
        <v/>
      </c>
      <c r="QQ63" s="75" t="str">
        <f t="shared" ca="1" si="229"/>
        <v/>
      </c>
      <c r="QR63" s="75" t="str">
        <f t="shared" ca="1" si="230"/>
        <v/>
      </c>
      <c r="QS63" s="75" t="str">
        <f t="shared" ca="1" si="230"/>
        <v/>
      </c>
      <c r="QT63" s="75" t="str">
        <f t="shared" ca="1" si="230"/>
        <v/>
      </c>
      <c r="QU63" s="75" t="str">
        <f t="shared" ca="1" si="230"/>
        <v/>
      </c>
      <c r="QV63" s="75" t="str">
        <f t="shared" ca="1" si="230"/>
        <v/>
      </c>
      <c r="QW63" s="75" t="str">
        <f t="shared" ca="1" si="230"/>
        <v/>
      </c>
      <c r="QX63" s="75" t="str">
        <f t="shared" ca="1" si="230"/>
        <v/>
      </c>
      <c r="QY63" s="75" t="str">
        <f t="shared" ca="1" si="230"/>
        <v/>
      </c>
      <c r="QZ63" s="75" t="str">
        <f t="shared" ca="1" si="230"/>
        <v/>
      </c>
      <c r="RA63" s="75" t="str">
        <f t="shared" ca="1" si="230"/>
        <v/>
      </c>
      <c r="RB63" s="75" t="str">
        <f t="shared" ca="1" si="231"/>
        <v/>
      </c>
      <c r="RC63" s="75" t="str">
        <f t="shared" ca="1" si="231"/>
        <v/>
      </c>
      <c r="RD63" s="75" t="str">
        <f t="shared" ca="1" si="231"/>
        <v/>
      </c>
      <c r="RE63" s="75" t="str">
        <f t="shared" ca="1" si="231"/>
        <v/>
      </c>
      <c r="RF63" s="75" t="str">
        <f t="shared" ca="1" si="231"/>
        <v/>
      </c>
      <c r="RG63" s="75" t="str">
        <f t="shared" ca="1" si="231"/>
        <v/>
      </c>
      <c r="RH63" s="75" t="str">
        <f t="shared" ca="1" si="231"/>
        <v/>
      </c>
      <c r="RI63" s="75" t="str">
        <f t="shared" ca="1" si="231"/>
        <v/>
      </c>
      <c r="RJ63" s="75" t="str">
        <f t="shared" ca="1" si="231"/>
        <v/>
      </c>
      <c r="RK63" s="75" t="str">
        <f t="shared" ca="1" si="231"/>
        <v/>
      </c>
      <c r="RL63" s="75" t="str">
        <f t="shared" ca="1" si="232"/>
        <v/>
      </c>
      <c r="RM63" s="75" t="str">
        <f t="shared" ca="1" si="232"/>
        <v/>
      </c>
      <c r="RN63" s="75" t="str">
        <f t="shared" ca="1" si="232"/>
        <v/>
      </c>
      <c r="RO63" s="75" t="str">
        <f t="shared" ca="1" si="232"/>
        <v/>
      </c>
      <c r="RP63" s="75" t="str">
        <f t="shared" ca="1" si="232"/>
        <v/>
      </c>
      <c r="RQ63" s="75" t="str">
        <f t="shared" ca="1" si="232"/>
        <v/>
      </c>
      <c r="RR63" s="75" t="str">
        <f t="shared" ca="1" si="232"/>
        <v/>
      </c>
      <c r="RS63" s="75" t="str">
        <f t="shared" ca="1" si="232"/>
        <v/>
      </c>
      <c r="RT63" s="75" t="str">
        <f t="shared" ca="1" si="232"/>
        <v/>
      </c>
      <c r="RU63" s="75" t="str">
        <f t="shared" ca="1" si="232"/>
        <v/>
      </c>
      <c r="RV63" s="75" t="str">
        <f t="shared" ca="1" si="233"/>
        <v/>
      </c>
      <c r="RW63" s="75" t="str">
        <f t="shared" ca="1" si="233"/>
        <v/>
      </c>
      <c r="RX63" s="75" t="str">
        <f t="shared" ca="1" si="233"/>
        <v/>
      </c>
      <c r="RY63" s="75" t="str">
        <f t="shared" ca="1" si="233"/>
        <v/>
      </c>
      <c r="RZ63" s="75" t="str">
        <f t="shared" ca="1" si="233"/>
        <v/>
      </c>
      <c r="SA63" s="75" t="str">
        <f t="shared" ca="1" si="233"/>
        <v/>
      </c>
      <c r="SB63" s="75" t="str">
        <f t="shared" ca="1" si="233"/>
        <v/>
      </c>
      <c r="SC63" s="75" t="str">
        <f t="shared" ca="1" si="233"/>
        <v/>
      </c>
      <c r="SD63" s="75" t="str">
        <f t="shared" ca="1" si="233"/>
        <v/>
      </c>
      <c r="SE63" s="75" t="str">
        <f t="shared" ca="1" si="233"/>
        <v/>
      </c>
      <c r="SF63" s="75" t="str">
        <f t="shared" ca="1" si="234"/>
        <v/>
      </c>
      <c r="SG63" s="75" t="str">
        <f t="shared" ca="1" si="234"/>
        <v/>
      </c>
      <c r="SH63" s="75" t="str">
        <f t="shared" ca="1" si="234"/>
        <v/>
      </c>
      <c r="SI63" s="75" t="str">
        <f t="shared" ca="1" si="234"/>
        <v/>
      </c>
      <c r="SJ63" s="75" t="str">
        <f t="shared" ca="1" si="234"/>
        <v/>
      </c>
      <c r="SK63" s="75" t="str">
        <f t="shared" ca="1" si="234"/>
        <v/>
      </c>
      <c r="SL63" s="75" t="str">
        <f t="shared" ca="1" si="234"/>
        <v/>
      </c>
      <c r="SM63" s="75" t="str">
        <f t="shared" ca="1" si="234"/>
        <v/>
      </c>
      <c r="SN63" s="75" t="str">
        <f t="shared" ca="1" si="234"/>
        <v/>
      </c>
      <c r="SO63" s="75" t="str">
        <f t="shared" ca="1" si="234"/>
        <v/>
      </c>
      <c r="SP63" s="75" t="str">
        <f t="shared" ca="1" si="235"/>
        <v/>
      </c>
      <c r="SQ63" s="75" t="str">
        <f t="shared" ca="1" si="235"/>
        <v/>
      </c>
      <c r="SR63" s="75" t="str">
        <f t="shared" ca="1" si="235"/>
        <v/>
      </c>
      <c r="SS63" s="75" t="str">
        <f t="shared" ca="1" si="235"/>
        <v/>
      </c>
      <c r="ST63" s="75" t="str">
        <f t="shared" ca="1" si="235"/>
        <v/>
      </c>
      <c r="SU63" s="75" t="str">
        <f t="shared" ca="1" si="235"/>
        <v/>
      </c>
      <c r="SV63" s="75" t="str">
        <f t="shared" ca="1" si="235"/>
        <v/>
      </c>
      <c r="SW63" s="75" t="str">
        <f t="shared" ca="1" si="235"/>
        <v/>
      </c>
      <c r="SX63" s="75" t="str">
        <f t="shared" ca="1" si="235"/>
        <v/>
      </c>
      <c r="SY63" s="75" t="str">
        <f t="shared" ca="1" si="235"/>
        <v/>
      </c>
      <c r="SZ63" s="75" t="str">
        <f t="shared" ca="1" si="236"/>
        <v/>
      </c>
      <c r="TA63" s="75" t="str">
        <f t="shared" ca="1" si="236"/>
        <v/>
      </c>
      <c r="TB63" s="75" t="str">
        <f t="shared" ca="1" si="236"/>
        <v/>
      </c>
      <c r="TC63" s="75" t="str">
        <f t="shared" ca="1" si="236"/>
        <v/>
      </c>
      <c r="TD63" s="75" t="str">
        <f t="shared" ca="1" si="236"/>
        <v/>
      </c>
      <c r="TE63" s="75" t="str">
        <f t="shared" ca="1" si="236"/>
        <v/>
      </c>
      <c r="TF63" s="75" t="str">
        <f t="shared" ca="1" si="236"/>
        <v/>
      </c>
      <c r="TG63" s="75" t="str">
        <f t="shared" ca="1" si="236"/>
        <v/>
      </c>
      <c r="TH63" s="75" t="str">
        <f t="shared" ca="1" si="236"/>
        <v/>
      </c>
      <c r="TI63" s="75" t="str">
        <f t="shared" ca="1" si="236"/>
        <v/>
      </c>
      <c r="TJ63" s="75" t="str">
        <f t="shared" ca="1" si="237"/>
        <v/>
      </c>
      <c r="TK63" s="75" t="str">
        <f t="shared" ca="1" si="237"/>
        <v/>
      </c>
      <c r="TL63" s="75" t="str">
        <f t="shared" ca="1" si="237"/>
        <v/>
      </c>
      <c r="TM63" s="75" t="str">
        <f t="shared" ca="1" si="237"/>
        <v/>
      </c>
      <c r="TN63" s="75" t="str">
        <f t="shared" ca="1" si="237"/>
        <v/>
      </c>
      <c r="TO63" s="75" t="str">
        <f t="shared" ca="1" si="237"/>
        <v/>
      </c>
      <c r="TP63" s="75" t="str">
        <f t="shared" ca="1" si="237"/>
        <v/>
      </c>
      <c r="TQ63" s="75" t="str">
        <f t="shared" ca="1" si="237"/>
        <v/>
      </c>
      <c r="TR63" s="75" t="str">
        <f t="shared" ca="1" si="237"/>
        <v/>
      </c>
      <c r="TS63" s="75" t="str">
        <f t="shared" ca="1" si="237"/>
        <v/>
      </c>
      <c r="TT63" s="75" t="str">
        <f t="shared" ca="1" si="238"/>
        <v/>
      </c>
      <c r="TU63" s="75" t="str">
        <f t="shared" ca="1" si="238"/>
        <v/>
      </c>
      <c r="TV63" s="75" t="str">
        <f t="shared" ca="1" si="238"/>
        <v/>
      </c>
      <c r="TW63" s="75" t="str">
        <f t="shared" ca="1" si="238"/>
        <v/>
      </c>
      <c r="TX63" s="75" t="str">
        <f t="shared" ca="1" si="238"/>
        <v/>
      </c>
      <c r="TY63" s="75" t="str">
        <f t="shared" ca="1" si="238"/>
        <v/>
      </c>
      <c r="TZ63" s="75" t="str">
        <f t="shared" ca="1" si="238"/>
        <v/>
      </c>
      <c r="UA63" s="75" t="str">
        <f t="shared" ca="1" si="238"/>
        <v/>
      </c>
      <c r="UB63" s="75" t="str">
        <f t="shared" ca="1" si="238"/>
        <v/>
      </c>
      <c r="UC63" s="75" t="str">
        <f t="shared" ca="1" si="238"/>
        <v/>
      </c>
      <c r="UD63" s="75" t="str">
        <f t="shared" ca="1" si="239"/>
        <v/>
      </c>
      <c r="UE63" s="75" t="str">
        <f t="shared" ca="1" si="239"/>
        <v/>
      </c>
      <c r="UF63" s="75" t="str">
        <f t="shared" ca="1" si="239"/>
        <v/>
      </c>
      <c r="UG63" s="75" t="str">
        <f t="shared" ca="1" si="239"/>
        <v/>
      </c>
      <c r="UH63" s="75" t="str">
        <f t="shared" ca="1" si="239"/>
        <v/>
      </c>
      <c r="UI63" s="75" t="str">
        <f t="shared" ca="1" si="239"/>
        <v/>
      </c>
      <c r="UJ63" s="75" t="str">
        <f t="shared" ca="1" si="239"/>
        <v/>
      </c>
      <c r="UK63" s="75" t="str">
        <f t="shared" ca="1" si="239"/>
        <v/>
      </c>
      <c r="UL63" s="75" t="str">
        <f t="shared" ca="1" si="239"/>
        <v/>
      </c>
      <c r="UM63" s="75" t="str">
        <f t="shared" ca="1" si="239"/>
        <v/>
      </c>
      <c r="UN63" s="75" t="str">
        <f t="shared" ca="1" si="240"/>
        <v/>
      </c>
      <c r="UO63" s="75" t="str">
        <f t="shared" ca="1" si="240"/>
        <v/>
      </c>
      <c r="UP63" s="75" t="str">
        <f t="shared" ca="1" si="240"/>
        <v/>
      </c>
      <c r="UQ63" s="75" t="str">
        <f t="shared" ca="1" si="240"/>
        <v/>
      </c>
      <c r="UR63" s="75" t="str">
        <f t="shared" ca="1" si="240"/>
        <v/>
      </c>
      <c r="US63" s="75" t="str">
        <f t="shared" ca="1" si="240"/>
        <v/>
      </c>
      <c r="UT63" s="75" t="str">
        <f t="shared" ca="1" si="240"/>
        <v/>
      </c>
      <c r="UU63" s="75" t="str">
        <f t="shared" ca="1" si="240"/>
        <v/>
      </c>
      <c r="UV63" s="75" t="str">
        <f t="shared" ca="1" si="240"/>
        <v/>
      </c>
      <c r="UW63" s="75" t="str">
        <f t="shared" ca="1" si="240"/>
        <v/>
      </c>
      <c r="UX63" s="75" t="str">
        <f t="shared" ca="1" si="241"/>
        <v/>
      </c>
      <c r="UY63" s="75" t="str">
        <f t="shared" ca="1" si="241"/>
        <v/>
      </c>
      <c r="UZ63" s="75" t="str">
        <f t="shared" ca="1" si="241"/>
        <v/>
      </c>
      <c r="VA63" s="75" t="str">
        <f t="shared" ca="1" si="241"/>
        <v/>
      </c>
      <c r="VB63" s="75" t="str">
        <f t="shared" ca="1" si="241"/>
        <v/>
      </c>
      <c r="VC63" s="75" t="str">
        <f t="shared" ca="1" si="241"/>
        <v/>
      </c>
      <c r="VD63" s="75" t="str">
        <f t="shared" ca="1" si="241"/>
        <v/>
      </c>
      <c r="VE63" s="75" t="str">
        <f t="shared" ca="1" si="241"/>
        <v/>
      </c>
      <c r="VF63" s="75" t="str">
        <f t="shared" ca="1" si="241"/>
        <v/>
      </c>
      <c r="VG63" s="75" t="str">
        <f t="shared" ca="1" si="241"/>
        <v/>
      </c>
      <c r="VH63" s="75" t="str">
        <f t="shared" ca="1" si="242"/>
        <v/>
      </c>
      <c r="VI63" s="75" t="str">
        <f t="shared" ca="1" si="242"/>
        <v/>
      </c>
      <c r="VJ63" s="75" t="str">
        <f t="shared" ca="1" si="242"/>
        <v/>
      </c>
      <c r="VK63" s="75" t="str">
        <f t="shared" ca="1" si="242"/>
        <v/>
      </c>
      <c r="VL63" s="75" t="str">
        <f t="shared" ca="1" si="242"/>
        <v/>
      </c>
      <c r="VM63" s="75" t="str">
        <f t="shared" ca="1" si="242"/>
        <v/>
      </c>
      <c r="VN63" s="75" t="str">
        <f t="shared" ca="1" si="242"/>
        <v/>
      </c>
      <c r="VO63" s="75" t="str">
        <f t="shared" ca="1" si="242"/>
        <v/>
      </c>
      <c r="VP63" s="75" t="str">
        <f t="shared" ca="1" si="242"/>
        <v/>
      </c>
      <c r="VQ63" s="75" t="str">
        <f t="shared" ca="1" si="242"/>
        <v/>
      </c>
      <c r="VR63" s="75" t="str">
        <f t="shared" ca="1" si="242"/>
        <v/>
      </c>
      <c r="VS63" s="75" t="str">
        <f t="shared" ca="1" si="242"/>
        <v/>
      </c>
    </row>
    <row r="64" spans="1:591" s="17" customFormat="1" ht="21.6" customHeight="1" x14ac:dyDescent="0.3">
      <c r="A64" s="81"/>
      <c r="B64" s="28" t="s">
        <v>93</v>
      </c>
      <c r="C64" s="19"/>
      <c r="D64" s="19"/>
      <c r="E64" s="27"/>
      <c r="F64" s="26">
        <f>F63+14</f>
        <v>46162</v>
      </c>
      <c r="G64" s="26">
        <f>Milestones43524[[#This Row],[Start]]+Milestones43524[[#This Row],[Days]]</f>
        <v>46167</v>
      </c>
      <c r="H64" s="25">
        <v>5</v>
      </c>
      <c r="I64" s="19"/>
      <c r="J64" s="24" t="str">
        <f t="shared" ca="1" si="185"/>
        <v/>
      </c>
      <c r="K64" s="24" t="str">
        <f t="shared" ca="1" si="185"/>
        <v/>
      </c>
      <c r="L64" s="24" t="str">
        <f t="shared" ca="1" si="185"/>
        <v/>
      </c>
      <c r="M64" s="24" t="str">
        <f t="shared" ca="1" si="185"/>
        <v/>
      </c>
      <c r="N64" s="24" t="str">
        <f t="shared" ca="1" si="185"/>
        <v/>
      </c>
      <c r="O64" s="24" t="str">
        <f t="shared" ca="1" si="185"/>
        <v/>
      </c>
      <c r="P64" s="24" t="str">
        <f t="shared" ca="1" si="185"/>
        <v/>
      </c>
      <c r="Q64" s="24" t="str">
        <f t="shared" ca="1" si="185"/>
        <v/>
      </c>
      <c r="R64" s="24" t="str">
        <f t="shared" ca="1" si="185"/>
        <v/>
      </c>
      <c r="S64" s="24" t="str">
        <f t="shared" ca="1" si="185"/>
        <v/>
      </c>
      <c r="T64" s="24" t="str">
        <f t="shared" ca="1" si="186"/>
        <v/>
      </c>
      <c r="U64" s="24" t="str">
        <f t="shared" ca="1" si="186"/>
        <v/>
      </c>
      <c r="V64" s="24" t="str">
        <f t="shared" ca="1" si="186"/>
        <v/>
      </c>
      <c r="W64" s="24" t="str">
        <f t="shared" ca="1" si="186"/>
        <v/>
      </c>
      <c r="X64" s="24" t="str">
        <f t="shared" ca="1" si="186"/>
        <v/>
      </c>
      <c r="Y64" s="24" t="str">
        <f t="shared" ca="1" si="186"/>
        <v/>
      </c>
      <c r="Z64" s="24" t="str">
        <f t="shared" ca="1" si="186"/>
        <v/>
      </c>
      <c r="AA64" s="24" t="str">
        <f t="shared" ca="1" si="186"/>
        <v/>
      </c>
      <c r="AB64" s="24" t="str">
        <f t="shared" ca="1" si="186"/>
        <v/>
      </c>
      <c r="AC64" s="24" t="str">
        <f t="shared" ca="1" si="186"/>
        <v/>
      </c>
      <c r="AD64" s="24" t="str">
        <f t="shared" ca="1" si="187"/>
        <v/>
      </c>
      <c r="AE64" s="24" t="str">
        <f t="shared" ca="1" si="187"/>
        <v/>
      </c>
      <c r="AF64" s="24" t="str">
        <f t="shared" ca="1" si="187"/>
        <v/>
      </c>
      <c r="AG64" s="24" t="str">
        <f t="shared" ca="1" si="187"/>
        <v/>
      </c>
      <c r="AH64" s="24" t="str">
        <f t="shared" ca="1" si="187"/>
        <v/>
      </c>
      <c r="AI64" s="24" t="str">
        <f t="shared" ca="1" si="187"/>
        <v/>
      </c>
      <c r="AJ64" s="24" t="str">
        <f t="shared" ca="1" si="187"/>
        <v/>
      </c>
      <c r="AK64" s="24" t="str">
        <f t="shared" ca="1" si="187"/>
        <v/>
      </c>
      <c r="AL64" s="24" t="str">
        <f t="shared" ca="1" si="187"/>
        <v/>
      </c>
      <c r="AM64" s="24" t="str">
        <f t="shared" ca="1" si="187"/>
        <v/>
      </c>
      <c r="AN64" s="24" t="str">
        <f t="shared" ca="1" si="188"/>
        <v/>
      </c>
      <c r="AO64" s="24" t="str">
        <f t="shared" ca="1" si="188"/>
        <v/>
      </c>
      <c r="AP64" s="24" t="str">
        <f t="shared" ca="1" si="188"/>
        <v/>
      </c>
      <c r="AQ64" s="24" t="str">
        <f t="shared" ca="1" si="188"/>
        <v/>
      </c>
      <c r="AR64" s="24" t="str">
        <f t="shared" ca="1" si="188"/>
        <v/>
      </c>
      <c r="AS64" s="24" t="str">
        <f t="shared" ca="1" si="188"/>
        <v/>
      </c>
      <c r="AT64" s="24" t="str">
        <f t="shared" ca="1" si="188"/>
        <v/>
      </c>
      <c r="AU64" s="24" t="str">
        <f t="shared" ca="1" si="188"/>
        <v/>
      </c>
      <c r="AV64" s="24" t="str">
        <f t="shared" ca="1" si="188"/>
        <v/>
      </c>
      <c r="AW64" s="24" t="str">
        <f t="shared" ca="1" si="188"/>
        <v/>
      </c>
      <c r="AX64" s="24" t="str">
        <f t="shared" ca="1" si="189"/>
        <v/>
      </c>
      <c r="AY64" s="24" t="str">
        <f t="shared" ca="1" si="189"/>
        <v/>
      </c>
      <c r="AZ64" s="24" t="str">
        <f t="shared" ca="1" si="189"/>
        <v/>
      </c>
      <c r="BA64" s="24" t="str">
        <f t="shared" ca="1" si="189"/>
        <v/>
      </c>
      <c r="BB64" s="24" t="str">
        <f t="shared" ca="1" si="189"/>
        <v/>
      </c>
      <c r="BC64" s="24" t="str">
        <f t="shared" ca="1" si="189"/>
        <v/>
      </c>
      <c r="BD64" s="24" t="str">
        <f t="shared" ca="1" si="189"/>
        <v/>
      </c>
      <c r="BE64" s="24" t="str">
        <f t="shared" ca="1" si="189"/>
        <v/>
      </c>
      <c r="BF64" s="24" t="str">
        <f t="shared" ca="1" si="189"/>
        <v/>
      </c>
      <c r="BG64" s="24" t="str">
        <f t="shared" ca="1" si="189"/>
        <v/>
      </c>
      <c r="BH64" s="24" t="str">
        <f t="shared" ca="1" si="190"/>
        <v/>
      </c>
      <c r="BI64" s="24" t="str">
        <f t="shared" ca="1" si="190"/>
        <v/>
      </c>
      <c r="BJ64" s="24" t="str">
        <f t="shared" ca="1" si="190"/>
        <v/>
      </c>
      <c r="BK64" s="24" t="str">
        <f t="shared" ca="1" si="190"/>
        <v/>
      </c>
      <c r="BL64" s="24" t="str">
        <f t="shared" ca="1" si="190"/>
        <v/>
      </c>
      <c r="BM64" s="24" t="str">
        <f t="shared" ca="1" si="190"/>
        <v/>
      </c>
      <c r="BN64" s="24" t="str">
        <f t="shared" ca="1" si="190"/>
        <v/>
      </c>
      <c r="BO64" s="24" t="str">
        <f t="shared" ca="1" si="190"/>
        <v/>
      </c>
      <c r="BP64" s="24" t="str">
        <f t="shared" ca="1" si="190"/>
        <v/>
      </c>
      <c r="BQ64" s="24" t="str">
        <f t="shared" ca="1" si="190"/>
        <v/>
      </c>
      <c r="BR64" s="24" t="str">
        <f t="shared" ca="1" si="191"/>
        <v/>
      </c>
      <c r="BS64" s="24" t="str">
        <f t="shared" ca="1" si="191"/>
        <v/>
      </c>
      <c r="BT64" s="24" t="str">
        <f t="shared" ca="1" si="191"/>
        <v/>
      </c>
      <c r="BU64" s="24" t="str">
        <f t="shared" ca="1" si="191"/>
        <v/>
      </c>
      <c r="BV64" s="24" t="str">
        <f t="shared" ca="1" si="191"/>
        <v/>
      </c>
      <c r="BW64" s="24" t="str">
        <f t="shared" ca="1" si="191"/>
        <v/>
      </c>
      <c r="BX64" s="24" t="str">
        <f t="shared" ca="1" si="191"/>
        <v/>
      </c>
      <c r="BY64" s="24" t="str">
        <f t="shared" ca="1" si="191"/>
        <v/>
      </c>
      <c r="BZ64" s="24" t="str">
        <f t="shared" ca="1" si="191"/>
        <v/>
      </c>
      <c r="CA64" s="24" t="str">
        <f t="shared" ca="1" si="191"/>
        <v/>
      </c>
      <c r="CB64" s="24" t="str">
        <f t="shared" ca="1" si="192"/>
        <v/>
      </c>
      <c r="CC64" s="24" t="str">
        <f t="shared" ca="1" si="192"/>
        <v/>
      </c>
      <c r="CD64" s="24" t="str">
        <f t="shared" ca="1" si="192"/>
        <v/>
      </c>
      <c r="CE64" s="24" t="str">
        <f t="shared" ca="1" si="192"/>
        <v/>
      </c>
      <c r="CF64" s="24" t="str">
        <f t="shared" ca="1" si="192"/>
        <v/>
      </c>
      <c r="CG64" s="24" t="str">
        <f t="shared" ca="1" si="192"/>
        <v/>
      </c>
      <c r="CH64" s="24" t="str">
        <f t="shared" ca="1" si="192"/>
        <v/>
      </c>
      <c r="CI64" s="24" t="str">
        <f t="shared" ca="1" si="192"/>
        <v/>
      </c>
      <c r="CJ64" s="24" t="str">
        <f t="shared" ca="1" si="192"/>
        <v/>
      </c>
      <c r="CK64" s="24" t="str">
        <f t="shared" ca="1" si="192"/>
        <v/>
      </c>
      <c r="CL64" s="24" t="str">
        <f t="shared" ca="1" si="193"/>
        <v/>
      </c>
      <c r="CM64" s="24" t="str">
        <f t="shared" ca="1" si="193"/>
        <v/>
      </c>
      <c r="CN64" s="24" t="str">
        <f t="shared" ca="1" si="193"/>
        <v/>
      </c>
      <c r="CO64" s="24" t="str">
        <f t="shared" ca="1" si="193"/>
        <v/>
      </c>
      <c r="CP64" s="24" t="str">
        <f t="shared" ca="1" si="193"/>
        <v/>
      </c>
      <c r="CQ64" s="24" t="str">
        <f t="shared" ca="1" si="193"/>
        <v/>
      </c>
      <c r="CR64" s="24" t="str">
        <f t="shared" ca="1" si="193"/>
        <v/>
      </c>
      <c r="CS64" s="24" t="str">
        <f t="shared" ca="1" si="193"/>
        <v/>
      </c>
      <c r="CT64" s="24" t="str">
        <f t="shared" ca="1" si="193"/>
        <v/>
      </c>
      <c r="CU64" s="24" t="str">
        <f t="shared" ca="1" si="193"/>
        <v/>
      </c>
      <c r="CV64" s="24" t="str">
        <f t="shared" ca="1" si="194"/>
        <v/>
      </c>
      <c r="CW64" s="24" t="str">
        <f t="shared" ca="1" si="194"/>
        <v/>
      </c>
      <c r="CX64" s="24" t="str">
        <f t="shared" ca="1" si="194"/>
        <v/>
      </c>
      <c r="CY64" s="24" t="str">
        <f t="shared" ca="1" si="194"/>
        <v/>
      </c>
      <c r="CZ64" s="24" t="str">
        <f t="shared" ca="1" si="194"/>
        <v/>
      </c>
      <c r="DA64" s="24" t="str">
        <f t="shared" ca="1" si="194"/>
        <v/>
      </c>
      <c r="DB64" s="24" t="str">
        <f t="shared" ca="1" si="194"/>
        <v/>
      </c>
      <c r="DC64" s="24" t="str">
        <f t="shared" ca="1" si="194"/>
        <v/>
      </c>
      <c r="DD64" s="24" t="str">
        <f t="shared" ca="1" si="194"/>
        <v/>
      </c>
      <c r="DE64" s="24" t="str">
        <f t="shared" ca="1" si="194"/>
        <v/>
      </c>
      <c r="DF64" s="24" t="str">
        <f t="shared" ca="1" si="195"/>
        <v/>
      </c>
      <c r="DG64" s="24" t="str">
        <f t="shared" ca="1" si="195"/>
        <v/>
      </c>
      <c r="DH64" s="24" t="str">
        <f t="shared" ca="1" si="195"/>
        <v/>
      </c>
      <c r="DI64" s="24" t="str">
        <f t="shared" ca="1" si="195"/>
        <v/>
      </c>
      <c r="DJ64" s="24" t="str">
        <f t="shared" ca="1" si="195"/>
        <v/>
      </c>
      <c r="DK64" s="24" t="str">
        <f t="shared" ca="1" si="195"/>
        <v/>
      </c>
      <c r="DL64" s="24" t="str">
        <f t="shared" ca="1" si="195"/>
        <v/>
      </c>
      <c r="DM64" s="24" t="str">
        <f t="shared" ca="1" si="195"/>
        <v/>
      </c>
      <c r="DN64" s="24" t="str">
        <f t="shared" ca="1" si="195"/>
        <v/>
      </c>
      <c r="DO64" s="24" t="str">
        <f t="shared" ca="1" si="195"/>
        <v/>
      </c>
      <c r="DP64" s="24" t="str">
        <f t="shared" ca="1" si="196"/>
        <v/>
      </c>
      <c r="DQ64" s="24" t="str">
        <f t="shared" ca="1" si="196"/>
        <v/>
      </c>
      <c r="DR64" s="24" t="str">
        <f t="shared" ca="1" si="196"/>
        <v/>
      </c>
      <c r="DS64" s="24" t="str">
        <f t="shared" ca="1" si="196"/>
        <v/>
      </c>
      <c r="DT64" s="24" t="str">
        <f t="shared" ca="1" si="196"/>
        <v/>
      </c>
      <c r="DU64" s="24" t="str">
        <f t="shared" ca="1" si="196"/>
        <v/>
      </c>
      <c r="DV64" s="24" t="str">
        <f t="shared" ca="1" si="196"/>
        <v/>
      </c>
      <c r="DW64" s="24" t="str">
        <f t="shared" ca="1" si="196"/>
        <v/>
      </c>
      <c r="DX64" s="24" t="str">
        <f t="shared" ca="1" si="196"/>
        <v/>
      </c>
      <c r="DY64" s="24" t="str">
        <f t="shared" ca="1" si="196"/>
        <v/>
      </c>
      <c r="DZ64" s="24" t="str">
        <f t="shared" ca="1" si="197"/>
        <v/>
      </c>
      <c r="EA64" s="24" t="str">
        <f t="shared" ca="1" si="197"/>
        <v/>
      </c>
      <c r="EB64" s="24" t="str">
        <f t="shared" ca="1" si="197"/>
        <v/>
      </c>
      <c r="EC64" s="24" t="str">
        <f t="shared" ca="1" si="197"/>
        <v/>
      </c>
      <c r="ED64" s="24" t="str">
        <f t="shared" ca="1" si="197"/>
        <v/>
      </c>
      <c r="EE64" s="24" t="str">
        <f t="shared" ca="1" si="197"/>
        <v/>
      </c>
      <c r="EF64" s="24" t="str">
        <f t="shared" ca="1" si="197"/>
        <v/>
      </c>
      <c r="EG64" s="24" t="str">
        <f t="shared" ca="1" si="197"/>
        <v/>
      </c>
      <c r="EH64" s="24" t="str">
        <f t="shared" ca="1" si="197"/>
        <v/>
      </c>
      <c r="EI64" s="24" t="str">
        <f t="shared" ca="1" si="197"/>
        <v/>
      </c>
      <c r="EJ64" s="24" t="str">
        <f t="shared" ca="1" si="198"/>
        <v/>
      </c>
      <c r="EK64" s="24" t="str">
        <f t="shared" ca="1" si="198"/>
        <v/>
      </c>
      <c r="EL64" s="24" t="str">
        <f t="shared" ca="1" si="198"/>
        <v/>
      </c>
      <c r="EM64" s="24" t="str">
        <f t="shared" ca="1" si="198"/>
        <v/>
      </c>
      <c r="EN64" s="24" t="str">
        <f t="shared" ca="1" si="198"/>
        <v/>
      </c>
      <c r="EO64" s="24" t="str">
        <f t="shared" ca="1" si="198"/>
        <v/>
      </c>
      <c r="EP64" s="24" t="str">
        <f t="shared" ca="1" si="198"/>
        <v/>
      </c>
      <c r="EQ64" s="24" t="str">
        <f t="shared" ca="1" si="198"/>
        <v/>
      </c>
      <c r="ER64" s="24" t="str">
        <f t="shared" ca="1" si="198"/>
        <v/>
      </c>
      <c r="ES64" s="24" t="str">
        <f t="shared" ca="1" si="198"/>
        <v/>
      </c>
      <c r="ET64" s="24" t="str">
        <f t="shared" ca="1" si="199"/>
        <v/>
      </c>
      <c r="EU64" s="24" t="str">
        <f t="shared" ca="1" si="199"/>
        <v/>
      </c>
      <c r="EV64" s="24" t="str">
        <f t="shared" ca="1" si="199"/>
        <v/>
      </c>
      <c r="EW64" s="24" t="str">
        <f t="shared" ca="1" si="199"/>
        <v/>
      </c>
      <c r="EX64" s="24" t="str">
        <f t="shared" ca="1" si="199"/>
        <v/>
      </c>
      <c r="EY64" s="24" t="str">
        <f t="shared" ca="1" si="199"/>
        <v/>
      </c>
      <c r="EZ64" s="24" t="str">
        <f t="shared" ca="1" si="199"/>
        <v/>
      </c>
      <c r="FA64" s="24" t="str">
        <f t="shared" ca="1" si="199"/>
        <v/>
      </c>
      <c r="FB64" s="24" t="str">
        <f t="shared" ca="1" si="199"/>
        <v/>
      </c>
      <c r="FC64" s="24" t="str">
        <f t="shared" ca="1" si="199"/>
        <v/>
      </c>
      <c r="FD64" s="24" t="str">
        <f t="shared" ca="1" si="200"/>
        <v/>
      </c>
      <c r="FE64" s="24" t="str">
        <f t="shared" ca="1" si="200"/>
        <v/>
      </c>
      <c r="FF64" s="24" t="str">
        <f t="shared" ca="1" si="200"/>
        <v/>
      </c>
      <c r="FG64" s="24" t="str">
        <f t="shared" ca="1" si="200"/>
        <v/>
      </c>
      <c r="FH64" s="24" t="str">
        <f t="shared" ca="1" si="200"/>
        <v/>
      </c>
      <c r="FI64" s="24" t="str">
        <f t="shared" ca="1" si="200"/>
        <v/>
      </c>
      <c r="FJ64" s="24" t="str">
        <f t="shared" ca="1" si="200"/>
        <v/>
      </c>
      <c r="FK64" s="24" t="str">
        <f t="shared" ca="1" si="200"/>
        <v/>
      </c>
      <c r="FL64" s="24" t="str">
        <f t="shared" ca="1" si="200"/>
        <v/>
      </c>
      <c r="FM64" s="24" t="str">
        <f t="shared" ca="1" si="200"/>
        <v/>
      </c>
      <c r="FN64" s="24" t="str">
        <f t="shared" ca="1" si="201"/>
        <v/>
      </c>
      <c r="FO64" s="24" t="str">
        <f t="shared" ca="1" si="201"/>
        <v/>
      </c>
      <c r="FP64" s="24" t="str">
        <f t="shared" ca="1" si="201"/>
        <v/>
      </c>
      <c r="FQ64" s="24" t="str">
        <f t="shared" ca="1" si="201"/>
        <v/>
      </c>
      <c r="FR64" s="24" t="str">
        <f t="shared" ca="1" si="201"/>
        <v/>
      </c>
      <c r="FS64" s="24" t="str">
        <f t="shared" ca="1" si="201"/>
        <v/>
      </c>
      <c r="FT64" s="24" t="str">
        <f t="shared" ca="1" si="201"/>
        <v/>
      </c>
      <c r="FU64" s="24" t="str">
        <f t="shared" ca="1" si="201"/>
        <v/>
      </c>
      <c r="FV64" s="24" t="str">
        <f t="shared" ca="1" si="201"/>
        <v/>
      </c>
      <c r="FW64" s="24" t="str">
        <f t="shared" ca="1" si="201"/>
        <v/>
      </c>
      <c r="FX64" s="24" t="str">
        <f t="shared" ca="1" si="202"/>
        <v/>
      </c>
      <c r="FY64" s="24" t="str">
        <f t="shared" ca="1" si="202"/>
        <v/>
      </c>
      <c r="FZ64" s="24" t="str">
        <f t="shared" ca="1" si="202"/>
        <v/>
      </c>
      <c r="GA64" s="24" t="str">
        <f t="shared" ca="1" si="202"/>
        <v/>
      </c>
      <c r="GB64" s="24" t="str">
        <f t="shared" ca="1" si="202"/>
        <v/>
      </c>
      <c r="GC64" s="24" t="str">
        <f t="shared" ca="1" si="202"/>
        <v/>
      </c>
      <c r="GD64" s="24" t="str">
        <f t="shared" ca="1" si="202"/>
        <v/>
      </c>
      <c r="GE64" s="24" t="str">
        <f t="shared" ca="1" si="202"/>
        <v/>
      </c>
      <c r="GF64" s="24" t="str">
        <f t="shared" ca="1" si="202"/>
        <v/>
      </c>
      <c r="GG64" s="24" t="str">
        <f t="shared" ca="1" si="202"/>
        <v/>
      </c>
      <c r="GH64" s="24" t="str">
        <f t="shared" ca="1" si="203"/>
        <v/>
      </c>
      <c r="GI64" s="24" t="str">
        <f t="shared" ca="1" si="203"/>
        <v/>
      </c>
      <c r="GJ64" s="24" t="str">
        <f t="shared" ca="1" si="203"/>
        <v/>
      </c>
      <c r="GK64" s="24" t="str">
        <f t="shared" ca="1" si="203"/>
        <v/>
      </c>
      <c r="GL64" s="24" t="str">
        <f t="shared" ca="1" si="203"/>
        <v/>
      </c>
      <c r="GM64" s="24" t="str">
        <f t="shared" ca="1" si="203"/>
        <v/>
      </c>
      <c r="GN64" s="24" t="str">
        <f t="shared" ca="1" si="203"/>
        <v/>
      </c>
      <c r="GO64" s="24" t="str">
        <f t="shared" ca="1" si="203"/>
        <v/>
      </c>
      <c r="GP64" s="24" t="str">
        <f t="shared" ca="1" si="203"/>
        <v/>
      </c>
      <c r="GQ64" s="24" t="str">
        <f t="shared" ca="1" si="203"/>
        <v/>
      </c>
      <c r="GR64" s="24" t="str">
        <f t="shared" ca="1" si="204"/>
        <v/>
      </c>
      <c r="GS64" s="24" t="str">
        <f t="shared" ca="1" si="204"/>
        <v/>
      </c>
      <c r="GT64" s="24" t="str">
        <f t="shared" ca="1" si="204"/>
        <v/>
      </c>
      <c r="GU64" s="24" t="str">
        <f t="shared" ca="1" si="204"/>
        <v/>
      </c>
      <c r="GV64" s="24" t="str">
        <f t="shared" ca="1" si="204"/>
        <v/>
      </c>
      <c r="GW64" s="24" t="str">
        <f t="shared" ca="1" si="204"/>
        <v/>
      </c>
      <c r="GX64" s="24" t="str">
        <f t="shared" ca="1" si="204"/>
        <v/>
      </c>
      <c r="GY64" s="24" t="str">
        <f t="shared" ca="1" si="204"/>
        <v/>
      </c>
      <c r="GZ64" s="24" t="str">
        <f t="shared" ca="1" si="204"/>
        <v/>
      </c>
      <c r="HA64" s="24" t="str">
        <f t="shared" ca="1" si="204"/>
        <v/>
      </c>
      <c r="HB64" s="24" t="str">
        <f t="shared" ca="1" si="205"/>
        <v/>
      </c>
      <c r="HC64" s="24" t="str">
        <f t="shared" ca="1" si="205"/>
        <v/>
      </c>
      <c r="HD64" s="24" t="str">
        <f t="shared" ca="1" si="205"/>
        <v/>
      </c>
      <c r="HE64" s="24" t="str">
        <f t="shared" ca="1" si="205"/>
        <v/>
      </c>
      <c r="HF64" s="24" t="str">
        <f t="shared" ca="1" si="205"/>
        <v/>
      </c>
      <c r="HG64" s="24" t="str">
        <f t="shared" ca="1" si="205"/>
        <v/>
      </c>
      <c r="HH64" s="24" t="str">
        <f t="shared" ca="1" si="205"/>
        <v/>
      </c>
      <c r="HI64" s="24" t="str">
        <f t="shared" ca="1" si="205"/>
        <v/>
      </c>
      <c r="HJ64" s="24" t="str">
        <f t="shared" ca="1" si="205"/>
        <v/>
      </c>
      <c r="HK64" s="24" t="str">
        <f t="shared" ca="1" si="205"/>
        <v/>
      </c>
      <c r="HL64" s="24" t="str">
        <f t="shared" ca="1" si="206"/>
        <v/>
      </c>
      <c r="HM64" s="24" t="str">
        <f t="shared" ca="1" si="206"/>
        <v/>
      </c>
      <c r="HN64" s="24" t="str">
        <f t="shared" ca="1" si="206"/>
        <v/>
      </c>
      <c r="HO64" s="24" t="str">
        <f t="shared" ca="1" si="206"/>
        <v/>
      </c>
      <c r="HP64" s="24" t="str">
        <f t="shared" ca="1" si="206"/>
        <v/>
      </c>
      <c r="HQ64" s="24" t="str">
        <f t="shared" ca="1" si="206"/>
        <v/>
      </c>
      <c r="HR64" s="24" t="str">
        <f t="shared" ca="1" si="206"/>
        <v/>
      </c>
      <c r="HS64" s="24" t="str">
        <f t="shared" ca="1" si="206"/>
        <v/>
      </c>
      <c r="HT64" s="24" t="str">
        <f t="shared" ca="1" si="206"/>
        <v/>
      </c>
      <c r="HU64" s="24" t="str">
        <f t="shared" ca="1" si="206"/>
        <v/>
      </c>
      <c r="HV64" s="24" t="str">
        <f t="shared" ca="1" si="207"/>
        <v/>
      </c>
      <c r="HW64" s="24" t="str">
        <f t="shared" ca="1" si="207"/>
        <v/>
      </c>
      <c r="HX64" s="24" t="str">
        <f t="shared" ca="1" si="207"/>
        <v/>
      </c>
      <c r="HY64" s="24" t="str">
        <f t="shared" ca="1" si="207"/>
        <v/>
      </c>
      <c r="HZ64" s="24" t="str">
        <f t="shared" ca="1" si="207"/>
        <v/>
      </c>
      <c r="IA64" s="24" t="str">
        <f t="shared" ca="1" si="207"/>
        <v/>
      </c>
      <c r="IB64" s="24" t="str">
        <f t="shared" ca="1" si="207"/>
        <v/>
      </c>
      <c r="IC64" s="24" t="str">
        <f t="shared" ca="1" si="207"/>
        <v/>
      </c>
      <c r="ID64" s="24" t="str">
        <f t="shared" ca="1" si="207"/>
        <v/>
      </c>
      <c r="IE64" s="24" t="str">
        <f t="shared" ca="1" si="207"/>
        <v/>
      </c>
      <c r="IF64" s="24" t="str">
        <f t="shared" ca="1" si="208"/>
        <v/>
      </c>
      <c r="IG64" s="24" t="str">
        <f t="shared" ca="1" si="208"/>
        <v/>
      </c>
      <c r="IH64" s="24" t="str">
        <f t="shared" ca="1" si="208"/>
        <v/>
      </c>
      <c r="II64" s="24" t="str">
        <f t="shared" ca="1" si="208"/>
        <v/>
      </c>
      <c r="IJ64" s="24" t="str">
        <f t="shared" ca="1" si="208"/>
        <v/>
      </c>
      <c r="IK64" s="24" t="str">
        <f t="shared" ca="1" si="208"/>
        <v/>
      </c>
      <c r="IL64" s="24" t="str">
        <f t="shared" ca="1" si="208"/>
        <v/>
      </c>
      <c r="IM64" s="24" t="str">
        <f t="shared" ca="1" si="208"/>
        <v/>
      </c>
      <c r="IN64" s="24" t="str">
        <f t="shared" ca="1" si="208"/>
        <v/>
      </c>
      <c r="IO64" s="24" t="str">
        <f t="shared" ca="1" si="208"/>
        <v/>
      </c>
      <c r="IP64" s="24" t="str">
        <f t="shared" ca="1" si="209"/>
        <v/>
      </c>
      <c r="IQ64" s="24" t="str">
        <f t="shared" ca="1" si="209"/>
        <v/>
      </c>
      <c r="IR64" s="24" t="str">
        <f t="shared" ca="1" si="209"/>
        <v/>
      </c>
      <c r="IS64" s="24" t="str">
        <f t="shared" ca="1" si="209"/>
        <v/>
      </c>
      <c r="IT64" s="24" t="str">
        <f t="shared" ca="1" si="209"/>
        <v/>
      </c>
      <c r="IU64" s="24" t="str">
        <f t="shared" ca="1" si="209"/>
        <v/>
      </c>
      <c r="IV64" s="24" t="str">
        <f t="shared" ca="1" si="209"/>
        <v/>
      </c>
      <c r="IW64" s="24" t="str">
        <f t="shared" ca="1" si="209"/>
        <v/>
      </c>
      <c r="IX64" s="24" t="str">
        <f t="shared" ca="1" si="209"/>
        <v/>
      </c>
      <c r="IY64" s="24" t="str">
        <f t="shared" ca="1" si="209"/>
        <v/>
      </c>
      <c r="IZ64" s="24" t="str">
        <f t="shared" ca="1" si="210"/>
        <v/>
      </c>
      <c r="JA64" s="24" t="str">
        <f t="shared" ca="1" si="210"/>
        <v/>
      </c>
      <c r="JB64" s="24" t="str">
        <f t="shared" ca="1" si="210"/>
        <v/>
      </c>
      <c r="JC64" s="24" t="str">
        <f t="shared" ca="1" si="210"/>
        <v/>
      </c>
      <c r="JD64" s="24" t="str">
        <f t="shared" ca="1" si="210"/>
        <v/>
      </c>
      <c r="JE64" s="24" t="str">
        <f t="shared" ca="1" si="210"/>
        <v/>
      </c>
      <c r="JF64" s="24" t="str">
        <f t="shared" ca="1" si="210"/>
        <v/>
      </c>
      <c r="JG64" s="24" t="str">
        <f t="shared" ca="1" si="210"/>
        <v/>
      </c>
      <c r="JH64" s="24" t="str">
        <f t="shared" ca="1" si="210"/>
        <v/>
      </c>
      <c r="JI64" s="24" t="str">
        <f t="shared" ca="1" si="210"/>
        <v/>
      </c>
      <c r="JJ64" s="24" t="str">
        <f t="shared" ca="1" si="211"/>
        <v/>
      </c>
      <c r="JK64" s="24" t="str">
        <f t="shared" ca="1" si="211"/>
        <v/>
      </c>
      <c r="JL64" s="24" t="str">
        <f t="shared" ca="1" si="211"/>
        <v/>
      </c>
      <c r="JM64" s="24" t="str">
        <f t="shared" ca="1" si="211"/>
        <v/>
      </c>
      <c r="JN64" s="24" t="str">
        <f t="shared" ca="1" si="211"/>
        <v/>
      </c>
      <c r="JO64" s="24" t="str">
        <f t="shared" ca="1" si="211"/>
        <v/>
      </c>
      <c r="JP64" s="24" t="str">
        <f t="shared" ca="1" si="211"/>
        <v/>
      </c>
      <c r="JQ64" s="24" t="str">
        <f t="shared" ca="1" si="211"/>
        <v/>
      </c>
      <c r="JR64" s="24" t="str">
        <f t="shared" ca="1" si="211"/>
        <v/>
      </c>
      <c r="JS64" s="24" t="str">
        <f t="shared" ca="1" si="211"/>
        <v/>
      </c>
      <c r="JT64" s="24" t="str">
        <f t="shared" ca="1" si="212"/>
        <v/>
      </c>
      <c r="JU64" s="24" t="str">
        <f t="shared" ca="1" si="212"/>
        <v/>
      </c>
      <c r="JV64" s="24" t="str">
        <f t="shared" ca="1" si="212"/>
        <v/>
      </c>
      <c r="JW64" s="24" t="str">
        <f t="shared" ca="1" si="212"/>
        <v/>
      </c>
      <c r="JX64" s="24" t="str">
        <f t="shared" ca="1" si="212"/>
        <v/>
      </c>
      <c r="JY64" s="24" t="str">
        <f t="shared" ca="1" si="212"/>
        <v/>
      </c>
      <c r="JZ64" s="24" t="str">
        <f t="shared" ca="1" si="212"/>
        <v/>
      </c>
      <c r="KA64" s="24" t="str">
        <f t="shared" ca="1" si="212"/>
        <v/>
      </c>
      <c r="KB64" s="24" t="str">
        <f t="shared" ca="1" si="212"/>
        <v/>
      </c>
      <c r="KC64" s="24" t="str">
        <f t="shared" ca="1" si="212"/>
        <v/>
      </c>
      <c r="KD64" s="24" t="str">
        <f t="shared" ca="1" si="213"/>
        <v/>
      </c>
      <c r="KE64" s="24" t="str">
        <f t="shared" ca="1" si="213"/>
        <v/>
      </c>
      <c r="KF64" s="24" t="str">
        <f t="shared" ca="1" si="213"/>
        <v/>
      </c>
      <c r="KG64" s="24" t="str">
        <f t="shared" ca="1" si="213"/>
        <v/>
      </c>
      <c r="KH64" s="24" t="str">
        <f t="shared" ca="1" si="213"/>
        <v/>
      </c>
      <c r="KI64" s="24" t="str">
        <f t="shared" ca="1" si="213"/>
        <v/>
      </c>
      <c r="KJ64" s="24" t="str">
        <f t="shared" ca="1" si="213"/>
        <v/>
      </c>
      <c r="KK64" s="24" t="str">
        <f t="shared" ca="1" si="213"/>
        <v/>
      </c>
      <c r="KL64" s="24" t="str">
        <f t="shared" ca="1" si="213"/>
        <v/>
      </c>
      <c r="KM64" s="24" t="str">
        <f t="shared" ca="1" si="213"/>
        <v/>
      </c>
      <c r="KN64" s="24" t="str">
        <f t="shared" ca="1" si="214"/>
        <v/>
      </c>
      <c r="KO64" s="24" t="str">
        <f t="shared" ca="1" si="214"/>
        <v/>
      </c>
      <c r="KP64" s="24" t="str">
        <f t="shared" ca="1" si="214"/>
        <v/>
      </c>
      <c r="KQ64" s="24" t="str">
        <f t="shared" ca="1" si="214"/>
        <v/>
      </c>
      <c r="KR64" s="24" t="str">
        <f t="shared" ca="1" si="214"/>
        <v/>
      </c>
      <c r="KS64" s="24" t="str">
        <f t="shared" ca="1" si="214"/>
        <v/>
      </c>
      <c r="KT64" s="24" t="str">
        <f t="shared" ca="1" si="214"/>
        <v/>
      </c>
      <c r="KU64" s="24" t="str">
        <f t="shared" ca="1" si="214"/>
        <v/>
      </c>
      <c r="KV64" s="24" t="str">
        <f t="shared" ca="1" si="214"/>
        <v/>
      </c>
      <c r="KW64" s="24" t="str">
        <f t="shared" ca="1" si="214"/>
        <v/>
      </c>
      <c r="KX64" s="24" t="str">
        <f t="shared" ca="1" si="215"/>
        <v/>
      </c>
      <c r="KY64" s="24" t="str">
        <f t="shared" ca="1" si="215"/>
        <v/>
      </c>
      <c r="KZ64" s="24" t="str">
        <f t="shared" ca="1" si="215"/>
        <v/>
      </c>
      <c r="LA64" s="24" t="str">
        <f t="shared" ca="1" si="215"/>
        <v/>
      </c>
      <c r="LB64" s="24" t="str">
        <f t="shared" ca="1" si="215"/>
        <v/>
      </c>
      <c r="LC64" s="24" t="str">
        <f t="shared" ca="1" si="215"/>
        <v/>
      </c>
      <c r="LD64" s="24" t="str">
        <f t="shared" ca="1" si="215"/>
        <v/>
      </c>
      <c r="LE64" s="24" t="str">
        <f t="shared" ca="1" si="215"/>
        <v/>
      </c>
      <c r="LF64" s="24" t="str">
        <f t="shared" ca="1" si="215"/>
        <v/>
      </c>
      <c r="LG64" s="24" t="str">
        <f t="shared" ca="1" si="215"/>
        <v/>
      </c>
      <c r="LH64" s="24" t="str">
        <f t="shared" ca="1" si="216"/>
        <v/>
      </c>
      <c r="LI64" s="24" t="str">
        <f t="shared" ca="1" si="216"/>
        <v/>
      </c>
      <c r="LJ64" s="24" t="str">
        <f t="shared" ca="1" si="216"/>
        <v/>
      </c>
      <c r="LK64" s="24" t="str">
        <f t="shared" ca="1" si="216"/>
        <v/>
      </c>
      <c r="LL64" s="24" t="str">
        <f t="shared" ca="1" si="216"/>
        <v/>
      </c>
      <c r="LM64" s="24" t="str">
        <f t="shared" ca="1" si="216"/>
        <v/>
      </c>
      <c r="LN64" s="24" t="str">
        <f t="shared" ca="1" si="216"/>
        <v/>
      </c>
      <c r="LO64" s="24" t="str">
        <f t="shared" ca="1" si="216"/>
        <v/>
      </c>
      <c r="LP64" s="24" t="str">
        <f t="shared" ca="1" si="216"/>
        <v/>
      </c>
      <c r="LQ64" s="24" t="str">
        <f t="shared" ca="1" si="216"/>
        <v/>
      </c>
      <c r="LR64" s="24" t="str">
        <f t="shared" ca="1" si="217"/>
        <v/>
      </c>
      <c r="LS64" s="24" t="str">
        <f t="shared" ca="1" si="217"/>
        <v/>
      </c>
      <c r="LT64" s="24" t="str">
        <f t="shared" ca="1" si="217"/>
        <v/>
      </c>
      <c r="LU64" s="24" t="str">
        <f t="shared" ca="1" si="217"/>
        <v/>
      </c>
      <c r="LV64" s="24" t="str">
        <f t="shared" ca="1" si="217"/>
        <v/>
      </c>
      <c r="LW64" s="24" t="str">
        <f t="shared" ca="1" si="217"/>
        <v/>
      </c>
      <c r="LX64" s="24" t="str">
        <f t="shared" ca="1" si="217"/>
        <v/>
      </c>
      <c r="LY64" s="24" t="str">
        <f t="shared" ca="1" si="217"/>
        <v/>
      </c>
      <c r="LZ64" s="24" t="str">
        <f t="shared" ca="1" si="217"/>
        <v/>
      </c>
      <c r="MA64" s="24" t="str">
        <f t="shared" ca="1" si="217"/>
        <v/>
      </c>
      <c r="MB64" s="24" t="str">
        <f t="shared" ca="1" si="218"/>
        <v/>
      </c>
      <c r="MC64" s="24" t="str">
        <f t="shared" ca="1" si="218"/>
        <v/>
      </c>
      <c r="MD64" s="24" t="str">
        <f t="shared" ca="1" si="218"/>
        <v/>
      </c>
      <c r="ME64" s="24" t="str">
        <f t="shared" ca="1" si="218"/>
        <v/>
      </c>
      <c r="MF64" s="24" t="str">
        <f t="shared" ca="1" si="218"/>
        <v/>
      </c>
      <c r="MG64" s="24" t="str">
        <f t="shared" ca="1" si="218"/>
        <v/>
      </c>
      <c r="MH64" s="24" t="str">
        <f t="shared" ca="1" si="218"/>
        <v/>
      </c>
      <c r="MI64" s="24" t="str">
        <f t="shared" ca="1" si="218"/>
        <v/>
      </c>
      <c r="MJ64" s="24" t="str">
        <f t="shared" ca="1" si="218"/>
        <v/>
      </c>
      <c r="MK64" s="24" t="str">
        <f t="shared" ca="1" si="218"/>
        <v/>
      </c>
      <c r="ML64" s="24" t="str">
        <f t="shared" ca="1" si="219"/>
        <v/>
      </c>
      <c r="MM64" s="24" t="str">
        <f t="shared" ca="1" si="219"/>
        <v/>
      </c>
      <c r="MN64" s="24" t="str">
        <f t="shared" ca="1" si="219"/>
        <v/>
      </c>
      <c r="MO64" s="24" t="str">
        <f t="shared" ca="1" si="219"/>
        <v/>
      </c>
      <c r="MP64" s="24" t="str">
        <f t="shared" ca="1" si="219"/>
        <v/>
      </c>
      <c r="MQ64" s="24" t="str">
        <f t="shared" ca="1" si="219"/>
        <v/>
      </c>
      <c r="MR64" s="24" t="str">
        <f t="shared" ca="1" si="219"/>
        <v/>
      </c>
      <c r="MS64" s="24" t="str">
        <f t="shared" ca="1" si="219"/>
        <v/>
      </c>
      <c r="MT64" s="24" t="str">
        <f t="shared" ca="1" si="219"/>
        <v/>
      </c>
      <c r="MU64" s="24" t="str">
        <f t="shared" ca="1" si="219"/>
        <v/>
      </c>
      <c r="MV64" s="24" t="str">
        <f t="shared" ca="1" si="220"/>
        <v/>
      </c>
      <c r="MW64" s="24" t="str">
        <f t="shared" ca="1" si="220"/>
        <v/>
      </c>
      <c r="MX64" s="24" t="str">
        <f t="shared" ca="1" si="220"/>
        <v/>
      </c>
      <c r="MY64" s="24" t="str">
        <f t="shared" ca="1" si="220"/>
        <v/>
      </c>
      <c r="MZ64" s="24" t="str">
        <f t="shared" ca="1" si="220"/>
        <v/>
      </c>
      <c r="NA64" s="24" t="str">
        <f t="shared" ca="1" si="220"/>
        <v/>
      </c>
      <c r="NB64" s="24" t="str">
        <f t="shared" ca="1" si="220"/>
        <v/>
      </c>
      <c r="NC64" s="24" t="str">
        <f t="shared" ca="1" si="220"/>
        <v/>
      </c>
      <c r="ND64" s="24" t="str">
        <f t="shared" ca="1" si="220"/>
        <v/>
      </c>
      <c r="NE64" s="24" t="str">
        <f t="shared" ca="1" si="220"/>
        <v/>
      </c>
      <c r="NF64" s="24" t="str">
        <f t="shared" ca="1" si="221"/>
        <v/>
      </c>
      <c r="NG64" s="24" t="str">
        <f t="shared" ca="1" si="221"/>
        <v/>
      </c>
      <c r="NH64" s="24" t="str">
        <f t="shared" ca="1" si="221"/>
        <v/>
      </c>
      <c r="NI64" s="24" t="str">
        <f t="shared" ca="1" si="221"/>
        <v/>
      </c>
      <c r="NJ64" s="24" t="str">
        <f t="shared" ca="1" si="221"/>
        <v/>
      </c>
      <c r="NK64" s="24" t="str">
        <f t="shared" ca="1" si="221"/>
        <v/>
      </c>
      <c r="NL64" s="24" t="str">
        <f t="shared" ca="1" si="221"/>
        <v/>
      </c>
      <c r="NM64" s="24" t="str">
        <f t="shared" ca="1" si="221"/>
        <v/>
      </c>
      <c r="NN64" s="24" t="str">
        <f t="shared" ca="1" si="221"/>
        <v/>
      </c>
      <c r="NO64" s="24" t="str">
        <f t="shared" ca="1" si="221"/>
        <v/>
      </c>
      <c r="NP64" s="24" t="str">
        <f t="shared" ca="1" si="222"/>
        <v/>
      </c>
      <c r="NQ64" s="24" t="str">
        <f t="shared" ca="1" si="222"/>
        <v/>
      </c>
      <c r="NR64" s="24" t="str">
        <f t="shared" ca="1" si="222"/>
        <v/>
      </c>
      <c r="NS64" s="24" t="str">
        <f t="shared" ca="1" si="222"/>
        <v/>
      </c>
      <c r="NT64" s="24" t="str">
        <f t="shared" ca="1" si="222"/>
        <v/>
      </c>
      <c r="NU64" s="24" t="str">
        <f t="shared" ca="1" si="222"/>
        <v/>
      </c>
      <c r="NV64" s="24" t="str">
        <f t="shared" ca="1" si="222"/>
        <v/>
      </c>
      <c r="NW64" s="24" t="str">
        <f t="shared" ca="1" si="222"/>
        <v/>
      </c>
      <c r="NX64" s="24" t="str">
        <f t="shared" ca="1" si="222"/>
        <v/>
      </c>
      <c r="NY64" s="24" t="str">
        <f t="shared" ca="1" si="222"/>
        <v/>
      </c>
      <c r="NZ64" s="24" t="str">
        <f t="shared" ca="1" si="223"/>
        <v/>
      </c>
      <c r="OA64" s="24" t="str">
        <f t="shared" ca="1" si="223"/>
        <v/>
      </c>
      <c r="OB64" s="24" t="str">
        <f t="shared" ca="1" si="223"/>
        <v/>
      </c>
      <c r="OC64" s="24" t="str">
        <f t="shared" ca="1" si="223"/>
        <v/>
      </c>
      <c r="OD64" s="24" t="str">
        <f t="shared" ca="1" si="223"/>
        <v/>
      </c>
      <c r="OE64" s="24" t="str">
        <f t="shared" ca="1" si="223"/>
        <v/>
      </c>
      <c r="OF64" s="24" t="str">
        <f t="shared" ca="1" si="223"/>
        <v/>
      </c>
      <c r="OG64" s="24" t="str">
        <f t="shared" ca="1" si="223"/>
        <v/>
      </c>
      <c r="OH64" s="24" t="str">
        <f t="shared" ca="1" si="223"/>
        <v/>
      </c>
      <c r="OI64" s="24" t="str">
        <f t="shared" ca="1" si="223"/>
        <v/>
      </c>
      <c r="OJ64" s="24" t="str">
        <f t="shared" ca="1" si="224"/>
        <v/>
      </c>
      <c r="OK64" s="24" t="str">
        <f t="shared" ca="1" si="224"/>
        <v/>
      </c>
      <c r="OL64" s="24" t="str">
        <f t="shared" ca="1" si="224"/>
        <v/>
      </c>
      <c r="OM64" s="24" t="str">
        <f t="shared" ca="1" si="224"/>
        <v/>
      </c>
      <c r="ON64" s="24" t="str">
        <f t="shared" ca="1" si="224"/>
        <v/>
      </c>
      <c r="OO64" s="24" t="str">
        <f t="shared" ca="1" si="224"/>
        <v/>
      </c>
      <c r="OP64" s="24" t="str">
        <f t="shared" ca="1" si="224"/>
        <v/>
      </c>
      <c r="OQ64" s="24" t="str">
        <f t="shared" ca="1" si="224"/>
        <v/>
      </c>
      <c r="OR64" s="24" t="str">
        <f t="shared" ca="1" si="224"/>
        <v/>
      </c>
      <c r="OS64" s="24" t="str">
        <f t="shared" ca="1" si="224"/>
        <v/>
      </c>
      <c r="OT64" s="24" t="str">
        <f t="shared" ca="1" si="225"/>
        <v/>
      </c>
      <c r="OU64" s="24" t="str">
        <f t="shared" ca="1" si="225"/>
        <v/>
      </c>
      <c r="OV64" s="24" t="str">
        <f t="shared" ca="1" si="225"/>
        <v/>
      </c>
      <c r="OW64" s="24" t="str">
        <f t="shared" ca="1" si="225"/>
        <v/>
      </c>
      <c r="OX64" s="24" t="str">
        <f t="shared" ca="1" si="225"/>
        <v/>
      </c>
      <c r="OY64" s="24" t="str">
        <f t="shared" ca="1" si="225"/>
        <v/>
      </c>
      <c r="OZ64" s="24" t="str">
        <f t="shared" ca="1" si="225"/>
        <v/>
      </c>
      <c r="PA64" s="24" t="str">
        <f t="shared" ca="1" si="225"/>
        <v/>
      </c>
      <c r="PB64" s="24" t="str">
        <f t="shared" ca="1" si="225"/>
        <v/>
      </c>
      <c r="PC64" s="24" t="str">
        <f t="shared" ca="1" si="225"/>
        <v/>
      </c>
      <c r="PD64" s="24" t="str">
        <f t="shared" ca="1" si="226"/>
        <v/>
      </c>
      <c r="PE64" s="24" t="str">
        <f t="shared" ca="1" si="226"/>
        <v/>
      </c>
      <c r="PF64" s="24" t="str">
        <f t="shared" ca="1" si="226"/>
        <v/>
      </c>
      <c r="PG64" s="24" t="str">
        <f t="shared" ca="1" si="226"/>
        <v/>
      </c>
      <c r="PH64" s="24" t="str">
        <f t="shared" ca="1" si="226"/>
        <v/>
      </c>
      <c r="PI64" s="24" t="str">
        <f t="shared" ca="1" si="226"/>
        <v/>
      </c>
      <c r="PJ64" s="24" t="str">
        <f t="shared" ca="1" si="226"/>
        <v/>
      </c>
      <c r="PK64" s="24" t="str">
        <f t="shared" ca="1" si="226"/>
        <v/>
      </c>
      <c r="PL64" s="24" t="str">
        <f t="shared" ca="1" si="226"/>
        <v/>
      </c>
      <c r="PM64" s="24" t="str">
        <f t="shared" ca="1" si="226"/>
        <v/>
      </c>
      <c r="PN64" s="24" t="str">
        <f t="shared" ca="1" si="227"/>
        <v/>
      </c>
      <c r="PO64" s="24" t="str">
        <f t="shared" ca="1" si="227"/>
        <v/>
      </c>
      <c r="PP64" s="24" t="str">
        <f t="shared" ca="1" si="227"/>
        <v/>
      </c>
      <c r="PQ64" s="24" t="str">
        <f t="shared" ca="1" si="227"/>
        <v/>
      </c>
      <c r="PR64" s="24" t="str">
        <f t="shared" ca="1" si="227"/>
        <v/>
      </c>
      <c r="PS64" s="24" t="str">
        <f t="shared" ca="1" si="227"/>
        <v/>
      </c>
      <c r="PT64" s="24" t="str">
        <f t="shared" ca="1" si="227"/>
        <v/>
      </c>
      <c r="PU64" s="24" t="str">
        <f t="shared" ca="1" si="227"/>
        <v/>
      </c>
      <c r="PV64" s="24" t="str">
        <f t="shared" ca="1" si="227"/>
        <v/>
      </c>
      <c r="PW64" s="24" t="str">
        <f t="shared" ca="1" si="227"/>
        <v/>
      </c>
      <c r="PX64" s="24" t="str">
        <f t="shared" ca="1" si="228"/>
        <v/>
      </c>
      <c r="PY64" s="24" t="str">
        <f t="shared" ca="1" si="228"/>
        <v/>
      </c>
      <c r="PZ64" s="24" t="str">
        <f t="shared" ca="1" si="228"/>
        <v/>
      </c>
      <c r="QA64" s="24" t="str">
        <f t="shared" ca="1" si="228"/>
        <v/>
      </c>
      <c r="QB64" s="24" t="str">
        <f t="shared" ca="1" si="228"/>
        <v/>
      </c>
      <c r="QC64" s="24" t="str">
        <f t="shared" ca="1" si="228"/>
        <v/>
      </c>
      <c r="QD64" s="24" t="str">
        <f t="shared" ca="1" si="228"/>
        <v/>
      </c>
      <c r="QE64" s="24" t="str">
        <f t="shared" ca="1" si="228"/>
        <v/>
      </c>
      <c r="QF64" s="24" t="str">
        <f t="shared" ca="1" si="228"/>
        <v/>
      </c>
      <c r="QG64" s="24" t="str">
        <f t="shared" ca="1" si="228"/>
        <v/>
      </c>
      <c r="QH64" s="24" t="str">
        <f t="shared" ca="1" si="229"/>
        <v/>
      </c>
      <c r="QI64" s="24" t="str">
        <f t="shared" ca="1" si="229"/>
        <v/>
      </c>
      <c r="QJ64" s="24" t="str">
        <f t="shared" ca="1" si="229"/>
        <v/>
      </c>
      <c r="QK64" s="24" t="str">
        <f t="shared" ca="1" si="229"/>
        <v/>
      </c>
      <c r="QL64" s="24" t="str">
        <f t="shared" ca="1" si="229"/>
        <v/>
      </c>
      <c r="QM64" s="24" t="str">
        <f t="shared" ca="1" si="229"/>
        <v/>
      </c>
      <c r="QN64" s="24" t="str">
        <f t="shared" ca="1" si="229"/>
        <v/>
      </c>
      <c r="QO64" s="24" t="str">
        <f t="shared" ca="1" si="229"/>
        <v/>
      </c>
      <c r="QP64" s="24" t="str">
        <f t="shared" ca="1" si="229"/>
        <v/>
      </c>
      <c r="QQ64" s="24" t="str">
        <f t="shared" ca="1" si="229"/>
        <v/>
      </c>
      <c r="QR64" s="24" t="str">
        <f t="shared" ca="1" si="230"/>
        <v/>
      </c>
      <c r="QS64" s="24" t="str">
        <f t="shared" ca="1" si="230"/>
        <v/>
      </c>
      <c r="QT64" s="24" t="str">
        <f t="shared" ca="1" si="230"/>
        <v/>
      </c>
      <c r="QU64" s="24" t="str">
        <f t="shared" ca="1" si="230"/>
        <v/>
      </c>
      <c r="QV64" s="24" t="str">
        <f t="shared" ca="1" si="230"/>
        <v/>
      </c>
      <c r="QW64" s="24" t="str">
        <f t="shared" ca="1" si="230"/>
        <v/>
      </c>
      <c r="QX64" s="24" t="str">
        <f t="shared" ca="1" si="230"/>
        <v/>
      </c>
      <c r="QY64" s="24" t="str">
        <f t="shared" ca="1" si="230"/>
        <v/>
      </c>
      <c r="QZ64" s="24" t="str">
        <f t="shared" ca="1" si="230"/>
        <v/>
      </c>
      <c r="RA64" s="24" t="str">
        <f t="shared" ca="1" si="230"/>
        <v/>
      </c>
      <c r="RB64" s="24" t="str">
        <f t="shared" ca="1" si="231"/>
        <v/>
      </c>
      <c r="RC64" s="24" t="str">
        <f t="shared" ca="1" si="231"/>
        <v/>
      </c>
      <c r="RD64" s="24" t="str">
        <f t="shared" ca="1" si="231"/>
        <v/>
      </c>
      <c r="RE64" s="24" t="str">
        <f t="shared" ca="1" si="231"/>
        <v/>
      </c>
      <c r="RF64" s="24" t="str">
        <f t="shared" ca="1" si="231"/>
        <v/>
      </c>
      <c r="RG64" s="24" t="str">
        <f t="shared" ca="1" si="231"/>
        <v/>
      </c>
      <c r="RH64" s="24" t="str">
        <f t="shared" ca="1" si="231"/>
        <v/>
      </c>
      <c r="RI64" s="24" t="str">
        <f t="shared" ca="1" si="231"/>
        <v/>
      </c>
      <c r="RJ64" s="24" t="str">
        <f t="shared" ca="1" si="231"/>
        <v/>
      </c>
      <c r="RK64" s="24" t="str">
        <f t="shared" ca="1" si="231"/>
        <v/>
      </c>
      <c r="RL64" s="24" t="str">
        <f t="shared" ca="1" si="232"/>
        <v/>
      </c>
      <c r="RM64" s="24" t="str">
        <f t="shared" ca="1" si="232"/>
        <v/>
      </c>
      <c r="RN64" s="24" t="str">
        <f t="shared" ca="1" si="232"/>
        <v/>
      </c>
      <c r="RO64" s="24" t="str">
        <f t="shared" ca="1" si="232"/>
        <v/>
      </c>
      <c r="RP64" s="24" t="str">
        <f t="shared" ca="1" si="232"/>
        <v/>
      </c>
      <c r="RQ64" s="24" t="str">
        <f t="shared" ca="1" si="232"/>
        <v/>
      </c>
      <c r="RR64" s="24" t="str">
        <f t="shared" ca="1" si="232"/>
        <v/>
      </c>
      <c r="RS64" s="24" t="str">
        <f t="shared" ca="1" si="232"/>
        <v/>
      </c>
      <c r="RT64" s="24" t="str">
        <f t="shared" ca="1" si="232"/>
        <v/>
      </c>
      <c r="RU64" s="24" t="str">
        <f t="shared" ca="1" si="232"/>
        <v/>
      </c>
      <c r="RV64" s="24" t="str">
        <f t="shared" ca="1" si="233"/>
        <v/>
      </c>
      <c r="RW64" s="24" t="str">
        <f t="shared" ca="1" si="233"/>
        <v/>
      </c>
      <c r="RX64" s="24" t="str">
        <f t="shared" ca="1" si="233"/>
        <v/>
      </c>
      <c r="RY64" s="24" t="str">
        <f t="shared" ca="1" si="233"/>
        <v/>
      </c>
      <c r="RZ64" s="24" t="str">
        <f t="shared" ca="1" si="233"/>
        <v/>
      </c>
      <c r="SA64" s="24" t="str">
        <f t="shared" ca="1" si="233"/>
        <v/>
      </c>
      <c r="SB64" s="24" t="str">
        <f t="shared" ca="1" si="233"/>
        <v/>
      </c>
      <c r="SC64" s="24" t="str">
        <f t="shared" ca="1" si="233"/>
        <v/>
      </c>
      <c r="SD64" s="24" t="str">
        <f t="shared" ca="1" si="233"/>
        <v/>
      </c>
      <c r="SE64" s="24" t="str">
        <f t="shared" ca="1" si="233"/>
        <v/>
      </c>
      <c r="SF64" s="24" t="str">
        <f t="shared" ca="1" si="234"/>
        <v/>
      </c>
      <c r="SG64" s="24" t="str">
        <f t="shared" ca="1" si="234"/>
        <v/>
      </c>
      <c r="SH64" s="24" t="str">
        <f t="shared" ca="1" si="234"/>
        <v/>
      </c>
      <c r="SI64" s="24" t="str">
        <f t="shared" ca="1" si="234"/>
        <v/>
      </c>
      <c r="SJ64" s="24" t="str">
        <f t="shared" ca="1" si="234"/>
        <v/>
      </c>
      <c r="SK64" s="24" t="str">
        <f t="shared" ca="1" si="234"/>
        <v/>
      </c>
      <c r="SL64" s="24" t="str">
        <f t="shared" ca="1" si="234"/>
        <v/>
      </c>
      <c r="SM64" s="24" t="str">
        <f t="shared" ca="1" si="234"/>
        <v/>
      </c>
      <c r="SN64" s="24" t="str">
        <f t="shared" ca="1" si="234"/>
        <v/>
      </c>
      <c r="SO64" s="24" t="str">
        <f t="shared" ca="1" si="234"/>
        <v/>
      </c>
      <c r="SP64" s="24" t="str">
        <f t="shared" ca="1" si="235"/>
        <v/>
      </c>
      <c r="SQ64" s="24" t="str">
        <f t="shared" ca="1" si="235"/>
        <v/>
      </c>
      <c r="SR64" s="24" t="str">
        <f t="shared" ca="1" si="235"/>
        <v/>
      </c>
      <c r="SS64" s="24" t="str">
        <f t="shared" ca="1" si="235"/>
        <v/>
      </c>
      <c r="ST64" s="24" t="str">
        <f t="shared" ca="1" si="235"/>
        <v/>
      </c>
      <c r="SU64" s="24" t="str">
        <f t="shared" ca="1" si="235"/>
        <v/>
      </c>
      <c r="SV64" s="24" t="str">
        <f t="shared" ca="1" si="235"/>
        <v/>
      </c>
      <c r="SW64" s="24" t="str">
        <f t="shared" ca="1" si="235"/>
        <v/>
      </c>
      <c r="SX64" s="24" t="str">
        <f t="shared" ca="1" si="235"/>
        <v/>
      </c>
      <c r="SY64" s="24" t="str">
        <f t="shared" ca="1" si="235"/>
        <v/>
      </c>
      <c r="SZ64" s="24" t="str">
        <f t="shared" ca="1" si="236"/>
        <v/>
      </c>
      <c r="TA64" s="24" t="str">
        <f t="shared" ca="1" si="236"/>
        <v/>
      </c>
      <c r="TB64" s="24" t="str">
        <f t="shared" ca="1" si="236"/>
        <v/>
      </c>
      <c r="TC64" s="24" t="str">
        <f t="shared" ca="1" si="236"/>
        <v/>
      </c>
      <c r="TD64" s="24" t="str">
        <f t="shared" ca="1" si="236"/>
        <v/>
      </c>
      <c r="TE64" s="24" t="str">
        <f t="shared" ca="1" si="236"/>
        <v/>
      </c>
      <c r="TF64" s="24" t="str">
        <f t="shared" ca="1" si="236"/>
        <v/>
      </c>
      <c r="TG64" s="24" t="str">
        <f t="shared" ca="1" si="236"/>
        <v/>
      </c>
      <c r="TH64" s="24" t="str">
        <f t="shared" ca="1" si="236"/>
        <v/>
      </c>
      <c r="TI64" s="24" t="str">
        <f t="shared" ca="1" si="236"/>
        <v/>
      </c>
      <c r="TJ64" s="24" t="str">
        <f t="shared" ca="1" si="237"/>
        <v/>
      </c>
      <c r="TK64" s="24" t="str">
        <f t="shared" ca="1" si="237"/>
        <v/>
      </c>
      <c r="TL64" s="24" t="str">
        <f t="shared" ca="1" si="237"/>
        <v/>
      </c>
      <c r="TM64" s="24" t="str">
        <f t="shared" ca="1" si="237"/>
        <v/>
      </c>
      <c r="TN64" s="24" t="str">
        <f t="shared" ca="1" si="237"/>
        <v/>
      </c>
      <c r="TO64" s="24" t="str">
        <f t="shared" ca="1" si="237"/>
        <v/>
      </c>
      <c r="TP64" s="24" t="str">
        <f t="shared" ca="1" si="237"/>
        <v/>
      </c>
      <c r="TQ64" s="24" t="str">
        <f t="shared" ca="1" si="237"/>
        <v/>
      </c>
      <c r="TR64" s="24" t="str">
        <f t="shared" ca="1" si="237"/>
        <v/>
      </c>
      <c r="TS64" s="24" t="str">
        <f t="shared" ca="1" si="237"/>
        <v/>
      </c>
      <c r="TT64" s="24" t="str">
        <f t="shared" ca="1" si="238"/>
        <v/>
      </c>
      <c r="TU64" s="24" t="str">
        <f t="shared" ca="1" si="238"/>
        <v/>
      </c>
      <c r="TV64" s="24" t="str">
        <f t="shared" ca="1" si="238"/>
        <v/>
      </c>
      <c r="TW64" s="24" t="str">
        <f t="shared" ca="1" si="238"/>
        <v/>
      </c>
      <c r="TX64" s="24" t="str">
        <f t="shared" ca="1" si="238"/>
        <v/>
      </c>
      <c r="TY64" s="24" t="str">
        <f t="shared" ca="1" si="238"/>
        <v/>
      </c>
      <c r="TZ64" s="24" t="str">
        <f t="shared" ca="1" si="238"/>
        <v/>
      </c>
      <c r="UA64" s="24" t="str">
        <f t="shared" ca="1" si="238"/>
        <v/>
      </c>
      <c r="UB64" s="24" t="str">
        <f t="shared" ca="1" si="238"/>
        <v/>
      </c>
      <c r="UC64" s="24" t="str">
        <f t="shared" ca="1" si="238"/>
        <v/>
      </c>
      <c r="UD64" s="24" t="str">
        <f t="shared" ca="1" si="239"/>
        <v/>
      </c>
      <c r="UE64" s="24" t="str">
        <f t="shared" ca="1" si="239"/>
        <v/>
      </c>
      <c r="UF64" s="24" t="str">
        <f t="shared" ca="1" si="239"/>
        <v/>
      </c>
      <c r="UG64" s="24" t="str">
        <f t="shared" ca="1" si="239"/>
        <v/>
      </c>
      <c r="UH64" s="24" t="str">
        <f t="shared" ca="1" si="239"/>
        <v/>
      </c>
      <c r="UI64" s="24" t="str">
        <f t="shared" ca="1" si="239"/>
        <v/>
      </c>
      <c r="UJ64" s="24" t="str">
        <f t="shared" ca="1" si="239"/>
        <v/>
      </c>
      <c r="UK64" s="24" t="str">
        <f t="shared" ca="1" si="239"/>
        <v/>
      </c>
      <c r="UL64" s="24" t="str">
        <f t="shared" ca="1" si="239"/>
        <v/>
      </c>
      <c r="UM64" s="24" t="str">
        <f t="shared" ca="1" si="239"/>
        <v/>
      </c>
      <c r="UN64" s="24" t="str">
        <f t="shared" ca="1" si="240"/>
        <v/>
      </c>
      <c r="UO64" s="24" t="str">
        <f t="shared" ca="1" si="240"/>
        <v/>
      </c>
      <c r="UP64" s="24" t="str">
        <f t="shared" ca="1" si="240"/>
        <v/>
      </c>
      <c r="UQ64" s="24" t="str">
        <f t="shared" ca="1" si="240"/>
        <v/>
      </c>
      <c r="UR64" s="24" t="str">
        <f t="shared" ca="1" si="240"/>
        <v/>
      </c>
      <c r="US64" s="24" t="str">
        <f t="shared" ca="1" si="240"/>
        <v/>
      </c>
      <c r="UT64" s="24" t="str">
        <f t="shared" ca="1" si="240"/>
        <v/>
      </c>
      <c r="UU64" s="24" t="str">
        <f t="shared" ca="1" si="240"/>
        <v/>
      </c>
      <c r="UV64" s="24" t="str">
        <f t="shared" ca="1" si="240"/>
        <v/>
      </c>
      <c r="UW64" s="24" t="str">
        <f t="shared" ca="1" si="240"/>
        <v/>
      </c>
      <c r="UX64" s="24" t="str">
        <f t="shared" ca="1" si="241"/>
        <v/>
      </c>
      <c r="UY64" s="24" t="str">
        <f t="shared" ca="1" si="241"/>
        <v/>
      </c>
      <c r="UZ64" s="24" t="str">
        <f t="shared" ca="1" si="241"/>
        <v/>
      </c>
      <c r="VA64" s="24" t="str">
        <f t="shared" ca="1" si="241"/>
        <v/>
      </c>
      <c r="VB64" s="24" t="str">
        <f t="shared" ca="1" si="241"/>
        <v/>
      </c>
      <c r="VC64" s="24" t="str">
        <f t="shared" ca="1" si="241"/>
        <v/>
      </c>
      <c r="VD64" s="24" t="str">
        <f t="shared" ca="1" si="241"/>
        <v/>
      </c>
      <c r="VE64" s="24" t="str">
        <f t="shared" ca="1" si="241"/>
        <v/>
      </c>
      <c r="VF64" s="24" t="str">
        <f t="shared" ca="1" si="241"/>
        <v/>
      </c>
      <c r="VG64" s="24" t="str">
        <f t="shared" ca="1" si="241"/>
        <v/>
      </c>
      <c r="VH64" s="24" t="str">
        <f t="shared" ca="1" si="242"/>
        <v/>
      </c>
      <c r="VI64" s="24" t="str">
        <f t="shared" ca="1" si="242"/>
        <v/>
      </c>
      <c r="VJ64" s="24" t="str">
        <f t="shared" ca="1" si="242"/>
        <v/>
      </c>
      <c r="VK64" s="24" t="str">
        <f t="shared" ca="1" si="242"/>
        <v/>
      </c>
      <c r="VL64" s="24" t="str">
        <f t="shared" ca="1" si="242"/>
        <v/>
      </c>
      <c r="VM64" s="24" t="str">
        <f t="shared" ca="1" si="242"/>
        <v/>
      </c>
      <c r="VN64" s="24" t="str">
        <f t="shared" ca="1" si="242"/>
        <v/>
      </c>
      <c r="VO64" s="24" t="str">
        <f t="shared" ca="1" si="242"/>
        <v/>
      </c>
      <c r="VP64" s="24" t="str">
        <f t="shared" ca="1" si="242"/>
        <v/>
      </c>
      <c r="VQ64" s="24" t="str">
        <f t="shared" ca="1" si="242"/>
        <v/>
      </c>
      <c r="VR64" s="24" t="str">
        <f t="shared" ca="1" si="242"/>
        <v/>
      </c>
      <c r="VS64" s="24" t="str">
        <f t="shared" ca="1" si="242"/>
        <v/>
      </c>
    </row>
    <row r="65" spans="1:591" s="17" customFormat="1" ht="21.6" customHeight="1" x14ac:dyDescent="0.3">
      <c r="A65" s="81"/>
      <c r="B65" s="28" t="s">
        <v>92</v>
      </c>
      <c r="C65" s="19" t="s">
        <v>71</v>
      </c>
      <c r="D65" s="19"/>
      <c r="E65" s="27"/>
      <c r="F65" s="26">
        <f>F64+42</f>
        <v>46204</v>
      </c>
      <c r="G65" s="26">
        <f>Milestones43524[[#This Row],[Start]]+Milestones43524[[#This Row],[Days]]</f>
        <v>46205</v>
      </c>
      <c r="H65" s="25">
        <v>1</v>
      </c>
      <c r="I65" s="19"/>
      <c r="J65" s="24" t="str">
        <f t="shared" ca="1" si="185"/>
        <v/>
      </c>
      <c r="K65" s="24" t="str">
        <f t="shared" ca="1" si="185"/>
        <v/>
      </c>
      <c r="L65" s="24" t="str">
        <f t="shared" ca="1" si="185"/>
        <v/>
      </c>
      <c r="M65" s="24" t="str">
        <f t="shared" ca="1" si="185"/>
        <v/>
      </c>
      <c r="N65" s="24" t="str">
        <f t="shared" ca="1" si="185"/>
        <v/>
      </c>
      <c r="O65" s="24" t="str">
        <f t="shared" ca="1" si="185"/>
        <v/>
      </c>
      <c r="P65" s="24" t="str">
        <f t="shared" ca="1" si="185"/>
        <v/>
      </c>
      <c r="Q65" s="24" t="str">
        <f t="shared" ca="1" si="185"/>
        <v/>
      </c>
      <c r="R65" s="24" t="str">
        <f t="shared" ca="1" si="185"/>
        <v/>
      </c>
      <c r="S65" s="24" t="str">
        <f t="shared" ca="1" si="185"/>
        <v/>
      </c>
      <c r="T65" s="24" t="str">
        <f t="shared" ca="1" si="186"/>
        <v/>
      </c>
      <c r="U65" s="24" t="str">
        <f t="shared" ca="1" si="186"/>
        <v/>
      </c>
      <c r="V65" s="24" t="str">
        <f t="shared" ca="1" si="186"/>
        <v/>
      </c>
      <c r="W65" s="24" t="str">
        <f t="shared" ca="1" si="186"/>
        <v/>
      </c>
      <c r="X65" s="24" t="str">
        <f t="shared" ca="1" si="186"/>
        <v/>
      </c>
      <c r="Y65" s="24" t="str">
        <f t="shared" ca="1" si="186"/>
        <v/>
      </c>
      <c r="Z65" s="24" t="str">
        <f t="shared" ca="1" si="186"/>
        <v/>
      </c>
      <c r="AA65" s="24" t="str">
        <f t="shared" ca="1" si="186"/>
        <v/>
      </c>
      <c r="AB65" s="24" t="str">
        <f t="shared" ca="1" si="186"/>
        <v/>
      </c>
      <c r="AC65" s="24" t="str">
        <f t="shared" ca="1" si="186"/>
        <v/>
      </c>
      <c r="AD65" s="24" t="str">
        <f t="shared" ca="1" si="187"/>
        <v/>
      </c>
      <c r="AE65" s="24" t="str">
        <f t="shared" ca="1" si="187"/>
        <v/>
      </c>
      <c r="AF65" s="24" t="str">
        <f t="shared" ca="1" si="187"/>
        <v/>
      </c>
      <c r="AG65" s="24" t="str">
        <f t="shared" ca="1" si="187"/>
        <v/>
      </c>
      <c r="AH65" s="24" t="str">
        <f t="shared" ca="1" si="187"/>
        <v/>
      </c>
      <c r="AI65" s="24" t="str">
        <f t="shared" ca="1" si="187"/>
        <v/>
      </c>
      <c r="AJ65" s="24" t="str">
        <f t="shared" ca="1" si="187"/>
        <v/>
      </c>
      <c r="AK65" s="24" t="str">
        <f t="shared" ca="1" si="187"/>
        <v/>
      </c>
      <c r="AL65" s="24" t="str">
        <f t="shared" ca="1" si="187"/>
        <v/>
      </c>
      <c r="AM65" s="24" t="str">
        <f t="shared" ca="1" si="187"/>
        <v/>
      </c>
      <c r="AN65" s="24" t="str">
        <f t="shared" ca="1" si="188"/>
        <v/>
      </c>
      <c r="AO65" s="24" t="str">
        <f t="shared" ca="1" si="188"/>
        <v/>
      </c>
      <c r="AP65" s="24" t="str">
        <f t="shared" ca="1" si="188"/>
        <v/>
      </c>
      <c r="AQ65" s="24" t="str">
        <f t="shared" ca="1" si="188"/>
        <v/>
      </c>
      <c r="AR65" s="24" t="str">
        <f t="shared" ca="1" si="188"/>
        <v/>
      </c>
      <c r="AS65" s="24" t="str">
        <f t="shared" ca="1" si="188"/>
        <v/>
      </c>
      <c r="AT65" s="24" t="str">
        <f t="shared" ca="1" si="188"/>
        <v/>
      </c>
      <c r="AU65" s="24" t="str">
        <f t="shared" ca="1" si="188"/>
        <v/>
      </c>
      <c r="AV65" s="24" t="str">
        <f t="shared" ca="1" si="188"/>
        <v/>
      </c>
      <c r="AW65" s="24" t="str">
        <f t="shared" ca="1" si="188"/>
        <v/>
      </c>
      <c r="AX65" s="24" t="str">
        <f t="shared" ca="1" si="189"/>
        <v/>
      </c>
      <c r="AY65" s="24" t="str">
        <f t="shared" ca="1" si="189"/>
        <v/>
      </c>
      <c r="AZ65" s="24" t="str">
        <f t="shared" ca="1" si="189"/>
        <v/>
      </c>
      <c r="BA65" s="24" t="str">
        <f t="shared" ca="1" si="189"/>
        <v/>
      </c>
      <c r="BB65" s="24" t="str">
        <f t="shared" ca="1" si="189"/>
        <v/>
      </c>
      <c r="BC65" s="24" t="str">
        <f t="shared" ca="1" si="189"/>
        <v/>
      </c>
      <c r="BD65" s="24" t="str">
        <f t="shared" ca="1" si="189"/>
        <v/>
      </c>
      <c r="BE65" s="24" t="str">
        <f t="shared" ca="1" si="189"/>
        <v/>
      </c>
      <c r="BF65" s="24" t="str">
        <f t="shared" ca="1" si="189"/>
        <v/>
      </c>
      <c r="BG65" s="24" t="str">
        <f t="shared" ca="1" si="189"/>
        <v/>
      </c>
      <c r="BH65" s="24" t="str">
        <f t="shared" ca="1" si="190"/>
        <v/>
      </c>
      <c r="BI65" s="24" t="str">
        <f t="shared" ca="1" si="190"/>
        <v/>
      </c>
      <c r="BJ65" s="24" t="str">
        <f t="shared" ca="1" si="190"/>
        <v/>
      </c>
      <c r="BK65" s="24" t="str">
        <f t="shared" ca="1" si="190"/>
        <v/>
      </c>
      <c r="BL65" s="24" t="str">
        <f t="shared" ca="1" si="190"/>
        <v/>
      </c>
      <c r="BM65" s="24" t="str">
        <f t="shared" ca="1" si="190"/>
        <v/>
      </c>
      <c r="BN65" s="24" t="str">
        <f t="shared" ca="1" si="190"/>
        <v/>
      </c>
      <c r="BO65" s="24" t="str">
        <f t="shared" ca="1" si="190"/>
        <v/>
      </c>
      <c r="BP65" s="24" t="str">
        <f t="shared" ca="1" si="190"/>
        <v/>
      </c>
      <c r="BQ65" s="24" t="str">
        <f t="shared" ca="1" si="190"/>
        <v/>
      </c>
      <c r="BR65" s="24" t="str">
        <f t="shared" ca="1" si="191"/>
        <v/>
      </c>
      <c r="BS65" s="24" t="str">
        <f t="shared" ca="1" si="191"/>
        <v/>
      </c>
      <c r="BT65" s="24" t="str">
        <f t="shared" ca="1" si="191"/>
        <v/>
      </c>
      <c r="BU65" s="24" t="str">
        <f t="shared" ca="1" si="191"/>
        <v/>
      </c>
      <c r="BV65" s="24" t="str">
        <f t="shared" ca="1" si="191"/>
        <v/>
      </c>
      <c r="BW65" s="24" t="str">
        <f t="shared" ca="1" si="191"/>
        <v/>
      </c>
      <c r="BX65" s="24" t="str">
        <f t="shared" ca="1" si="191"/>
        <v/>
      </c>
      <c r="BY65" s="24" t="str">
        <f t="shared" ca="1" si="191"/>
        <v/>
      </c>
      <c r="BZ65" s="24" t="str">
        <f t="shared" ca="1" si="191"/>
        <v/>
      </c>
      <c r="CA65" s="24" t="str">
        <f t="shared" ca="1" si="191"/>
        <v/>
      </c>
      <c r="CB65" s="24" t="str">
        <f t="shared" ca="1" si="192"/>
        <v/>
      </c>
      <c r="CC65" s="24" t="str">
        <f t="shared" ca="1" si="192"/>
        <v/>
      </c>
      <c r="CD65" s="24" t="str">
        <f t="shared" ca="1" si="192"/>
        <v/>
      </c>
      <c r="CE65" s="24" t="str">
        <f t="shared" ca="1" si="192"/>
        <v/>
      </c>
      <c r="CF65" s="24" t="str">
        <f t="shared" ca="1" si="192"/>
        <v/>
      </c>
      <c r="CG65" s="24" t="str">
        <f t="shared" ca="1" si="192"/>
        <v/>
      </c>
      <c r="CH65" s="24" t="str">
        <f t="shared" ca="1" si="192"/>
        <v/>
      </c>
      <c r="CI65" s="24" t="str">
        <f t="shared" ca="1" si="192"/>
        <v/>
      </c>
      <c r="CJ65" s="24" t="str">
        <f t="shared" ca="1" si="192"/>
        <v/>
      </c>
      <c r="CK65" s="24" t="str">
        <f t="shared" ca="1" si="192"/>
        <v/>
      </c>
      <c r="CL65" s="24" t="str">
        <f t="shared" ca="1" si="193"/>
        <v/>
      </c>
      <c r="CM65" s="24" t="str">
        <f t="shared" ca="1" si="193"/>
        <v/>
      </c>
      <c r="CN65" s="24" t="str">
        <f t="shared" ca="1" si="193"/>
        <v/>
      </c>
      <c r="CO65" s="24" t="str">
        <f t="shared" ca="1" si="193"/>
        <v/>
      </c>
      <c r="CP65" s="24" t="str">
        <f t="shared" ca="1" si="193"/>
        <v/>
      </c>
      <c r="CQ65" s="24" t="str">
        <f t="shared" ca="1" si="193"/>
        <v/>
      </c>
      <c r="CR65" s="24" t="str">
        <f t="shared" ca="1" si="193"/>
        <v/>
      </c>
      <c r="CS65" s="24" t="str">
        <f t="shared" ca="1" si="193"/>
        <v/>
      </c>
      <c r="CT65" s="24" t="str">
        <f t="shared" ca="1" si="193"/>
        <v/>
      </c>
      <c r="CU65" s="24" t="str">
        <f t="shared" ca="1" si="193"/>
        <v/>
      </c>
      <c r="CV65" s="24" t="str">
        <f t="shared" ca="1" si="194"/>
        <v/>
      </c>
      <c r="CW65" s="24" t="str">
        <f t="shared" ca="1" si="194"/>
        <v/>
      </c>
      <c r="CX65" s="24" t="str">
        <f t="shared" ca="1" si="194"/>
        <v/>
      </c>
      <c r="CY65" s="24" t="str">
        <f t="shared" ca="1" si="194"/>
        <v/>
      </c>
      <c r="CZ65" s="24" t="str">
        <f t="shared" ca="1" si="194"/>
        <v/>
      </c>
      <c r="DA65" s="24" t="str">
        <f t="shared" ca="1" si="194"/>
        <v/>
      </c>
      <c r="DB65" s="24" t="str">
        <f t="shared" ca="1" si="194"/>
        <v/>
      </c>
      <c r="DC65" s="24" t="str">
        <f t="shared" ca="1" si="194"/>
        <v/>
      </c>
      <c r="DD65" s="24" t="str">
        <f t="shared" ca="1" si="194"/>
        <v/>
      </c>
      <c r="DE65" s="24" t="str">
        <f t="shared" ca="1" si="194"/>
        <v/>
      </c>
      <c r="DF65" s="24" t="str">
        <f t="shared" ca="1" si="195"/>
        <v/>
      </c>
      <c r="DG65" s="24" t="str">
        <f t="shared" ca="1" si="195"/>
        <v/>
      </c>
      <c r="DH65" s="24" t="str">
        <f t="shared" ca="1" si="195"/>
        <v/>
      </c>
      <c r="DI65" s="24" t="str">
        <f t="shared" ca="1" si="195"/>
        <v/>
      </c>
      <c r="DJ65" s="24" t="str">
        <f t="shared" ca="1" si="195"/>
        <v/>
      </c>
      <c r="DK65" s="24" t="str">
        <f t="shared" ca="1" si="195"/>
        <v/>
      </c>
      <c r="DL65" s="24" t="str">
        <f t="shared" ca="1" si="195"/>
        <v/>
      </c>
      <c r="DM65" s="24" t="str">
        <f t="shared" ca="1" si="195"/>
        <v/>
      </c>
      <c r="DN65" s="24" t="str">
        <f t="shared" ca="1" si="195"/>
        <v/>
      </c>
      <c r="DO65" s="24" t="str">
        <f t="shared" ca="1" si="195"/>
        <v/>
      </c>
      <c r="DP65" s="24" t="str">
        <f t="shared" ca="1" si="196"/>
        <v/>
      </c>
      <c r="DQ65" s="24" t="str">
        <f t="shared" ca="1" si="196"/>
        <v/>
      </c>
      <c r="DR65" s="24" t="str">
        <f t="shared" ca="1" si="196"/>
        <v/>
      </c>
      <c r="DS65" s="24" t="str">
        <f t="shared" ca="1" si="196"/>
        <v/>
      </c>
      <c r="DT65" s="24" t="str">
        <f t="shared" ca="1" si="196"/>
        <v/>
      </c>
      <c r="DU65" s="24" t="str">
        <f t="shared" ca="1" si="196"/>
        <v/>
      </c>
      <c r="DV65" s="24" t="str">
        <f t="shared" ca="1" si="196"/>
        <v/>
      </c>
      <c r="DW65" s="24" t="str">
        <f t="shared" ca="1" si="196"/>
        <v/>
      </c>
      <c r="DX65" s="24" t="str">
        <f t="shared" ca="1" si="196"/>
        <v/>
      </c>
      <c r="DY65" s="24" t="str">
        <f t="shared" ca="1" si="196"/>
        <v/>
      </c>
      <c r="DZ65" s="24" t="str">
        <f t="shared" ca="1" si="197"/>
        <v/>
      </c>
      <c r="EA65" s="24" t="str">
        <f t="shared" ca="1" si="197"/>
        <v/>
      </c>
      <c r="EB65" s="24" t="str">
        <f t="shared" ca="1" si="197"/>
        <v/>
      </c>
      <c r="EC65" s="24" t="str">
        <f t="shared" ca="1" si="197"/>
        <v/>
      </c>
      <c r="ED65" s="24" t="str">
        <f t="shared" ca="1" si="197"/>
        <v/>
      </c>
      <c r="EE65" s="24" t="str">
        <f t="shared" ca="1" si="197"/>
        <v/>
      </c>
      <c r="EF65" s="24" t="str">
        <f t="shared" ca="1" si="197"/>
        <v/>
      </c>
      <c r="EG65" s="24" t="str">
        <f t="shared" ca="1" si="197"/>
        <v/>
      </c>
      <c r="EH65" s="24" t="str">
        <f t="shared" ca="1" si="197"/>
        <v/>
      </c>
      <c r="EI65" s="24" t="str">
        <f t="shared" ca="1" si="197"/>
        <v/>
      </c>
      <c r="EJ65" s="24" t="str">
        <f t="shared" ca="1" si="198"/>
        <v/>
      </c>
      <c r="EK65" s="24" t="str">
        <f t="shared" ca="1" si="198"/>
        <v/>
      </c>
      <c r="EL65" s="24" t="str">
        <f t="shared" ca="1" si="198"/>
        <v/>
      </c>
      <c r="EM65" s="24" t="str">
        <f t="shared" ca="1" si="198"/>
        <v/>
      </c>
      <c r="EN65" s="24" t="str">
        <f t="shared" ca="1" si="198"/>
        <v/>
      </c>
      <c r="EO65" s="24" t="str">
        <f t="shared" ca="1" si="198"/>
        <v/>
      </c>
      <c r="EP65" s="24" t="str">
        <f t="shared" ca="1" si="198"/>
        <v/>
      </c>
      <c r="EQ65" s="24" t="str">
        <f t="shared" ca="1" si="198"/>
        <v/>
      </c>
      <c r="ER65" s="24" t="str">
        <f t="shared" ca="1" si="198"/>
        <v/>
      </c>
      <c r="ES65" s="24" t="str">
        <f t="shared" ca="1" si="198"/>
        <v/>
      </c>
      <c r="ET65" s="24" t="str">
        <f t="shared" ca="1" si="199"/>
        <v/>
      </c>
      <c r="EU65" s="24" t="str">
        <f t="shared" ca="1" si="199"/>
        <v/>
      </c>
      <c r="EV65" s="24" t="str">
        <f t="shared" ca="1" si="199"/>
        <v/>
      </c>
      <c r="EW65" s="24" t="str">
        <f t="shared" ca="1" si="199"/>
        <v/>
      </c>
      <c r="EX65" s="24" t="str">
        <f t="shared" ca="1" si="199"/>
        <v/>
      </c>
      <c r="EY65" s="24" t="str">
        <f t="shared" ca="1" si="199"/>
        <v/>
      </c>
      <c r="EZ65" s="24" t="str">
        <f t="shared" ca="1" si="199"/>
        <v/>
      </c>
      <c r="FA65" s="24" t="str">
        <f t="shared" ca="1" si="199"/>
        <v/>
      </c>
      <c r="FB65" s="24" t="str">
        <f t="shared" ca="1" si="199"/>
        <v/>
      </c>
      <c r="FC65" s="24" t="str">
        <f t="shared" ca="1" si="199"/>
        <v/>
      </c>
      <c r="FD65" s="24" t="str">
        <f t="shared" ca="1" si="200"/>
        <v/>
      </c>
      <c r="FE65" s="24" t="str">
        <f t="shared" ca="1" si="200"/>
        <v/>
      </c>
      <c r="FF65" s="24" t="str">
        <f t="shared" ca="1" si="200"/>
        <v/>
      </c>
      <c r="FG65" s="24" t="str">
        <f t="shared" ca="1" si="200"/>
        <v/>
      </c>
      <c r="FH65" s="24" t="str">
        <f t="shared" ca="1" si="200"/>
        <v/>
      </c>
      <c r="FI65" s="24" t="str">
        <f t="shared" ca="1" si="200"/>
        <v/>
      </c>
      <c r="FJ65" s="24" t="str">
        <f t="shared" ca="1" si="200"/>
        <v/>
      </c>
      <c r="FK65" s="24" t="str">
        <f t="shared" ca="1" si="200"/>
        <v/>
      </c>
      <c r="FL65" s="24" t="str">
        <f t="shared" ca="1" si="200"/>
        <v/>
      </c>
      <c r="FM65" s="24" t="str">
        <f t="shared" ca="1" si="200"/>
        <v/>
      </c>
      <c r="FN65" s="24" t="str">
        <f t="shared" ca="1" si="201"/>
        <v/>
      </c>
      <c r="FO65" s="24" t="str">
        <f t="shared" ca="1" si="201"/>
        <v/>
      </c>
      <c r="FP65" s="24" t="str">
        <f t="shared" ca="1" si="201"/>
        <v/>
      </c>
      <c r="FQ65" s="24" t="str">
        <f t="shared" ca="1" si="201"/>
        <v/>
      </c>
      <c r="FR65" s="24" t="str">
        <f t="shared" ca="1" si="201"/>
        <v/>
      </c>
      <c r="FS65" s="24" t="str">
        <f t="shared" ca="1" si="201"/>
        <v/>
      </c>
      <c r="FT65" s="24" t="str">
        <f t="shared" ca="1" si="201"/>
        <v/>
      </c>
      <c r="FU65" s="24" t="str">
        <f t="shared" ca="1" si="201"/>
        <v/>
      </c>
      <c r="FV65" s="24" t="str">
        <f t="shared" ca="1" si="201"/>
        <v/>
      </c>
      <c r="FW65" s="24" t="str">
        <f t="shared" ca="1" si="201"/>
        <v/>
      </c>
      <c r="FX65" s="24" t="str">
        <f t="shared" ca="1" si="202"/>
        <v/>
      </c>
      <c r="FY65" s="24" t="str">
        <f t="shared" ca="1" si="202"/>
        <v/>
      </c>
      <c r="FZ65" s="24" t="str">
        <f t="shared" ca="1" si="202"/>
        <v/>
      </c>
      <c r="GA65" s="24" t="str">
        <f t="shared" ca="1" si="202"/>
        <v/>
      </c>
      <c r="GB65" s="24" t="str">
        <f t="shared" ca="1" si="202"/>
        <v/>
      </c>
      <c r="GC65" s="24" t="str">
        <f t="shared" ca="1" si="202"/>
        <v/>
      </c>
      <c r="GD65" s="24" t="str">
        <f t="shared" ca="1" si="202"/>
        <v/>
      </c>
      <c r="GE65" s="24" t="str">
        <f t="shared" ca="1" si="202"/>
        <v/>
      </c>
      <c r="GF65" s="24" t="str">
        <f t="shared" ca="1" si="202"/>
        <v/>
      </c>
      <c r="GG65" s="24" t="str">
        <f t="shared" ca="1" si="202"/>
        <v/>
      </c>
      <c r="GH65" s="24" t="str">
        <f t="shared" ca="1" si="203"/>
        <v/>
      </c>
      <c r="GI65" s="24" t="str">
        <f t="shared" ca="1" si="203"/>
        <v/>
      </c>
      <c r="GJ65" s="24" t="str">
        <f t="shared" ca="1" si="203"/>
        <v/>
      </c>
      <c r="GK65" s="24" t="str">
        <f t="shared" ca="1" si="203"/>
        <v/>
      </c>
      <c r="GL65" s="24" t="str">
        <f t="shared" ca="1" si="203"/>
        <v/>
      </c>
      <c r="GM65" s="24" t="str">
        <f t="shared" ca="1" si="203"/>
        <v/>
      </c>
      <c r="GN65" s="24" t="str">
        <f t="shared" ca="1" si="203"/>
        <v/>
      </c>
      <c r="GO65" s="24" t="str">
        <f t="shared" ca="1" si="203"/>
        <v/>
      </c>
      <c r="GP65" s="24" t="str">
        <f t="shared" ca="1" si="203"/>
        <v/>
      </c>
      <c r="GQ65" s="24" t="str">
        <f t="shared" ca="1" si="203"/>
        <v/>
      </c>
      <c r="GR65" s="24" t="str">
        <f t="shared" ca="1" si="204"/>
        <v/>
      </c>
      <c r="GS65" s="24" t="str">
        <f t="shared" ca="1" si="204"/>
        <v/>
      </c>
      <c r="GT65" s="24" t="str">
        <f t="shared" ca="1" si="204"/>
        <v/>
      </c>
      <c r="GU65" s="24" t="str">
        <f t="shared" ca="1" si="204"/>
        <v/>
      </c>
      <c r="GV65" s="24" t="str">
        <f t="shared" ca="1" si="204"/>
        <v/>
      </c>
      <c r="GW65" s="24" t="str">
        <f t="shared" ca="1" si="204"/>
        <v/>
      </c>
      <c r="GX65" s="24" t="str">
        <f t="shared" ca="1" si="204"/>
        <v/>
      </c>
      <c r="GY65" s="24" t="str">
        <f t="shared" ca="1" si="204"/>
        <v/>
      </c>
      <c r="GZ65" s="24" t="str">
        <f t="shared" ca="1" si="204"/>
        <v/>
      </c>
      <c r="HA65" s="24" t="str">
        <f t="shared" ca="1" si="204"/>
        <v/>
      </c>
      <c r="HB65" s="24" t="str">
        <f t="shared" ca="1" si="205"/>
        <v/>
      </c>
      <c r="HC65" s="24" t="str">
        <f t="shared" ca="1" si="205"/>
        <v/>
      </c>
      <c r="HD65" s="24" t="str">
        <f t="shared" ca="1" si="205"/>
        <v/>
      </c>
      <c r="HE65" s="24" t="str">
        <f t="shared" ca="1" si="205"/>
        <v/>
      </c>
      <c r="HF65" s="24" t="str">
        <f t="shared" ca="1" si="205"/>
        <v/>
      </c>
      <c r="HG65" s="24" t="str">
        <f t="shared" ca="1" si="205"/>
        <v/>
      </c>
      <c r="HH65" s="24" t="str">
        <f t="shared" ca="1" si="205"/>
        <v/>
      </c>
      <c r="HI65" s="24" t="str">
        <f t="shared" ca="1" si="205"/>
        <v/>
      </c>
      <c r="HJ65" s="24" t="str">
        <f t="shared" ca="1" si="205"/>
        <v/>
      </c>
      <c r="HK65" s="24" t="str">
        <f t="shared" ca="1" si="205"/>
        <v/>
      </c>
      <c r="HL65" s="24" t="str">
        <f t="shared" ca="1" si="206"/>
        <v/>
      </c>
      <c r="HM65" s="24" t="str">
        <f t="shared" ca="1" si="206"/>
        <v/>
      </c>
      <c r="HN65" s="24" t="str">
        <f t="shared" ca="1" si="206"/>
        <v/>
      </c>
      <c r="HO65" s="24" t="str">
        <f t="shared" ca="1" si="206"/>
        <v/>
      </c>
      <c r="HP65" s="24" t="str">
        <f t="shared" ca="1" si="206"/>
        <v/>
      </c>
      <c r="HQ65" s="24" t="str">
        <f t="shared" ca="1" si="206"/>
        <v/>
      </c>
      <c r="HR65" s="24" t="str">
        <f t="shared" ca="1" si="206"/>
        <v/>
      </c>
      <c r="HS65" s="24" t="str">
        <f t="shared" ca="1" si="206"/>
        <v/>
      </c>
      <c r="HT65" s="24" t="str">
        <f t="shared" ca="1" si="206"/>
        <v/>
      </c>
      <c r="HU65" s="24" t="str">
        <f t="shared" ca="1" si="206"/>
        <v/>
      </c>
      <c r="HV65" s="24" t="str">
        <f t="shared" ca="1" si="207"/>
        <v/>
      </c>
      <c r="HW65" s="24" t="str">
        <f t="shared" ca="1" si="207"/>
        <v/>
      </c>
      <c r="HX65" s="24" t="str">
        <f t="shared" ca="1" si="207"/>
        <v/>
      </c>
      <c r="HY65" s="24">
        <f t="shared" ca="1" si="207"/>
        <v>1</v>
      </c>
      <c r="HZ65" s="24" t="str">
        <f t="shared" ca="1" si="207"/>
        <v/>
      </c>
      <c r="IA65" s="24" t="str">
        <f t="shared" ca="1" si="207"/>
        <v/>
      </c>
      <c r="IB65" s="24" t="str">
        <f t="shared" ca="1" si="207"/>
        <v/>
      </c>
      <c r="IC65" s="24" t="str">
        <f t="shared" ca="1" si="207"/>
        <v/>
      </c>
      <c r="ID65" s="24" t="str">
        <f t="shared" ca="1" si="207"/>
        <v/>
      </c>
      <c r="IE65" s="24" t="str">
        <f t="shared" ca="1" si="207"/>
        <v/>
      </c>
      <c r="IF65" s="24" t="str">
        <f t="shared" ca="1" si="208"/>
        <v/>
      </c>
      <c r="IG65" s="24" t="str">
        <f t="shared" ca="1" si="208"/>
        <v/>
      </c>
      <c r="IH65" s="24" t="str">
        <f t="shared" ca="1" si="208"/>
        <v/>
      </c>
      <c r="II65" s="24" t="str">
        <f t="shared" ca="1" si="208"/>
        <v/>
      </c>
      <c r="IJ65" s="24" t="str">
        <f t="shared" ca="1" si="208"/>
        <v/>
      </c>
      <c r="IK65" s="24" t="str">
        <f t="shared" ca="1" si="208"/>
        <v/>
      </c>
      <c r="IL65" s="24" t="str">
        <f t="shared" ca="1" si="208"/>
        <v/>
      </c>
      <c r="IM65" s="24" t="str">
        <f t="shared" ca="1" si="208"/>
        <v/>
      </c>
      <c r="IN65" s="24" t="str">
        <f t="shared" ca="1" si="208"/>
        <v/>
      </c>
      <c r="IO65" s="24" t="str">
        <f t="shared" ca="1" si="208"/>
        <v/>
      </c>
      <c r="IP65" s="24" t="str">
        <f t="shared" ca="1" si="209"/>
        <v/>
      </c>
      <c r="IQ65" s="24" t="str">
        <f t="shared" ca="1" si="209"/>
        <v/>
      </c>
      <c r="IR65" s="24" t="str">
        <f t="shared" ca="1" si="209"/>
        <v/>
      </c>
      <c r="IS65" s="24" t="str">
        <f t="shared" ca="1" si="209"/>
        <v/>
      </c>
      <c r="IT65" s="24" t="str">
        <f t="shared" ca="1" si="209"/>
        <v/>
      </c>
      <c r="IU65" s="24" t="str">
        <f t="shared" ca="1" si="209"/>
        <v/>
      </c>
      <c r="IV65" s="24" t="str">
        <f t="shared" ca="1" si="209"/>
        <v/>
      </c>
      <c r="IW65" s="24" t="str">
        <f t="shared" ca="1" si="209"/>
        <v/>
      </c>
      <c r="IX65" s="24" t="str">
        <f t="shared" ca="1" si="209"/>
        <v/>
      </c>
      <c r="IY65" s="24" t="str">
        <f t="shared" ca="1" si="209"/>
        <v/>
      </c>
      <c r="IZ65" s="24" t="str">
        <f t="shared" ca="1" si="210"/>
        <v/>
      </c>
      <c r="JA65" s="24" t="str">
        <f t="shared" ca="1" si="210"/>
        <v/>
      </c>
      <c r="JB65" s="24" t="str">
        <f t="shared" ca="1" si="210"/>
        <v/>
      </c>
      <c r="JC65" s="24" t="str">
        <f t="shared" ca="1" si="210"/>
        <v/>
      </c>
      <c r="JD65" s="24" t="str">
        <f t="shared" ca="1" si="210"/>
        <v/>
      </c>
      <c r="JE65" s="24" t="str">
        <f t="shared" ca="1" si="210"/>
        <v/>
      </c>
      <c r="JF65" s="24" t="str">
        <f t="shared" ca="1" si="210"/>
        <v/>
      </c>
      <c r="JG65" s="24" t="str">
        <f t="shared" ca="1" si="210"/>
        <v/>
      </c>
      <c r="JH65" s="24" t="str">
        <f t="shared" ca="1" si="210"/>
        <v/>
      </c>
      <c r="JI65" s="24" t="str">
        <f t="shared" ca="1" si="210"/>
        <v/>
      </c>
      <c r="JJ65" s="24" t="str">
        <f t="shared" ca="1" si="211"/>
        <v/>
      </c>
      <c r="JK65" s="24" t="str">
        <f t="shared" ca="1" si="211"/>
        <v/>
      </c>
      <c r="JL65" s="24" t="str">
        <f t="shared" ca="1" si="211"/>
        <v/>
      </c>
      <c r="JM65" s="24" t="str">
        <f t="shared" ca="1" si="211"/>
        <v/>
      </c>
      <c r="JN65" s="24" t="str">
        <f t="shared" ca="1" si="211"/>
        <v/>
      </c>
      <c r="JO65" s="24" t="str">
        <f t="shared" ca="1" si="211"/>
        <v/>
      </c>
      <c r="JP65" s="24" t="str">
        <f t="shared" ca="1" si="211"/>
        <v/>
      </c>
      <c r="JQ65" s="24" t="str">
        <f t="shared" ca="1" si="211"/>
        <v/>
      </c>
      <c r="JR65" s="24" t="str">
        <f t="shared" ca="1" si="211"/>
        <v/>
      </c>
      <c r="JS65" s="24" t="str">
        <f t="shared" ca="1" si="211"/>
        <v/>
      </c>
      <c r="JT65" s="24" t="str">
        <f t="shared" ca="1" si="212"/>
        <v/>
      </c>
      <c r="JU65" s="24" t="str">
        <f t="shared" ca="1" si="212"/>
        <v/>
      </c>
      <c r="JV65" s="24" t="str">
        <f t="shared" ca="1" si="212"/>
        <v/>
      </c>
      <c r="JW65" s="24" t="str">
        <f t="shared" ca="1" si="212"/>
        <v/>
      </c>
      <c r="JX65" s="24" t="str">
        <f t="shared" ca="1" si="212"/>
        <v/>
      </c>
      <c r="JY65" s="24" t="str">
        <f t="shared" ca="1" si="212"/>
        <v/>
      </c>
      <c r="JZ65" s="24" t="str">
        <f t="shared" ca="1" si="212"/>
        <v/>
      </c>
      <c r="KA65" s="24" t="str">
        <f t="shared" ca="1" si="212"/>
        <v/>
      </c>
      <c r="KB65" s="24" t="str">
        <f t="shared" ca="1" si="212"/>
        <v/>
      </c>
      <c r="KC65" s="24" t="str">
        <f t="shared" ca="1" si="212"/>
        <v/>
      </c>
      <c r="KD65" s="24" t="str">
        <f t="shared" ca="1" si="213"/>
        <v/>
      </c>
      <c r="KE65" s="24" t="str">
        <f t="shared" ca="1" si="213"/>
        <v/>
      </c>
      <c r="KF65" s="24" t="str">
        <f t="shared" ca="1" si="213"/>
        <v/>
      </c>
      <c r="KG65" s="24" t="str">
        <f t="shared" ca="1" si="213"/>
        <v/>
      </c>
      <c r="KH65" s="24" t="str">
        <f t="shared" ca="1" si="213"/>
        <v/>
      </c>
      <c r="KI65" s="24" t="str">
        <f t="shared" ca="1" si="213"/>
        <v/>
      </c>
      <c r="KJ65" s="24" t="str">
        <f t="shared" ca="1" si="213"/>
        <v/>
      </c>
      <c r="KK65" s="24" t="str">
        <f t="shared" ca="1" si="213"/>
        <v/>
      </c>
      <c r="KL65" s="24" t="str">
        <f t="shared" ca="1" si="213"/>
        <v/>
      </c>
      <c r="KM65" s="24" t="str">
        <f t="shared" ca="1" si="213"/>
        <v/>
      </c>
      <c r="KN65" s="24" t="str">
        <f t="shared" ca="1" si="214"/>
        <v/>
      </c>
      <c r="KO65" s="24" t="str">
        <f t="shared" ca="1" si="214"/>
        <v/>
      </c>
      <c r="KP65" s="24" t="str">
        <f t="shared" ca="1" si="214"/>
        <v/>
      </c>
      <c r="KQ65" s="24" t="str">
        <f t="shared" ca="1" si="214"/>
        <v/>
      </c>
      <c r="KR65" s="24" t="str">
        <f t="shared" ca="1" si="214"/>
        <v/>
      </c>
      <c r="KS65" s="24" t="str">
        <f t="shared" ca="1" si="214"/>
        <v/>
      </c>
      <c r="KT65" s="24" t="str">
        <f t="shared" ca="1" si="214"/>
        <v/>
      </c>
      <c r="KU65" s="24" t="str">
        <f t="shared" ca="1" si="214"/>
        <v/>
      </c>
      <c r="KV65" s="24" t="str">
        <f t="shared" ca="1" si="214"/>
        <v/>
      </c>
      <c r="KW65" s="24" t="str">
        <f t="shared" ca="1" si="214"/>
        <v/>
      </c>
      <c r="KX65" s="24" t="str">
        <f t="shared" ca="1" si="215"/>
        <v/>
      </c>
      <c r="KY65" s="24" t="str">
        <f t="shared" ca="1" si="215"/>
        <v/>
      </c>
      <c r="KZ65" s="24" t="str">
        <f t="shared" ca="1" si="215"/>
        <v/>
      </c>
      <c r="LA65" s="24" t="str">
        <f t="shared" ca="1" si="215"/>
        <v/>
      </c>
      <c r="LB65" s="24" t="str">
        <f t="shared" ca="1" si="215"/>
        <v/>
      </c>
      <c r="LC65" s="24" t="str">
        <f t="shared" ca="1" si="215"/>
        <v/>
      </c>
      <c r="LD65" s="24" t="str">
        <f t="shared" ca="1" si="215"/>
        <v/>
      </c>
      <c r="LE65" s="24" t="str">
        <f t="shared" ca="1" si="215"/>
        <v/>
      </c>
      <c r="LF65" s="24" t="str">
        <f t="shared" ca="1" si="215"/>
        <v/>
      </c>
      <c r="LG65" s="24" t="str">
        <f t="shared" ca="1" si="215"/>
        <v/>
      </c>
      <c r="LH65" s="24" t="str">
        <f t="shared" ca="1" si="216"/>
        <v/>
      </c>
      <c r="LI65" s="24" t="str">
        <f t="shared" ca="1" si="216"/>
        <v/>
      </c>
      <c r="LJ65" s="24" t="str">
        <f t="shared" ca="1" si="216"/>
        <v/>
      </c>
      <c r="LK65" s="24" t="str">
        <f t="shared" ca="1" si="216"/>
        <v/>
      </c>
      <c r="LL65" s="24" t="str">
        <f t="shared" ca="1" si="216"/>
        <v/>
      </c>
      <c r="LM65" s="24" t="str">
        <f t="shared" ca="1" si="216"/>
        <v/>
      </c>
      <c r="LN65" s="24" t="str">
        <f t="shared" ca="1" si="216"/>
        <v/>
      </c>
      <c r="LO65" s="24" t="str">
        <f t="shared" ca="1" si="216"/>
        <v/>
      </c>
      <c r="LP65" s="24" t="str">
        <f t="shared" ca="1" si="216"/>
        <v/>
      </c>
      <c r="LQ65" s="24" t="str">
        <f t="shared" ca="1" si="216"/>
        <v/>
      </c>
      <c r="LR65" s="24" t="str">
        <f t="shared" ca="1" si="217"/>
        <v/>
      </c>
      <c r="LS65" s="24" t="str">
        <f t="shared" ca="1" si="217"/>
        <v/>
      </c>
      <c r="LT65" s="24" t="str">
        <f t="shared" ca="1" si="217"/>
        <v/>
      </c>
      <c r="LU65" s="24" t="str">
        <f t="shared" ca="1" si="217"/>
        <v/>
      </c>
      <c r="LV65" s="24" t="str">
        <f t="shared" ca="1" si="217"/>
        <v/>
      </c>
      <c r="LW65" s="24" t="str">
        <f t="shared" ca="1" si="217"/>
        <v/>
      </c>
      <c r="LX65" s="24" t="str">
        <f t="shared" ca="1" si="217"/>
        <v/>
      </c>
      <c r="LY65" s="24" t="str">
        <f t="shared" ca="1" si="217"/>
        <v/>
      </c>
      <c r="LZ65" s="24" t="str">
        <f t="shared" ca="1" si="217"/>
        <v/>
      </c>
      <c r="MA65" s="24" t="str">
        <f t="shared" ca="1" si="217"/>
        <v/>
      </c>
      <c r="MB65" s="24" t="str">
        <f t="shared" ca="1" si="218"/>
        <v/>
      </c>
      <c r="MC65" s="24" t="str">
        <f t="shared" ca="1" si="218"/>
        <v/>
      </c>
      <c r="MD65" s="24" t="str">
        <f t="shared" ca="1" si="218"/>
        <v/>
      </c>
      <c r="ME65" s="24" t="str">
        <f t="shared" ca="1" si="218"/>
        <v/>
      </c>
      <c r="MF65" s="24" t="str">
        <f t="shared" ca="1" si="218"/>
        <v/>
      </c>
      <c r="MG65" s="24" t="str">
        <f t="shared" ca="1" si="218"/>
        <v/>
      </c>
      <c r="MH65" s="24" t="str">
        <f t="shared" ca="1" si="218"/>
        <v/>
      </c>
      <c r="MI65" s="24" t="str">
        <f t="shared" ca="1" si="218"/>
        <v/>
      </c>
      <c r="MJ65" s="24" t="str">
        <f t="shared" ca="1" si="218"/>
        <v/>
      </c>
      <c r="MK65" s="24" t="str">
        <f t="shared" ca="1" si="218"/>
        <v/>
      </c>
      <c r="ML65" s="24" t="str">
        <f t="shared" ca="1" si="219"/>
        <v/>
      </c>
      <c r="MM65" s="24" t="str">
        <f t="shared" ca="1" si="219"/>
        <v/>
      </c>
      <c r="MN65" s="24" t="str">
        <f t="shared" ca="1" si="219"/>
        <v/>
      </c>
      <c r="MO65" s="24" t="str">
        <f t="shared" ca="1" si="219"/>
        <v/>
      </c>
      <c r="MP65" s="24" t="str">
        <f t="shared" ca="1" si="219"/>
        <v/>
      </c>
      <c r="MQ65" s="24" t="str">
        <f t="shared" ca="1" si="219"/>
        <v/>
      </c>
      <c r="MR65" s="24" t="str">
        <f t="shared" ca="1" si="219"/>
        <v/>
      </c>
      <c r="MS65" s="24" t="str">
        <f t="shared" ca="1" si="219"/>
        <v/>
      </c>
      <c r="MT65" s="24" t="str">
        <f t="shared" ca="1" si="219"/>
        <v/>
      </c>
      <c r="MU65" s="24" t="str">
        <f t="shared" ca="1" si="219"/>
        <v/>
      </c>
      <c r="MV65" s="24" t="str">
        <f t="shared" ca="1" si="220"/>
        <v/>
      </c>
      <c r="MW65" s="24" t="str">
        <f t="shared" ca="1" si="220"/>
        <v/>
      </c>
      <c r="MX65" s="24" t="str">
        <f t="shared" ca="1" si="220"/>
        <v/>
      </c>
      <c r="MY65" s="24" t="str">
        <f t="shared" ca="1" si="220"/>
        <v/>
      </c>
      <c r="MZ65" s="24" t="str">
        <f t="shared" ca="1" si="220"/>
        <v/>
      </c>
      <c r="NA65" s="24" t="str">
        <f t="shared" ca="1" si="220"/>
        <v/>
      </c>
      <c r="NB65" s="24" t="str">
        <f t="shared" ca="1" si="220"/>
        <v/>
      </c>
      <c r="NC65" s="24" t="str">
        <f t="shared" ca="1" si="220"/>
        <v/>
      </c>
      <c r="ND65" s="24" t="str">
        <f t="shared" ca="1" si="220"/>
        <v/>
      </c>
      <c r="NE65" s="24" t="str">
        <f t="shared" ca="1" si="220"/>
        <v/>
      </c>
      <c r="NF65" s="24" t="str">
        <f t="shared" ca="1" si="221"/>
        <v/>
      </c>
      <c r="NG65" s="24" t="str">
        <f t="shared" ca="1" si="221"/>
        <v/>
      </c>
      <c r="NH65" s="24" t="str">
        <f t="shared" ca="1" si="221"/>
        <v/>
      </c>
      <c r="NI65" s="24" t="str">
        <f t="shared" ca="1" si="221"/>
        <v/>
      </c>
      <c r="NJ65" s="24" t="str">
        <f t="shared" ca="1" si="221"/>
        <v/>
      </c>
      <c r="NK65" s="24" t="str">
        <f t="shared" ca="1" si="221"/>
        <v/>
      </c>
      <c r="NL65" s="24" t="str">
        <f t="shared" ca="1" si="221"/>
        <v/>
      </c>
      <c r="NM65" s="24" t="str">
        <f t="shared" ca="1" si="221"/>
        <v/>
      </c>
      <c r="NN65" s="24" t="str">
        <f t="shared" ca="1" si="221"/>
        <v/>
      </c>
      <c r="NO65" s="24" t="str">
        <f t="shared" ca="1" si="221"/>
        <v/>
      </c>
      <c r="NP65" s="24" t="str">
        <f t="shared" ca="1" si="222"/>
        <v/>
      </c>
      <c r="NQ65" s="24" t="str">
        <f t="shared" ca="1" si="222"/>
        <v/>
      </c>
      <c r="NR65" s="24" t="str">
        <f t="shared" ca="1" si="222"/>
        <v/>
      </c>
      <c r="NS65" s="24" t="str">
        <f t="shared" ca="1" si="222"/>
        <v/>
      </c>
      <c r="NT65" s="24" t="str">
        <f t="shared" ca="1" si="222"/>
        <v/>
      </c>
      <c r="NU65" s="24" t="str">
        <f t="shared" ca="1" si="222"/>
        <v/>
      </c>
      <c r="NV65" s="24" t="str">
        <f t="shared" ca="1" si="222"/>
        <v/>
      </c>
      <c r="NW65" s="24" t="str">
        <f t="shared" ca="1" si="222"/>
        <v/>
      </c>
      <c r="NX65" s="24" t="str">
        <f t="shared" ca="1" si="222"/>
        <v/>
      </c>
      <c r="NY65" s="24" t="str">
        <f t="shared" ca="1" si="222"/>
        <v/>
      </c>
      <c r="NZ65" s="24" t="str">
        <f t="shared" ca="1" si="223"/>
        <v/>
      </c>
      <c r="OA65" s="24" t="str">
        <f t="shared" ca="1" si="223"/>
        <v/>
      </c>
      <c r="OB65" s="24" t="str">
        <f t="shared" ca="1" si="223"/>
        <v/>
      </c>
      <c r="OC65" s="24" t="str">
        <f t="shared" ca="1" si="223"/>
        <v/>
      </c>
      <c r="OD65" s="24" t="str">
        <f t="shared" ca="1" si="223"/>
        <v/>
      </c>
      <c r="OE65" s="24" t="str">
        <f t="shared" ca="1" si="223"/>
        <v/>
      </c>
      <c r="OF65" s="24" t="str">
        <f t="shared" ca="1" si="223"/>
        <v/>
      </c>
      <c r="OG65" s="24" t="str">
        <f t="shared" ca="1" si="223"/>
        <v/>
      </c>
      <c r="OH65" s="24" t="str">
        <f t="shared" ca="1" si="223"/>
        <v/>
      </c>
      <c r="OI65" s="24" t="str">
        <f t="shared" ca="1" si="223"/>
        <v/>
      </c>
      <c r="OJ65" s="24" t="str">
        <f t="shared" ca="1" si="224"/>
        <v/>
      </c>
      <c r="OK65" s="24" t="str">
        <f t="shared" ca="1" si="224"/>
        <v/>
      </c>
      <c r="OL65" s="24" t="str">
        <f t="shared" ca="1" si="224"/>
        <v/>
      </c>
      <c r="OM65" s="24" t="str">
        <f t="shared" ca="1" si="224"/>
        <v/>
      </c>
      <c r="ON65" s="24" t="str">
        <f t="shared" ca="1" si="224"/>
        <v/>
      </c>
      <c r="OO65" s="24" t="str">
        <f t="shared" ca="1" si="224"/>
        <v/>
      </c>
      <c r="OP65" s="24" t="str">
        <f t="shared" ca="1" si="224"/>
        <v/>
      </c>
      <c r="OQ65" s="24" t="str">
        <f t="shared" ca="1" si="224"/>
        <v/>
      </c>
      <c r="OR65" s="24" t="str">
        <f t="shared" ca="1" si="224"/>
        <v/>
      </c>
      <c r="OS65" s="24" t="str">
        <f t="shared" ca="1" si="224"/>
        <v/>
      </c>
      <c r="OT65" s="24" t="str">
        <f t="shared" ca="1" si="225"/>
        <v/>
      </c>
      <c r="OU65" s="24" t="str">
        <f t="shared" ca="1" si="225"/>
        <v/>
      </c>
      <c r="OV65" s="24" t="str">
        <f t="shared" ca="1" si="225"/>
        <v/>
      </c>
      <c r="OW65" s="24" t="str">
        <f t="shared" ca="1" si="225"/>
        <v/>
      </c>
      <c r="OX65" s="24" t="str">
        <f t="shared" ca="1" si="225"/>
        <v/>
      </c>
      <c r="OY65" s="24" t="str">
        <f t="shared" ca="1" si="225"/>
        <v/>
      </c>
      <c r="OZ65" s="24" t="str">
        <f t="shared" ca="1" si="225"/>
        <v/>
      </c>
      <c r="PA65" s="24" t="str">
        <f t="shared" ca="1" si="225"/>
        <v/>
      </c>
      <c r="PB65" s="24" t="str">
        <f t="shared" ca="1" si="225"/>
        <v/>
      </c>
      <c r="PC65" s="24" t="str">
        <f t="shared" ca="1" si="225"/>
        <v/>
      </c>
      <c r="PD65" s="24" t="str">
        <f t="shared" ca="1" si="226"/>
        <v/>
      </c>
      <c r="PE65" s="24" t="str">
        <f t="shared" ca="1" si="226"/>
        <v/>
      </c>
      <c r="PF65" s="24" t="str">
        <f t="shared" ca="1" si="226"/>
        <v/>
      </c>
      <c r="PG65" s="24" t="str">
        <f t="shared" ca="1" si="226"/>
        <v/>
      </c>
      <c r="PH65" s="24" t="str">
        <f t="shared" ca="1" si="226"/>
        <v/>
      </c>
      <c r="PI65" s="24" t="str">
        <f t="shared" ca="1" si="226"/>
        <v/>
      </c>
      <c r="PJ65" s="24" t="str">
        <f t="shared" ca="1" si="226"/>
        <v/>
      </c>
      <c r="PK65" s="24" t="str">
        <f t="shared" ca="1" si="226"/>
        <v/>
      </c>
      <c r="PL65" s="24" t="str">
        <f t="shared" ca="1" si="226"/>
        <v/>
      </c>
      <c r="PM65" s="24" t="str">
        <f t="shared" ca="1" si="226"/>
        <v/>
      </c>
      <c r="PN65" s="24" t="str">
        <f t="shared" ca="1" si="227"/>
        <v/>
      </c>
      <c r="PO65" s="24" t="str">
        <f t="shared" ca="1" si="227"/>
        <v/>
      </c>
      <c r="PP65" s="24" t="str">
        <f t="shared" ca="1" si="227"/>
        <v/>
      </c>
      <c r="PQ65" s="24" t="str">
        <f t="shared" ca="1" si="227"/>
        <v/>
      </c>
      <c r="PR65" s="24" t="str">
        <f t="shared" ca="1" si="227"/>
        <v/>
      </c>
      <c r="PS65" s="24" t="str">
        <f t="shared" ca="1" si="227"/>
        <v/>
      </c>
      <c r="PT65" s="24" t="str">
        <f t="shared" ca="1" si="227"/>
        <v/>
      </c>
      <c r="PU65" s="24" t="str">
        <f t="shared" ca="1" si="227"/>
        <v/>
      </c>
      <c r="PV65" s="24" t="str">
        <f t="shared" ca="1" si="227"/>
        <v/>
      </c>
      <c r="PW65" s="24" t="str">
        <f t="shared" ca="1" si="227"/>
        <v/>
      </c>
      <c r="PX65" s="24" t="str">
        <f t="shared" ca="1" si="228"/>
        <v/>
      </c>
      <c r="PY65" s="24" t="str">
        <f t="shared" ca="1" si="228"/>
        <v/>
      </c>
      <c r="PZ65" s="24" t="str">
        <f t="shared" ca="1" si="228"/>
        <v/>
      </c>
      <c r="QA65" s="24" t="str">
        <f t="shared" ca="1" si="228"/>
        <v/>
      </c>
      <c r="QB65" s="24" t="str">
        <f t="shared" ca="1" si="228"/>
        <v/>
      </c>
      <c r="QC65" s="24" t="str">
        <f t="shared" ca="1" si="228"/>
        <v/>
      </c>
      <c r="QD65" s="24" t="str">
        <f t="shared" ca="1" si="228"/>
        <v/>
      </c>
      <c r="QE65" s="24" t="str">
        <f t="shared" ca="1" si="228"/>
        <v/>
      </c>
      <c r="QF65" s="24" t="str">
        <f t="shared" ca="1" si="228"/>
        <v/>
      </c>
      <c r="QG65" s="24" t="str">
        <f t="shared" ca="1" si="228"/>
        <v/>
      </c>
      <c r="QH65" s="24" t="str">
        <f t="shared" ca="1" si="229"/>
        <v/>
      </c>
      <c r="QI65" s="24" t="str">
        <f t="shared" ca="1" si="229"/>
        <v/>
      </c>
      <c r="QJ65" s="24" t="str">
        <f t="shared" ca="1" si="229"/>
        <v/>
      </c>
      <c r="QK65" s="24" t="str">
        <f t="shared" ca="1" si="229"/>
        <v/>
      </c>
      <c r="QL65" s="24" t="str">
        <f t="shared" ca="1" si="229"/>
        <v/>
      </c>
      <c r="QM65" s="24" t="str">
        <f t="shared" ca="1" si="229"/>
        <v/>
      </c>
      <c r="QN65" s="24" t="str">
        <f t="shared" ca="1" si="229"/>
        <v/>
      </c>
      <c r="QO65" s="24" t="str">
        <f t="shared" ca="1" si="229"/>
        <v/>
      </c>
      <c r="QP65" s="24" t="str">
        <f t="shared" ca="1" si="229"/>
        <v/>
      </c>
      <c r="QQ65" s="24" t="str">
        <f t="shared" ca="1" si="229"/>
        <v/>
      </c>
      <c r="QR65" s="24" t="str">
        <f t="shared" ca="1" si="230"/>
        <v/>
      </c>
      <c r="QS65" s="24" t="str">
        <f t="shared" ca="1" si="230"/>
        <v/>
      </c>
      <c r="QT65" s="24" t="str">
        <f t="shared" ca="1" si="230"/>
        <v/>
      </c>
      <c r="QU65" s="24" t="str">
        <f t="shared" ca="1" si="230"/>
        <v/>
      </c>
      <c r="QV65" s="24" t="str">
        <f t="shared" ca="1" si="230"/>
        <v/>
      </c>
      <c r="QW65" s="24" t="str">
        <f t="shared" ca="1" si="230"/>
        <v/>
      </c>
      <c r="QX65" s="24" t="str">
        <f t="shared" ca="1" si="230"/>
        <v/>
      </c>
      <c r="QY65" s="24" t="str">
        <f t="shared" ca="1" si="230"/>
        <v/>
      </c>
      <c r="QZ65" s="24" t="str">
        <f t="shared" ca="1" si="230"/>
        <v/>
      </c>
      <c r="RA65" s="24" t="str">
        <f t="shared" ca="1" si="230"/>
        <v/>
      </c>
      <c r="RB65" s="24" t="str">
        <f t="shared" ca="1" si="231"/>
        <v/>
      </c>
      <c r="RC65" s="24" t="str">
        <f t="shared" ca="1" si="231"/>
        <v/>
      </c>
      <c r="RD65" s="24" t="str">
        <f t="shared" ca="1" si="231"/>
        <v/>
      </c>
      <c r="RE65" s="24" t="str">
        <f t="shared" ca="1" si="231"/>
        <v/>
      </c>
      <c r="RF65" s="24" t="str">
        <f t="shared" ca="1" si="231"/>
        <v/>
      </c>
      <c r="RG65" s="24" t="str">
        <f t="shared" ca="1" si="231"/>
        <v/>
      </c>
      <c r="RH65" s="24" t="str">
        <f t="shared" ca="1" si="231"/>
        <v/>
      </c>
      <c r="RI65" s="24" t="str">
        <f t="shared" ca="1" si="231"/>
        <v/>
      </c>
      <c r="RJ65" s="24" t="str">
        <f t="shared" ca="1" si="231"/>
        <v/>
      </c>
      <c r="RK65" s="24" t="str">
        <f t="shared" ca="1" si="231"/>
        <v/>
      </c>
      <c r="RL65" s="24" t="str">
        <f t="shared" ca="1" si="232"/>
        <v/>
      </c>
      <c r="RM65" s="24" t="str">
        <f t="shared" ca="1" si="232"/>
        <v/>
      </c>
      <c r="RN65" s="24" t="str">
        <f t="shared" ca="1" si="232"/>
        <v/>
      </c>
      <c r="RO65" s="24" t="str">
        <f t="shared" ca="1" si="232"/>
        <v/>
      </c>
      <c r="RP65" s="24" t="str">
        <f t="shared" ca="1" si="232"/>
        <v/>
      </c>
      <c r="RQ65" s="24" t="str">
        <f t="shared" ca="1" si="232"/>
        <v/>
      </c>
      <c r="RR65" s="24" t="str">
        <f t="shared" ca="1" si="232"/>
        <v/>
      </c>
      <c r="RS65" s="24" t="str">
        <f t="shared" ca="1" si="232"/>
        <v/>
      </c>
      <c r="RT65" s="24" t="str">
        <f t="shared" ca="1" si="232"/>
        <v/>
      </c>
      <c r="RU65" s="24" t="str">
        <f t="shared" ca="1" si="232"/>
        <v/>
      </c>
      <c r="RV65" s="24" t="str">
        <f t="shared" ca="1" si="233"/>
        <v/>
      </c>
      <c r="RW65" s="24" t="str">
        <f t="shared" ca="1" si="233"/>
        <v/>
      </c>
      <c r="RX65" s="24" t="str">
        <f t="shared" ca="1" si="233"/>
        <v/>
      </c>
      <c r="RY65" s="24" t="str">
        <f t="shared" ca="1" si="233"/>
        <v/>
      </c>
      <c r="RZ65" s="24" t="str">
        <f t="shared" ca="1" si="233"/>
        <v/>
      </c>
      <c r="SA65" s="24" t="str">
        <f t="shared" ca="1" si="233"/>
        <v/>
      </c>
      <c r="SB65" s="24" t="str">
        <f t="shared" ca="1" si="233"/>
        <v/>
      </c>
      <c r="SC65" s="24" t="str">
        <f t="shared" ca="1" si="233"/>
        <v/>
      </c>
      <c r="SD65" s="24" t="str">
        <f t="shared" ca="1" si="233"/>
        <v/>
      </c>
      <c r="SE65" s="24" t="str">
        <f t="shared" ca="1" si="233"/>
        <v/>
      </c>
      <c r="SF65" s="24" t="str">
        <f t="shared" ca="1" si="234"/>
        <v/>
      </c>
      <c r="SG65" s="24" t="str">
        <f t="shared" ca="1" si="234"/>
        <v/>
      </c>
      <c r="SH65" s="24" t="str">
        <f t="shared" ca="1" si="234"/>
        <v/>
      </c>
      <c r="SI65" s="24" t="str">
        <f t="shared" ca="1" si="234"/>
        <v/>
      </c>
      <c r="SJ65" s="24" t="str">
        <f t="shared" ca="1" si="234"/>
        <v/>
      </c>
      <c r="SK65" s="24" t="str">
        <f t="shared" ca="1" si="234"/>
        <v/>
      </c>
      <c r="SL65" s="24" t="str">
        <f t="shared" ca="1" si="234"/>
        <v/>
      </c>
      <c r="SM65" s="24" t="str">
        <f t="shared" ca="1" si="234"/>
        <v/>
      </c>
      <c r="SN65" s="24" t="str">
        <f t="shared" ca="1" si="234"/>
        <v/>
      </c>
      <c r="SO65" s="24" t="str">
        <f t="shared" ca="1" si="234"/>
        <v/>
      </c>
      <c r="SP65" s="24" t="str">
        <f t="shared" ca="1" si="235"/>
        <v/>
      </c>
      <c r="SQ65" s="24" t="str">
        <f t="shared" ca="1" si="235"/>
        <v/>
      </c>
      <c r="SR65" s="24" t="str">
        <f t="shared" ca="1" si="235"/>
        <v/>
      </c>
      <c r="SS65" s="24" t="str">
        <f t="shared" ca="1" si="235"/>
        <v/>
      </c>
      <c r="ST65" s="24" t="str">
        <f t="shared" ca="1" si="235"/>
        <v/>
      </c>
      <c r="SU65" s="24" t="str">
        <f t="shared" ca="1" si="235"/>
        <v/>
      </c>
      <c r="SV65" s="24" t="str">
        <f t="shared" ca="1" si="235"/>
        <v/>
      </c>
      <c r="SW65" s="24" t="str">
        <f t="shared" ca="1" si="235"/>
        <v/>
      </c>
      <c r="SX65" s="24" t="str">
        <f t="shared" ca="1" si="235"/>
        <v/>
      </c>
      <c r="SY65" s="24" t="str">
        <f t="shared" ca="1" si="235"/>
        <v/>
      </c>
      <c r="SZ65" s="24" t="str">
        <f t="shared" ca="1" si="236"/>
        <v/>
      </c>
      <c r="TA65" s="24" t="str">
        <f t="shared" ca="1" si="236"/>
        <v/>
      </c>
      <c r="TB65" s="24" t="str">
        <f t="shared" ca="1" si="236"/>
        <v/>
      </c>
      <c r="TC65" s="24" t="str">
        <f t="shared" ca="1" si="236"/>
        <v/>
      </c>
      <c r="TD65" s="24" t="str">
        <f t="shared" ca="1" si="236"/>
        <v/>
      </c>
      <c r="TE65" s="24" t="str">
        <f t="shared" ca="1" si="236"/>
        <v/>
      </c>
      <c r="TF65" s="24" t="str">
        <f t="shared" ca="1" si="236"/>
        <v/>
      </c>
      <c r="TG65" s="24" t="str">
        <f t="shared" ca="1" si="236"/>
        <v/>
      </c>
      <c r="TH65" s="24" t="str">
        <f t="shared" ca="1" si="236"/>
        <v/>
      </c>
      <c r="TI65" s="24" t="str">
        <f t="shared" ca="1" si="236"/>
        <v/>
      </c>
      <c r="TJ65" s="24" t="str">
        <f t="shared" ca="1" si="237"/>
        <v/>
      </c>
      <c r="TK65" s="24" t="str">
        <f t="shared" ca="1" si="237"/>
        <v/>
      </c>
      <c r="TL65" s="24" t="str">
        <f t="shared" ca="1" si="237"/>
        <v/>
      </c>
      <c r="TM65" s="24" t="str">
        <f t="shared" ca="1" si="237"/>
        <v/>
      </c>
      <c r="TN65" s="24" t="str">
        <f t="shared" ca="1" si="237"/>
        <v/>
      </c>
      <c r="TO65" s="24" t="str">
        <f t="shared" ca="1" si="237"/>
        <v/>
      </c>
      <c r="TP65" s="24" t="str">
        <f t="shared" ca="1" si="237"/>
        <v/>
      </c>
      <c r="TQ65" s="24" t="str">
        <f t="shared" ca="1" si="237"/>
        <v/>
      </c>
      <c r="TR65" s="24" t="str">
        <f t="shared" ca="1" si="237"/>
        <v/>
      </c>
      <c r="TS65" s="24" t="str">
        <f t="shared" ca="1" si="237"/>
        <v/>
      </c>
      <c r="TT65" s="24" t="str">
        <f t="shared" ca="1" si="238"/>
        <v/>
      </c>
      <c r="TU65" s="24" t="str">
        <f t="shared" ca="1" si="238"/>
        <v/>
      </c>
      <c r="TV65" s="24" t="str">
        <f t="shared" ca="1" si="238"/>
        <v/>
      </c>
      <c r="TW65" s="24" t="str">
        <f t="shared" ca="1" si="238"/>
        <v/>
      </c>
      <c r="TX65" s="24" t="str">
        <f t="shared" ca="1" si="238"/>
        <v/>
      </c>
      <c r="TY65" s="24" t="str">
        <f t="shared" ca="1" si="238"/>
        <v/>
      </c>
      <c r="TZ65" s="24" t="str">
        <f t="shared" ca="1" si="238"/>
        <v/>
      </c>
      <c r="UA65" s="24" t="str">
        <f t="shared" ca="1" si="238"/>
        <v/>
      </c>
      <c r="UB65" s="24" t="str">
        <f t="shared" ca="1" si="238"/>
        <v/>
      </c>
      <c r="UC65" s="24" t="str">
        <f t="shared" ca="1" si="238"/>
        <v/>
      </c>
      <c r="UD65" s="24" t="str">
        <f t="shared" ca="1" si="239"/>
        <v/>
      </c>
      <c r="UE65" s="24" t="str">
        <f t="shared" ca="1" si="239"/>
        <v/>
      </c>
      <c r="UF65" s="24" t="str">
        <f t="shared" ca="1" si="239"/>
        <v/>
      </c>
      <c r="UG65" s="24" t="str">
        <f t="shared" ca="1" si="239"/>
        <v/>
      </c>
      <c r="UH65" s="24" t="str">
        <f t="shared" ca="1" si="239"/>
        <v/>
      </c>
      <c r="UI65" s="24" t="str">
        <f t="shared" ca="1" si="239"/>
        <v/>
      </c>
      <c r="UJ65" s="24" t="str">
        <f t="shared" ca="1" si="239"/>
        <v/>
      </c>
      <c r="UK65" s="24" t="str">
        <f t="shared" ca="1" si="239"/>
        <v/>
      </c>
      <c r="UL65" s="24" t="str">
        <f t="shared" ca="1" si="239"/>
        <v/>
      </c>
      <c r="UM65" s="24" t="str">
        <f t="shared" ca="1" si="239"/>
        <v/>
      </c>
      <c r="UN65" s="24" t="str">
        <f t="shared" ca="1" si="240"/>
        <v/>
      </c>
      <c r="UO65" s="24" t="str">
        <f t="shared" ca="1" si="240"/>
        <v/>
      </c>
      <c r="UP65" s="24" t="str">
        <f t="shared" ca="1" si="240"/>
        <v/>
      </c>
      <c r="UQ65" s="24" t="str">
        <f t="shared" ca="1" si="240"/>
        <v/>
      </c>
      <c r="UR65" s="24" t="str">
        <f t="shared" ca="1" si="240"/>
        <v/>
      </c>
      <c r="US65" s="24" t="str">
        <f t="shared" ca="1" si="240"/>
        <v/>
      </c>
      <c r="UT65" s="24" t="str">
        <f t="shared" ca="1" si="240"/>
        <v/>
      </c>
      <c r="UU65" s="24" t="str">
        <f t="shared" ca="1" si="240"/>
        <v/>
      </c>
      <c r="UV65" s="24" t="str">
        <f t="shared" ca="1" si="240"/>
        <v/>
      </c>
      <c r="UW65" s="24" t="str">
        <f t="shared" ca="1" si="240"/>
        <v/>
      </c>
      <c r="UX65" s="24" t="str">
        <f t="shared" ca="1" si="241"/>
        <v/>
      </c>
      <c r="UY65" s="24" t="str">
        <f t="shared" ca="1" si="241"/>
        <v/>
      </c>
      <c r="UZ65" s="24" t="str">
        <f t="shared" ca="1" si="241"/>
        <v/>
      </c>
      <c r="VA65" s="24" t="str">
        <f t="shared" ca="1" si="241"/>
        <v/>
      </c>
      <c r="VB65" s="24" t="str">
        <f t="shared" ca="1" si="241"/>
        <v/>
      </c>
      <c r="VC65" s="24" t="str">
        <f t="shared" ca="1" si="241"/>
        <v/>
      </c>
      <c r="VD65" s="24" t="str">
        <f t="shared" ca="1" si="241"/>
        <v/>
      </c>
      <c r="VE65" s="24" t="str">
        <f t="shared" ca="1" si="241"/>
        <v/>
      </c>
      <c r="VF65" s="24" t="str">
        <f t="shared" ca="1" si="241"/>
        <v/>
      </c>
      <c r="VG65" s="24" t="str">
        <f t="shared" ca="1" si="241"/>
        <v/>
      </c>
      <c r="VH65" s="24" t="str">
        <f t="shared" ca="1" si="242"/>
        <v/>
      </c>
      <c r="VI65" s="24" t="str">
        <f t="shared" ca="1" si="242"/>
        <v/>
      </c>
      <c r="VJ65" s="24" t="str">
        <f t="shared" ca="1" si="242"/>
        <v/>
      </c>
      <c r="VK65" s="24" t="str">
        <f t="shared" ca="1" si="242"/>
        <v/>
      </c>
      <c r="VL65" s="24" t="str">
        <f t="shared" ca="1" si="242"/>
        <v/>
      </c>
      <c r="VM65" s="24" t="str">
        <f t="shared" ca="1" si="242"/>
        <v/>
      </c>
      <c r="VN65" s="24" t="str">
        <f t="shared" ca="1" si="242"/>
        <v/>
      </c>
      <c r="VO65" s="24" t="str">
        <f t="shared" ca="1" si="242"/>
        <v/>
      </c>
      <c r="VP65" s="24" t="str">
        <f t="shared" ca="1" si="242"/>
        <v/>
      </c>
      <c r="VQ65" s="24" t="str">
        <f t="shared" ca="1" si="242"/>
        <v/>
      </c>
      <c r="VR65" s="24" t="str">
        <f t="shared" ca="1" si="242"/>
        <v/>
      </c>
      <c r="VS65" s="24" t="str">
        <f t="shared" ca="1" si="242"/>
        <v/>
      </c>
    </row>
    <row r="66" spans="1:591" s="17" customFormat="1" ht="21.6" customHeight="1" x14ac:dyDescent="0.3">
      <c r="A66" s="81"/>
      <c r="B66" s="28" t="s">
        <v>70</v>
      </c>
      <c r="C66" s="19"/>
      <c r="D66" s="19"/>
      <c r="E66" s="27"/>
      <c r="F66" s="26"/>
      <c r="G66" s="26">
        <f>Milestones43524[[#This Row],[Start]]+Milestones43524[[#This Row],[Days]]</f>
        <v>0</v>
      </c>
      <c r="H66" s="25"/>
      <c r="I66" s="19"/>
      <c r="J66" s="24" t="str">
        <f t="shared" ca="1" si="185"/>
        <v/>
      </c>
      <c r="K66" s="24" t="str">
        <f t="shared" ca="1" si="185"/>
        <v/>
      </c>
      <c r="L66" s="24" t="str">
        <f t="shared" ca="1" si="185"/>
        <v/>
      </c>
      <c r="M66" s="24" t="str">
        <f t="shared" ca="1" si="185"/>
        <v/>
      </c>
      <c r="N66" s="24" t="str">
        <f t="shared" ca="1" si="185"/>
        <v/>
      </c>
      <c r="O66" s="24" t="str">
        <f t="shared" ca="1" si="185"/>
        <v/>
      </c>
      <c r="P66" s="24" t="str">
        <f t="shared" ca="1" si="185"/>
        <v/>
      </c>
      <c r="Q66" s="24" t="str">
        <f t="shared" ca="1" si="185"/>
        <v/>
      </c>
      <c r="R66" s="24" t="str">
        <f t="shared" ca="1" si="185"/>
        <v/>
      </c>
      <c r="S66" s="24" t="str">
        <f t="shared" ca="1" si="185"/>
        <v/>
      </c>
      <c r="T66" s="24" t="str">
        <f t="shared" ca="1" si="186"/>
        <v/>
      </c>
      <c r="U66" s="24" t="str">
        <f t="shared" ca="1" si="186"/>
        <v/>
      </c>
      <c r="V66" s="24" t="str">
        <f t="shared" ca="1" si="186"/>
        <v/>
      </c>
      <c r="W66" s="24" t="str">
        <f t="shared" ca="1" si="186"/>
        <v/>
      </c>
      <c r="X66" s="24" t="str">
        <f t="shared" ca="1" si="186"/>
        <v/>
      </c>
      <c r="Y66" s="24" t="str">
        <f t="shared" ca="1" si="186"/>
        <v/>
      </c>
      <c r="Z66" s="24" t="str">
        <f t="shared" ca="1" si="186"/>
        <v/>
      </c>
      <c r="AA66" s="24" t="str">
        <f t="shared" ca="1" si="186"/>
        <v/>
      </c>
      <c r="AB66" s="24" t="str">
        <f t="shared" ca="1" si="186"/>
        <v/>
      </c>
      <c r="AC66" s="24" t="str">
        <f t="shared" ca="1" si="186"/>
        <v/>
      </c>
      <c r="AD66" s="24" t="str">
        <f t="shared" ca="1" si="187"/>
        <v/>
      </c>
      <c r="AE66" s="24" t="str">
        <f t="shared" ca="1" si="187"/>
        <v/>
      </c>
      <c r="AF66" s="24" t="str">
        <f t="shared" ca="1" si="187"/>
        <v/>
      </c>
      <c r="AG66" s="24" t="str">
        <f t="shared" ca="1" si="187"/>
        <v/>
      </c>
      <c r="AH66" s="24" t="str">
        <f t="shared" ca="1" si="187"/>
        <v/>
      </c>
      <c r="AI66" s="24" t="str">
        <f t="shared" ca="1" si="187"/>
        <v/>
      </c>
      <c r="AJ66" s="24" t="str">
        <f t="shared" ca="1" si="187"/>
        <v/>
      </c>
      <c r="AK66" s="24" t="str">
        <f t="shared" ca="1" si="187"/>
        <v/>
      </c>
      <c r="AL66" s="24" t="str">
        <f t="shared" ca="1" si="187"/>
        <v/>
      </c>
      <c r="AM66" s="24" t="str">
        <f t="shared" ca="1" si="187"/>
        <v/>
      </c>
      <c r="AN66" s="24" t="str">
        <f t="shared" ca="1" si="188"/>
        <v/>
      </c>
      <c r="AO66" s="24" t="str">
        <f t="shared" ca="1" si="188"/>
        <v/>
      </c>
      <c r="AP66" s="24" t="str">
        <f t="shared" ca="1" si="188"/>
        <v/>
      </c>
      <c r="AQ66" s="24" t="str">
        <f t="shared" ca="1" si="188"/>
        <v/>
      </c>
      <c r="AR66" s="24" t="str">
        <f t="shared" ca="1" si="188"/>
        <v/>
      </c>
      <c r="AS66" s="24" t="str">
        <f t="shared" ca="1" si="188"/>
        <v/>
      </c>
      <c r="AT66" s="24" t="str">
        <f t="shared" ca="1" si="188"/>
        <v/>
      </c>
      <c r="AU66" s="24" t="str">
        <f t="shared" ca="1" si="188"/>
        <v/>
      </c>
      <c r="AV66" s="24" t="str">
        <f t="shared" ca="1" si="188"/>
        <v/>
      </c>
      <c r="AW66" s="24" t="str">
        <f t="shared" ca="1" si="188"/>
        <v/>
      </c>
      <c r="AX66" s="24" t="str">
        <f t="shared" ca="1" si="189"/>
        <v/>
      </c>
      <c r="AY66" s="24" t="str">
        <f t="shared" ca="1" si="189"/>
        <v/>
      </c>
      <c r="AZ66" s="24" t="str">
        <f t="shared" ca="1" si="189"/>
        <v/>
      </c>
      <c r="BA66" s="24" t="str">
        <f t="shared" ca="1" si="189"/>
        <v/>
      </c>
      <c r="BB66" s="24" t="str">
        <f t="shared" ca="1" si="189"/>
        <v/>
      </c>
      <c r="BC66" s="24" t="str">
        <f t="shared" ca="1" si="189"/>
        <v/>
      </c>
      <c r="BD66" s="24" t="str">
        <f t="shared" ca="1" si="189"/>
        <v/>
      </c>
      <c r="BE66" s="24" t="str">
        <f t="shared" ca="1" si="189"/>
        <v/>
      </c>
      <c r="BF66" s="24" t="str">
        <f t="shared" ca="1" si="189"/>
        <v/>
      </c>
      <c r="BG66" s="24" t="str">
        <f t="shared" ca="1" si="189"/>
        <v/>
      </c>
      <c r="BH66" s="24" t="str">
        <f t="shared" ca="1" si="190"/>
        <v/>
      </c>
      <c r="BI66" s="24" t="str">
        <f t="shared" ca="1" si="190"/>
        <v/>
      </c>
      <c r="BJ66" s="24" t="str">
        <f t="shared" ca="1" si="190"/>
        <v/>
      </c>
      <c r="BK66" s="24" t="str">
        <f t="shared" ca="1" si="190"/>
        <v/>
      </c>
      <c r="BL66" s="24" t="str">
        <f t="shared" ca="1" si="190"/>
        <v/>
      </c>
      <c r="BM66" s="24" t="str">
        <f t="shared" ca="1" si="190"/>
        <v/>
      </c>
      <c r="BN66" s="24" t="str">
        <f t="shared" ca="1" si="190"/>
        <v/>
      </c>
      <c r="BO66" s="24" t="str">
        <f t="shared" ca="1" si="190"/>
        <v/>
      </c>
      <c r="BP66" s="24" t="str">
        <f t="shared" ca="1" si="190"/>
        <v/>
      </c>
      <c r="BQ66" s="24" t="str">
        <f t="shared" ca="1" si="190"/>
        <v/>
      </c>
      <c r="BR66" s="24" t="str">
        <f t="shared" ca="1" si="191"/>
        <v/>
      </c>
      <c r="BS66" s="24" t="str">
        <f t="shared" ca="1" si="191"/>
        <v/>
      </c>
      <c r="BT66" s="24" t="str">
        <f t="shared" ca="1" si="191"/>
        <v/>
      </c>
      <c r="BU66" s="24" t="str">
        <f t="shared" ca="1" si="191"/>
        <v/>
      </c>
      <c r="BV66" s="24" t="str">
        <f t="shared" ca="1" si="191"/>
        <v/>
      </c>
      <c r="BW66" s="24" t="str">
        <f t="shared" ca="1" si="191"/>
        <v/>
      </c>
      <c r="BX66" s="24" t="str">
        <f t="shared" ca="1" si="191"/>
        <v/>
      </c>
      <c r="BY66" s="24" t="str">
        <f t="shared" ca="1" si="191"/>
        <v/>
      </c>
      <c r="BZ66" s="24" t="str">
        <f t="shared" ca="1" si="191"/>
        <v/>
      </c>
      <c r="CA66" s="24" t="str">
        <f t="shared" ca="1" si="191"/>
        <v/>
      </c>
      <c r="CB66" s="24" t="str">
        <f t="shared" ca="1" si="192"/>
        <v/>
      </c>
      <c r="CC66" s="24" t="str">
        <f t="shared" ca="1" si="192"/>
        <v/>
      </c>
      <c r="CD66" s="24" t="str">
        <f t="shared" ca="1" si="192"/>
        <v/>
      </c>
      <c r="CE66" s="24" t="str">
        <f t="shared" ca="1" si="192"/>
        <v/>
      </c>
      <c r="CF66" s="24" t="str">
        <f t="shared" ca="1" si="192"/>
        <v/>
      </c>
      <c r="CG66" s="24" t="str">
        <f t="shared" ca="1" si="192"/>
        <v/>
      </c>
      <c r="CH66" s="24" t="str">
        <f t="shared" ca="1" si="192"/>
        <v/>
      </c>
      <c r="CI66" s="24" t="str">
        <f t="shared" ca="1" si="192"/>
        <v/>
      </c>
      <c r="CJ66" s="24" t="str">
        <f t="shared" ca="1" si="192"/>
        <v/>
      </c>
      <c r="CK66" s="24" t="str">
        <f t="shared" ca="1" si="192"/>
        <v/>
      </c>
      <c r="CL66" s="24" t="str">
        <f t="shared" ca="1" si="193"/>
        <v/>
      </c>
      <c r="CM66" s="24" t="str">
        <f t="shared" ca="1" si="193"/>
        <v/>
      </c>
      <c r="CN66" s="24" t="str">
        <f t="shared" ca="1" si="193"/>
        <v/>
      </c>
      <c r="CO66" s="24" t="str">
        <f t="shared" ca="1" si="193"/>
        <v/>
      </c>
      <c r="CP66" s="24" t="str">
        <f t="shared" ca="1" si="193"/>
        <v/>
      </c>
      <c r="CQ66" s="24" t="str">
        <f t="shared" ca="1" si="193"/>
        <v/>
      </c>
      <c r="CR66" s="24" t="str">
        <f t="shared" ca="1" si="193"/>
        <v/>
      </c>
      <c r="CS66" s="24" t="str">
        <f t="shared" ca="1" si="193"/>
        <v/>
      </c>
      <c r="CT66" s="24" t="str">
        <f t="shared" ca="1" si="193"/>
        <v/>
      </c>
      <c r="CU66" s="24" t="str">
        <f t="shared" ca="1" si="193"/>
        <v/>
      </c>
      <c r="CV66" s="24" t="str">
        <f t="shared" ca="1" si="194"/>
        <v/>
      </c>
      <c r="CW66" s="24" t="str">
        <f t="shared" ca="1" si="194"/>
        <v/>
      </c>
      <c r="CX66" s="24" t="str">
        <f t="shared" ca="1" si="194"/>
        <v/>
      </c>
      <c r="CY66" s="24" t="str">
        <f t="shared" ca="1" si="194"/>
        <v/>
      </c>
      <c r="CZ66" s="24" t="str">
        <f t="shared" ca="1" si="194"/>
        <v/>
      </c>
      <c r="DA66" s="24" t="str">
        <f t="shared" ca="1" si="194"/>
        <v/>
      </c>
      <c r="DB66" s="24" t="str">
        <f t="shared" ca="1" si="194"/>
        <v/>
      </c>
      <c r="DC66" s="24" t="str">
        <f t="shared" ca="1" si="194"/>
        <v/>
      </c>
      <c r="DD66" s="24" t="str">
        <f t="shared" ca="1" si="194"/>
        <v/>
      </c>
      <c r="DE66" s="24" t="str">
        <f t="shared" ca="1" si="194"/>
        <v/>
      </c>
      <c r="DF66" s="24" t="str">
        <f t="shared" ca="1" si="195"/>
        <v/>
      </c>
      <c r="DG66" s="24" t="str">
        <f t="shared" ca="1" si="195"/>
        <v/>
      </c>
      <c r="DH66" s="24" t="str">
        <f t="shared" ca="1" si="195"/>
        <v/>
      </c>
      <c r="DI66" s="24" t="str">
        <f t="shared" ca="1" si="195"/>
        <v/>
      </c>
      <c r="DJ66" s="24" t="str">
        <f t="shared" ca="1" si="195"/>
        <v/>
      </c>
      <c r="DK66" s="24" t="str">
        <f t="shared" ca="1" si="195"/>
        <v/>
      </c>
      <c r="DL66" s="24" t="str">
        <f t="shared" ca="1" si="195"/>
        <v/>
      </c>
      <c r="DM66" s="24" t="str">
        <f t="shared" ca="1" si="195"/>
        <v/>
      </c>
      <c r="DN66" s="24" t="str">
        <f t="shared" ca="1" si="195"/>
        <v/>
      </c>
      <c r="DO66" s="24" t="str">
        <f t="shared" ca="1" si="195"/>
        <v/>
      </c>
      <c r="DP66" s="24" t="str">
        <f t="shared" ca="1" si="196"/>
        <v/>
      </c>
      <c r="DQ66" s="24" t="str">
        <f t="shared" ca="1" si="196"/>
        <v/>
      </c>
      <c r="DR66" s="24" t="str">
        <f t="shared" ca="1" si="196"/>
        <v/>
      </c>
      <c r="DS66" s="24" t="str">
        <f t="shared" ca="1" si="196"/>
        <v/>
      </c>
      <c r="DT66" s="24" t="str">
        <f t="shared" ca="1" si="196"/>
        <v/>
      </c>
      <c r="DU66" s="24" t="str">
        <f t="shared" ca="1" si="196"/>
        <v/>
      </c>
      <c r="DV66" s="24" t="str">
        <f t="shared" ca="1" si="196"/>
        <v/>
      </c>
      <c r="DW66" s="24" t="str">
        <f t="shared" ca="1" si="196"/>
        <v/>
      </c>
      <c r="DX66" s="24" t="str">
        <f t="shared" ca="1" si="196"/>
        <v/>
      </c>
      <c r="DY66" s="24" t="str">
        <f t="shared" ca="1" si="196"/>
        <v/>
      </c>
      <c r="DZ66" s="24" t="str">
        <f t="shared" ca="1" si="197"/>
        <v/>
      </c>
      <c r="EA66" s="24" t="str">
        <f t="shared" ca="1" si="197"/>
        <v/>
      </c>
      <c r="EB66" s="24" t="str">
        <f t="shared" ca="1" si="197"/>
        <v/>
      </c>
      <c r="EC66" s="24" t="str">
        <f t="shared" ca="1" si="197"/>
        <v/>
      </c>
      <c r="ED66" s="24" t="str">
        <f t="shared" ca="1" si="197"/>
        <v/>
      </c>
      <c r="EE66" s="24" t="str">
        <f t="shared" ca="1" si="197"/>
        <v/>
      </c>
      <c r="EF66" s="24" t="str">
        <f t="shared" ca="1" si="197"/>
        <v/>
      </c>
      <c r="EG66" s="24" t="str">
        <f t="shared" ca="1" si="197"/>
        <v/>
      </c>
      <c r="EH66" s="24" t="str">
        <f t="shared" ca="1" si="197"/>
        <v/>
      </c>
      <c r="EI66" s="24" t="str">
        <f t="shared" ca="1" si="197"/>
        <v/>
      </c>
      <c r="EJ66" s="24" t="str">
        <f t="shared" ca="1" si="198"/>
        <v/>
      </c>
      <c r="EK66" s="24" t="str">
        <f t="shared" ca="1" si="198"/>
        <v/>
      </c>
      <c r="EL66" s="24" t="str">
        <f t="shared" ca="1" si="198"/>
        <v/>
      </c>
      <c r="EM66" s="24" t="str">
        <f t="shared" ca="1" si="198"/>
        <v/>
      </c>
      <c r="EN66" s="24" t="str">
        <f t="shared" ca="1" si="198"/>
        <v/>
      </c>
      <c r="EO66" s="24" t="str">
        <f t="shared" ca="1" si="198"/>
        <v/>
      </c>
      <c r="EP66" s="24" t="str">
        <f t="shared" ca="1" si="198"/>
        <v/>
      </c>
      <c r="EQ66" s="24" t="str">
        <f t="shared" ca="1" si="198"/>
        <v/>
      </c>
      <c r="ER66" s="24" t="str">
        <f t="shared" ca="1" si="198"/>
        <v/>
      </c>
      <c r="ES66" s="24" t="str">
        <f t="shared" ca="1" si="198"/>
        <v/>
      </c>
      <c r="ET66" s="24" t="str">
        <f t="shared" ca="1" si="199"/>
        <v/>
      </c>
      <c r="EU66" s="24" t="str">
        <f t="shared" ca="1" si="199"/>
        <v/>
      </c>
      <c r="EV66" s="24" t="str">
        <f t="shared" ca="1" si="199"/>
        <v/>
      </c>
      <c r="EW66" s="24" t="str">
        <f t="shared" ca="1" si="199"/>
        <v/>
      </c>
      <c r="EX66" s="24" t="str">
        <f t="shared" ca="1" si="199"/>
        <v/>
      </c>
      <c r="EY66" s="24" t="str">
        <f t="shared" ca="1" si="199"/>
        <v/>
      </c>
      <c r="EZ66" s="24" t="str">
        <f t="shared" ca="1" si="199"/>
        <v/>
      </c>
      <c r="FA66" s="24" t="str">
        <f t="shared" ca="1" si="199"/>
        <v/>
      </c>
      <c r="FB66" s="24" t="str">
        <f t="shared" ca="1" si="199"/>
        <v/>
      </c>
      <c r="FC66" s="24" t="str">
        <f t="shared" ca="1" si="199"/>
        <v/>
      </c>
      <c r="FD66" s="24" t="str">
        <f t="shared" ca="1" si="200"/>
        <v/>
      </c>
      <c r="FE66" s="24" t="str">
        <f t="shared" ca="1" si="200"/>
        <v/>
      </c>
      <c r="FF66" s="24" t="str">
        <f t="shared" ca="1" si="200"/>
        <v/>
      </c>
      <c r="FG66" s="24" t="str">
        <f t="shared" ca="1" si="200"/>
        <v/>
      </c>
      <c r="FH66" s="24" t="str">
        <f t="shared" ca="1" si="200"/>
        <v/>
      </c>
      <c r="FI66" s="24" t="str">
        <f t="shared" ca="1" si="200"/>
        <v/>
      </c>
      <c r="FJ66" s="24" t="str">
        <f t="shared" ca="1" si="200"/>
        <v/>
      </c>
      <c r="FK66" s="24" t="str">
        <f t="shared" ca="1" si="200"/>
        <v/>
      </c>
      <c r="FL66" s="24" t="str">
        <f t="shared" ca="1" si="200"/>
        <v/>
      </c>
      <c r="FM66" s="24" t="str">
        <f t="shared" ca="1" si="200"/>
        <v/>
      </c>
      <c r="FN66" s="24" t="str">
        <f t="shared" ca="1" si="201"/>
        <v/>
      </c>
      <c r="FO66" s="24" t="str">
        <f t="shared" ca="1" si="201"/>
        <v/>
      </c>
      <c r="FP66" s="24" t="str">
        <f t="shared" ca="1" si="201"/>
        <v/>
      </c>
      <c r="FQ66" s="24" t="str">
        <f t="shared" ca="1" si="201"/>
        <v/>
      </c>
      <c r="FR66" s="24" t="str">
        <f t="shared" ca="1" si="201"/>
        <v/>
      </c>
      <c r="FS66" s="24" t="str">
        <f t="shared" ca="1" si="201"/>
        <v/>
      </c>
      <c r="FT66" s="24" t="str">
        <f t="shared" ca="1" si="201"/>
        <v/>
      </c>
      <c r="FU66" s="24" t="str">
        <f t="shared" ca="1" si="201"/>
        <v/>
      </c>
      <c r="FV66" s="24" t="str">
        <f t="shared" ca="1" si="201"/>
        <v/>
      </c>
      <c r="FW66" s="24" t="str">
        <f t="shared" ca="1" si="201"/>
        <v/>
      </c>
      <c r="FX66" s="24" t="str">
        <f t="shared" ca="1" si="202"/>
        <v/>
      </c>
      <c r="FY66" s="24" t="str">
        <f t="shared" ca="1" si="202"/>
        <v/>
      </c>
      <c r="FZ66" s="24" t="str">
        <f t="shared" ca="1" si="202"/>
        <v/>
      </c>
      <c r="GA66" s="24" t="str">
        <f t="shared" ca="1" si="202"/>
        <v/>
      </c>
      <c r="GB66" s="24" t="str">
        <f t="shared" ca="1" si="202"/>
        <v/>
      </c>
      <c r="GC66" s="24" t="str">
        <f t="shared" ca="1" si="202"/>
        <v/>
      </c>
      <c r="GD66" s="24" t="str">
        <f t="shared" ca="1" si="202"/>
        <v/>
      </c>
      <c r="GE66" s="24" t="str">
        <f t="shared" ca="1" si="202"/>
        <v/>
      </c>
      <c r="GF66" s="24" t="str">
        <f t="shared" ca="1" si="202"/>
        <v/>
      </c>
      <c r="GG66" s="24" t="str">
        <f t="shared" ca="1" si="202"/>
        <v/>
      </c>
      <c r="GH66" s="24" t="str">
        <f t="shared" ca="1" si="203"/>
        <v/>
      </c>
      <c r="GI66" s="24" t="str">
        <f t="shared" ca="1" si="203"/>
        <v/>
      </c>
      <c r="GJ66" s="24" t="str">
        <f t="shared" ca="1" si="203"/>
        <v/>
      </c>
      <c r="GK66" s="24" t="str">
        <f t="shared" ca="1" si="203"/>
        <v/>
      </c>
      <c r="GL66" s="24" t="str">
        <f t="shared" ca="1" si="203"/>
        <v/>
      </c>
      <c r="GM66" s="24" t="str">
        <f t="shared" ca="1" si="203"/>
        <v/>
      </c>
      <c r="GN66" s="24" t="str">
        <f t="shared" ca="1" si="203"/>
        <v/>
      </c>
      <c r="GO66" s="24" t="str">
        <f t="shared" ca="1" si="203"/>
        <v/>
      </c>
      <c r="GP66" s="24" t="str">
        <f t="shared" ca="1" si="203"/>
        <v/>
      </c>
      <c r="GQ66" s="24" t="str">
        <f t="shared" ca="1" si="203"/>
        <v/>
      </c>
      <c r="GR66" s="24" t="str">
        <f t="shared" ca="1" si="204"/>
        <v/>
      </c>
      <c r="GS66" s="24" t="str">
        <f t="shared" ca="1" si="204"/>
        <v/>
      </c>
      <c r="GT66" s="24" t="str">
        <f t="shared" ca="1" si="204"/>
        <v/>
      </c>
      <c r="GU66" s="24" t="str">
        <f t="shared" ca="1" si="204"/>
        <v/>
      </c>
      <c r="GV66" s="24" t="str">
        <f t="shared" ca="1" si="204"/>
        <v/>
      </c>
      <c r="GW66" s="24" t="str">
        <f t="shared" ca="1" si="204"/>
        <v/>
      </c>
      <c r="GX66" s="24" t="str">
        <f t="shared" ca="1" si="204"/>
        <v/>
      </c>
      <c r="GY66" s="24" t="str">
        <f t="shared" ca="1" si="204"/>
        <v/>
      </c>
      <c r="GZ66" s="24" t="str">
        <f t="shared" ca="1" si="204"/>
        <v/>
      </c>
      <c r="HA66" s="24" t="str">
        <f t="shared" ca="1" si="204"/>
        <v/>
      </c>
      <c r="HB66" s="24" t="str">
        <f t="shared" ca="1" si="205"/>
        <v/>
      </c>
      <c r="HC66" s="24" t="str">
        <f t="shared" ca="1" si="205"/>
        <v/>
      </c>
      <c r="HD66" s="24" t="str">
        <f t="shared" ca="1" si="205"/>
        <v/>
      </c>
      <c r="HE66" s="24" t="str">
        <f t="shared" ca="1" si="205"/>
        <v/>
      </c>
      <c r="HF66" s="24" t="str">
        <f t="shared" ca="1" si="205"/>
        <v/>
      </c>
      <c r="HG66" s="24" t="str">
        <f t="shared" ca="1" si="205"/>
        <v/>
      </c>
      <c r="HH66" s="24" t="str">
        <f t="shared" ca="1" si="205"/>
        <v/>
      </c>
      <c r="HI66" s="24" t="str">
        <f t="shared" ca="1" si="205"/>
        <v/>
      </c>
      <c r="HJ66" s="24" t="str">
        <f t="shared" ca="1" si="205"/>
        <v/>
      </c>
      <c r="HK66" s="24" t="str">
        <f t="shared" ca="1" si="205"/>
        <v/>
      </c>
      <c r="HL66" s="24" t="str">
        <f t="shared" ca="1" si="206"/>
        <v/>
      </c>
      <c r="HM66" s="24" t="str">
        <f t="shared" ca="1" si="206"/>
        <v/>
      </c>
      <c r="HN66" s="24" t="str">
        <f t="shared" ca="1" si="206"/>
        <v/>
      </c>
      <c r="HO66" s="24" t="str">
        <f t="shared" ca="1" si="206"/>
        <v/>
      </c>
      <c r="HP66" s="24" t="str">
        <f t="shared" ca="1" si="206"/>
        <v/>
      </c>
      <c r="HQ66" s="24" t="str">
        <f t="shared" ca="1" si="206"/>
        <v/>
      </c>
      <c r="HR66" s="24" t="str">
        <f t="shared" ca="1" si="206"/>
        <v/>
      </c>
      <c r="HS66" s="24" t="str">
        <f t="shared" ca="1" si="206"/>
        <v/>
      </c>
      <c r="HT66" s="24" t="str">
        <f t="shared" ca="1" si="206"/>
        <v/>
      </c>
      <c r="HU66" s="24" t="str">
        <f t="shared" ca="1" si="206"/>
        <v/>
      </c>
      <c r="HV66" s="24" t="str">
        <f t="shared" ca="1" si="207"/>
        <v/>
      </c>
      <c r="HW66" s="24" t="str">
        <f t="shared" ca="1" si="207"/>
        <v/>
      </c>
      <c r="HX66" s="24" t="str">
        <f t="shared" ca="1" si="207"/>
        <v/>
      </c>
      <c r="HY66" s="24" t="str">
        <f t="shared" ca="1" si="207"/>
        <v/>
      </c>
      <c r="HZ66" s="24" t="str">
        <f t="shared" ca="1" si="207"/>
        <v/>
      </c>
      <c r="IA66" s="24" t="str">
        <f t="shared" ca="1" si="207"/>
        <v/>
      </c>
      <c r="IB66" s="24" t="str">
        <f t="shared" ca="1" si="207"/>
        <v/>
      </c>
      <c r="IC66" s="24" t="str">
        <f t="shared" ca="1" si="207"/>
        <v/>
      </c>
      <c r="ID66" s="24" t="str">
        <f t="shared" ca="1" si="207"/>
        <v/>
      </c>
      <c r="IE66" s="24" t="str">
        <f t="shared" ca="1" si="207"/>
        <v/>
      </c>
      <c r="IF66" s="24" t="str">
        <f t="shared" ca="1" si="208"/>
        <v/>
      </c>
      <c r="IG66" s="24" t="str">
        <f t="shared" ca="1" si="208"/>
        <v/>
      </c>
      <c r="IH66" s="24" t="str">
        <f t="shared" ca="1" si="208"/>
        <v/>
      </c>
      <c r="II66" s="24" t="str">
        <f t="shared" ca="1" si="208"/>
        <v/>
      </c>
      <c r="IJ66" s="24" t="str">
        <f t="shared" ca="1" si="208"/>
        <v/>
      </c>
      <c r="IK66" s="24" t="str">
        <f t="shared" ca="1" si="208"/>
        <v/>
      </c>
      <c r="IL66" s="24" t="str">
        <f t="shared" ca="1" si="208"/>
        <v/>
      </c>
      <c r="IM66" s="24" t="str">
        <f t="shared" ca="1" si="208"/>
        <v/>
      </c>
      <c r="IN66" s="24" t="str">
        <f t="shared" ca="1" si="208"/>
        <v/>
      </c>
      <c r="IO66" s="24" t="str">
        <f t="shared" ca="1" si="208"/>
        <v/>
      </c>
      <c r="IP66" s="24" t="str">
        <f t="shared" ca="1" si="209"/>
        <v/>
      </c>
      <c r="IQ66" s="24" t="str">
        <f t="shared" ca="1" si="209"/>
        <v/>
      </c>
      <c r="IR66" s="24" t="str">
        <f t="shared" ca="1" si="209"/>
        <v/>
      </c>
      <c r="IS66" s="24" t="str">
        <f t="shared" ca="1" si="209"/>
        <v/>
      </c>
      <c r="IT66" s="24" t="str">
        <f t="shared" ca="1" si="209"/>
        <v/>
      </c>
      <c r="IU66" s="24" t="str">
        <f t="shared" ca="1" si="209"/>
        <v/>
      </c>
      <c r="IV66" s="24" t="str">
        <f t="shared" ca="1" si="209"/>
        <v/>
      </c>
      <c r="IW66" s="24" t="str">
        <f t="shared" ca="1" si="209"/>
        <v/>
      </c>
      <c r="IX66" s="24" t="str">
        <f t="shared" ca="1" si="209"/>
        <v/>
      </c>
      <c r="IY66" s="24" t="str">
        <f t="shared" ca="1" si="209"/>
        <v/>
      </c>
      <c r="IZ66" s="24" t="str">
        <f t="shared" ca="1" si="210"/>
        <v/>
      </c>
      <c r="JA66" s="24" t="str">
        <f t="shared" ca="1" si="210"/>
        <v/>
      </c>
      <c r="JB66" s="24" t="str">
        <f t="shared" ca="1" si="210"/>
        <v/>
      </c>
      <c r="JC66" s="24" t="str">
        <f t="shared" ca="1" si="210"/>
        <v/>
      </c>
      <c r="JD66" s="24" t="str">
        <f t="shared" ca="1" si="210"/>
        <v/>
      </c>
      <c r="JE66" s="24" t="str">
        <f t="shared" ca="1" si="210"/>
        <v/>
      </c>
      <c r="JF66" s="24" t="str">
        <f t="shared" ca="1" si="210"/>
        <v/>
      </c>
      <c r="JG66" s="24" t="str">
        <f t="shared" ca="1" si="210"/>
        <v/>
      </c>
      <c r="JH66" s="24" t="str">
        <f t="shared" ca="1" si="210"/>
        <v/>
      </c>
      <c r="JI66" s="24" t="str">
        <f t="shared" ca="1" si="210"/>
        <v/>
      </c>
      <c r="JJ66" s="24" t="str">
        <f t="shared" ca="1" si="211"/>
        <v/>
      </c>
      <c r="JK66" s="24" t="str">
        <f t="shared" ca="1" si="211"/>
        <v/>
      </c>
      <c r="JL66" s="24" t="str">
        <f t="shared" ca="1" si="211"/>
        <v/>
      </c>
      <c r="JM66" s="24" t="str">
        <f t="shared" ca="1" si="211"/>
        <v/>
      </c>
      <c r="JN66" s="24" t="str">
        <f t="shared" ca="1" si="211"/>
        <v/>
      </c>
      <c r="JO66" s="24" t="str">
        <f t="shared" ca="1" si="211"/>
        <v/>
      </c>
      <c r="JP66" s="24" t="str">
        <f t="shared" ca="1" si="211"/>
        <v/>
      </c>
      <c r="JQ66" s="24" t="str">
        <f t="shared" ca="1" si="211"/>
        <v/>
      </c>
      <c r="JR66" s="24" t="str">
        <f t="shared" ca="1" si="211"/>
        <v/>
      </c>
      <c r="JS66" s="24" t="str">
        <f t="shared" ca="1" si="211"/>
        <v/>
      </c>
      <c r="JT66" s="24" t="str">
        <f t="shared" ca="1" si="212"/>
        <v/>
      </c>
      <c r="JU66" s="24" t="str">
        <f t="shared" ca="1" si="212"/>
        <v/>
      </c>
      <c r="JV66" s="24" t="str">
        <f t="shared" ca="1" si="212"/>
        <v/>
      </c>
      <c r="JW66" s="24" t="str">
        <f t="shared" ca="1" si="212"/>
        <v/>
      </c>
      <c r="JX66" s="24" t="str">
        <f t="shared" ca="1" si="212"/>
        <v/>
      </c>
      <c r="JY66" s="24" t="str">
        <f t="shared" ca="1" si="212"/>
        <v/>
      </c>
      <c r="JZ66" s="24" t="str">
        <f t="shared" ca="1" si="212"/>
        <v/>
      </c>
      <c r="KA66" s="24" t="str">
        <f t="shared" ca="1" si="212"/>
        <v/>
      </c>
      <c r="KB66" s="24" t="str">
        <f t="shared" ca="1" si="212"/>
        <v/>
      </c>
      <c r="KC66" s="24" t="str">
        <f t="shared" ca="1" si="212"/>
        <v/>
      </c>
      <c r="KD66" s="24" t="str">
        <f t="shared" ca="1" si="213"/>
        <v/>
      </c>
      <c r="KE66" s="24" t="str">
        <f t="shared" ca="1" si="213"/>
        <v/>
      </c>
      <c r="KF66" s="24" t="str">
        <f t="shared" ca="1" si="213"/>
        <v/>
      </c>
      <c r="KG66" s="24" t="str">
        <f t="shared" ca="1" si="213"/>
        <v/>
      </c>
      <c r="KH66" s="24" t="str">
        <f t="shared" ca="1" si="213"/>
        <v/>
      </c>
      <c r="KI66" s="24" t="str">
        <f t="shared" ca="1" si="213"/>
        <v/>
      </c>
      <c r="KJ66" s="24" t="str">
        <f t="shared" ca="1" si="213"/>
        <v/>
      </c>
      <c r="KK66" s="24" t="str">
        <f t="shared" ca="1" si="213"/>
        <v/>
      </c>
      <c r="KL66" s="24" t="str">
        <f t="shared" ca="1" si="213"/>
        <v/>
      </c>
      <c r="KM66" s="24" t="str">
        <f t="shared" ca="1" si="213"/>
        <v/>
      </c>
      <c r="KN66" s="24" t="str">
        <f t="shared" ca="1" si="214"/>
        <v/>
      </c>
      <c r="KO66" s="24" t="str">
        <f t="shared" ca="1" si="214"/>
        <v/>
      </c>
      <c r="KP66" s="24" t="str">
        <f t="shared" ca="1" si="214"/>
        <v/>
      </c>
      <c r="KQ66" s="24" t="str">
        <f t="shared" ca="1" si="214"/>
        <v/>
      </c>
      <c r="KR66" s="24" t="str">
        <f t="shared" ca="1" si="214"/>
        <v/>
      </c>
      <c r="KS66" s="24" t="str">
        <f t="shared" ca="1" si="214"/>
        <v/>
      </c>
      <c r="KT66" s="24" t="str">
        <f t="shared" ca="1" si="214"/>
        <v/>
      </c>
      <c r="KU66" s="24" t="str">
        <f t="shared" ca="1" si="214"/>
        <v/>
      </c>
      <c r="KV66" s="24" t="str">
        <f t="shared" ca="1" si="214"/>
        <v/>
      </c>
      <c r="KW66" s="24" t="str">
        <f t="shared" ca="1" si="214"/>
        <v/>
      </c>
      <c r="KX66" s="24" t="str">
        <f t="shared" ca="1" si="215"/>
        <v/>
      </c>
      <c r="KY66" s="24" t="str">
        <f t="shared" ca="1" si="215"/>
        <v/>
      </c>
      <c r="KZ66" s="24" t="str">
        <f t="shared" ca="1" si="215"/>
        <v/>
      </c>
      <c r="LA66" s="24" t="str">
        <f t="shared" ca="1" si="215"/>
        <v/>
      </c>
      <c r="LB66" s="24" t="str">
        <f t="shared" ca="1" si="215"/>
        <v/>
      </c>
      <c r="LC66" s="24" t="str">
        <f t="shared" ca="1" si="215"/>
        <v/>
      </c>
      <c r="LD66" s="24" t="str">
        <f t="shared" ca="1" si="215"/>
        <v/>
      </c>
      <c r="LE66" s="24" t="str">
        <f t="shared" ca="1" si="215"/>
        <v/>
      </c>
      <c r="LF66" s="24" t="str">
        <f t="shared" ca="1" si="215"/>
        <v/>
      </c>
      <c r="LG66" s="24" t="str">
        <f t="shared" ca="1" si="215"/>
        <v/>
      </c>
      <c r="LH66" s="24" t="str">
        <f t="shared" ca="1" si="216"/>
        <v/>
      </c>
      <c r="LI66" s="24" t="str">
        <f t="shared" ca="1" si="216"/>
        <v/>
      </c>
      <c r="LJ66" s="24" t="str">
        <f t="shared" ca="1" si="216"/>
        <v/>
      </c>
      <c r="LK66" s="24" t="str">
        <f t="shared" ca="1" si="216"/>
        <v/>
      </c>
      <c r="LL66" s="24" t="str">
        <f t="shared" ca="1" si="216"/>
        <v/>
      </c>
      <c r="LM66" s="24" t="str">
        <f t="shared" ca="1" si="216"/>
        <v/>
      </c>
      <c r="LN66" s="24" t="str">
        <f t="shared" ca="1" si="216"/>
        <v/>
      </c>
      <c r="LO66" s="24" t="str">
        <f t="shared" ca="1" si="216"/>
        <v/>
      </c>
      <c r="LP66" s="24" t="str">
        <f t="shared" ca="1" si="216"/>
        <v/>
      </c>
      <c r="LQ66" s="24" t="str">
        <f t="shared" ca="1" si="216"/>
        <v/>
      </c>
      <c r="LR66" s="24" t="str">
        <f t="shared" ca="1" si="217"/>
        <v/>
      </c>
      <c r="LS66" s="24" t="str">
        <f t="shared" ca="1" si="217"/>
        <v/>
      </c>
      <c r="LT66" s="24" t="str">
        <f t="shared" ca="1" si="217"/>
        <v/>
      </c>
      <c r="LU66" s="24" t="str">
        <f t="shared" ca="1" si="217"/>
        <v/>
      </c>
      <c r="LV66" s="24" t="str">
        <f t="shared" ca="1" si="217"/>
        <v/>
      </c>
      <c r="LW66" s="24" t="str">
        <f t="shared" ca="1" si="217"/>
        <v/>
      </c>
      <c r="LX66" s="24" t="str">
        <f t="shared" ca="1" si="217"/>
        <v/>
      </c>
      <c r="LY66" s="24" t="str">
        <f t="shared" ca="1" si="217"/>
        <v/>
      </c>
      <c r="LZ66" s="24" t="str">
        <f t="shared" ca="1" si="217"/>
        <v/>
      </c>
      <c r="MA66" s="24" t="str">
        <f t="shared" ca="1" si="217"/>
        <v/>
      </c>
      <c r="MB66" s="24" t="str">
        <f t="shared" ca="1" si="218"/>
        <v/>
      </c>
      <c r="MC66" s="24" t="str">
        <f t="shared" ca="1" si="218"/>
        <v/>
      </c>
      <c r="MD66" s="24" t="str">
        <f t="shared" ca="1" si="218"/>
        <v/>
      </c>
      <c r="ME66" s="24" t="str">
        <f t="shared" ca="1" si="218"/>
        <v/>
      </c>
      <c r="MF66" s="24" t="str">
        <f t="shared" ca="1" si="218"/>
        <v/>
      </c>
      <c r="MG66" s="24" t="str">
        <f t="shared" ca="1" si="218"/>
        <v/>
      </c>
      <c r="MH66" s="24" t="str">
        <f t="shared" ca="1" si="218"/>
        <v/>
      </c>
      <c r="MI66" s="24" t="str">
        <f t="shared" ca="1" si="218"/>
        <v/>
      </c>
      <c r="MJ66" s="24" t="str">
        <f t="shared" ca="1" si="218"/>
        <v/>
      </c>
      <c r="MK66" s="24" t="str">
        <f t="shared" ca="1" si="218"/>
        <v/>
      </c>
      <c r="ML66" s="24" t="str">
        <f t="shared" ca="1" si="219"/>
        <v/>
      </c>
      <c r="MM66" s="24" t="str">
        <f t="shared" ca="1" si="219"/>
        <v/>
      </c>
      <c r="MN66" s="24" t="str">
        <f t="shared" ca="1" si="219"/>
        <v/>
      </c>
      <c r="MO66" s="24" t="str">
        <f t="shared" ca="1" si="219"/>
        <v/>
      </c>
      <c r="MP66" s="24" t="str">
        <f t="shared" ca="1" si="219"/>
        <v/>
      </c>
      <c r="MQ66" s="24" t="str">
        <f t="shared" ca="1" si="219"/>
        <v/>
      </c>
      <c r="MR66" s="24" t="str">
        <f t="shared" ca="1" si="219"/>
        <v/>
      </c>
      <c r="MS66" s="24" t="str">
        <f t="shared" ca="1" si="219"/>
        <v/>
      </c>
      <c r="MT66" s="24" t="str">
        <f t="shared" ca="1" si="219"/>
        <v/>
      </c>
      <c r="MU66" s="24" t="str">
        <f t="shared" ca="1" si="219"/>
        <v/>
      </c>
      <c r="MV66" s="24" t="str">
        <f t="shared" ca="1" si="220"/>
        <v/>
      </c>
      <c r="MW66" s="24" t="str">
        <f t="shared" ca="1" si="220"/>
        <v/>
      </c>
      <c r="MX66" s="24" t="str">
        <f t="shared" ca="1" si="220"/>
        <v/>
      </c>
      <c r="MY66" s="24" t="str">
        <f t="shared" ca="1" si="220"/>
        <v/>
      </c>
      <c r="MZ66" s="24" t="str">
        <f t="shared" ca="1" si="220"/>
        <v/>
      </c>
      <c r="NA66" s="24" t="str">
        <f t="shared" ca="1" si="220"/>
        <v/>
      </c>
      <c r="NB66" s="24" t="str">
        <f t="shared" ca="1" si="220"/>
        <v/>
      </c>
      <c r="NC66" s="24" t="str">
        <f t="shared" ca="1" si="220"/>
        <v/>
      </c>
      <c r="ND66" s="24" t="str">
        <f t="shared" ca="1" si="220"/>
        <v/>
      </c>
      <c r="NE66" s="24" t="str">
        <f t="shared" ca="1" si="220"/>
        <v/>
      </c>
      <c r="NF66" s="24" t="str">
        <f t="shared" ca="1" si="221"/>
        <v/>
      </c>
      <c r="NG66" s="24" t="str">
        <f t="shared" ca="1" si="221"/>
        <v/>
      </c>
      <c r="NH66" s="24" t="str">
        <f t="shared" ca="1" si="221"/>
        <v/>
      </c>
      <c r="NI66" s="24" t="str">
        <f t="shared" ca="1" si="221"/>
        <v/>
      </c>
      <c r="NJ66" s="24" t="str">
        <f t="shared" ca="1" si="221"/>
        <v/>
      </c>
      <c r="NK66" s="24" t="str">
        <f t="shared" ca="1" si="221"/>
        <v/>
      </c>
      <c r="NL66" s="24" t="str">
        <f t="shared" ca="1" si="221"/>
        <v/>
      </c>
      <c r="NM66" s="24" t="str">
        <f t="shared" ca="1" si="221"/>
        <v/>
      </c>
      <c r="NN66" s="24" t="str">
        <f t="shared" ca="1" si="221"/>
        <v/>
      </c>
      <c r="NO66" s="24" t="str">
        <f t="shared" ca="1" si="221"/>
        <v/>
      </c>
      <c r="NP66" s="24" t="str">
        <f t="shared" ca="1" si="222"/>
        <v/>
      </c>
      <c r="NQ66" s="24" t="str">
        <f t="shared" ca="1" si="222"/>
        <v/>
      </c>
      <c r="NR66" s="24" t="str">
        <f t="shared" ca="1" si="222"/>
        <v/>
      </c>
      <c r="NS66" s="24" t="str">
        <f t="shared" ca="1" si="222"/>
        <v/>
      </c>
      <c r="NT66" s="24" t="str">
        <f t="shared" ca="1" si="222"/>
        <v/>
      </c>
      <c r="NU66" s="24" t="str">
        <f t="shared" ca="1" si="222"/>
        <v/>
      </c>
      <c r="NV66" s="24" t="str">
        <f t="shared" ca="1" si="222"/>
        <v/>
      </c>
      <c r="NW66" s="24" t="str">
        <f t="shared" ca="1" si="222"/>
        <v/>
      </c>
      <c r="NX66" s="24" t="str">
        <f t="shared" ca="1" si="222"/>
        <v/>
      </c>
      <c r="NY66" s="24" t="str">
        <f t="shared" ca="1" si="222"/>
        <v/>
      </c>
      <c r="NZ66" s="24" t="str">
        <f t="shared" ca="1" si="223"/>
        <v/>
      </c>
      <c r="OA66" s="24" t="str">
        <f t="shared" ca="1" si="223"/>
        <v/>
      </c>
      <c r="OB66" s="24" t="str">
        <f t="shared" ca="1" si="223"/>
        <v/>
      </c>
      <c r="OC66" s="24" t="str">
        <f t="shared" ca="1" si="223"/>
        <v/>
      </c>
      <c r="OD66" s="24" t="str">
        <f t="shared" ca="1" si="223"/>
        <v/>
      </c>
      <c r="OE66" s="24" t="str">
        <f t="shared" ca="1" si="223"/>
        <v/>
      </c>
      <c r="OF66" s="24" t="str">
        <f t="shared" ca="1" si="223"/>
        <v/>
      </c>
      <c r="OG66" s="24" t="str">
        <f t="shared" ca="1" si="223"/>
        <v/>
      </c>
      <c r="OH66" s="24" t="str">
        <f t="shared" ca="1" si="223"/>
        <v/>
      </c>
      <c r="OI66" s="24" t="str">
        <f t="shared" ca="1" si="223"/>
        <v/>
      </c>
      <c r="OJ66" s="24" t="str">
        <f t="shared" ca="1" si="224"/>
        <v/>
      </c>
      <c r="OK66" s="24" t="str">
        <f t="shared" ca="1" si="224"/>
        <v/>
      </c>
      <c r="OL66" s="24" t="str">
        <f t="shared" ca="1" si="224"/>
        <v/>
      </c>
      <c r="OM66" s="24" t="str">
        <f t="shared" ca="1" si="224"/>
        <v/>
      </c>
      <c r="ON66" s="24" t="str">
        <f t="shared" ca="1" si="224"/>
        <v/>
      </c>
      <c r="OO66" s="24" t="str">
        <f t="shared" ca="1" si="224"/>
        <v/>
      </c>
      <c r="OP66" s="24" t="str">
        <f t="shared" ca="1" si="224"/>
        <v/>
      </c>
      <c r="OQ66" s="24" t="str">
        <f t="shared" ca="1" si="224"/>
        <v/>
      </c>
      <c r="OR66" s="24" t="str">
        <f t="shared" ca="1" si="224"/>
        <v/>
      </c>
      <c r="OS66" s="24" t="str">
        <f t="shared" ca="1" si="224"/>
        <v/>
      </c>
      <c r="OT66" s="24" t="str">
        <f t="shared" ca="1" si="225"/>
        <v/>
      </c>
      <c r="OU66" s="24" t="str">
        <f t="shared" ca="1" si="225"/>
        <v/>
      </c>
      <c r="OV66" s="24" t="str">
        <f t="shared" ca="1" si="225"/>
        <v/>
      </c>
      <c r="OW66" s="24" t="str">
        <f t="shared" ca="1" si="225"/>
        <v/>
      </c>
      <c r="OX66" s="24" t="str">
        <f t="shared" ca="1" si="225"/>
        <v/>
      </c>
      <c r="OY66" s="24" t="str">
        <f t="shared" ca="1" si="225"/>
        <v/>
      </c>
      <c r="OZ66" s="24" t="str">
        <f t="shared" ca="1" si="225"/>
        <v/>
      </c>
      <c r="PA66" s="24" t="str">
        <f t="shared" ca="1" si="225"/>
        <v/>
      </c>
      <c r="PB66" s="24" t="str">
        <f t="shared" ca="1" si="225"/>
        <v/>
      </c>
      <c r="PC66" s="24" t="str">
        <f t="shared" ca="1" si="225"/>
        <v/>
      </c>
      <c r="PD66" s="24" t="str">
        <f t="shared" ca="1" si="226"/>
        <v/>
      </c>
      <c r="PE66" s="24" t="str">
        <f t="shared" ca="1" si="226"/>
        <v/>
      </c>
      <c r="PF66" s="24" t="str">
        <f t="shared" ca="1" si="226"/>
        <v/>
      </c>
      <c r="PG66" s="24" t="str">
        <f t="shared" ca="1" si="226"/>
        <v/>
      </c>
      <c r="PH66" s="24" t="str">
        <f t="shared" ca="1" si="226"/>
        <v/>
      </c>
      <c r="PI66" s="24" t="str">
        <f t="shared" ca="1" si="226"/>
        <v/>
      </c>
      <c r="PJ66" s="24" t="str">
        <f t="shared" ca="1" si="226"/>
        <v/>
      </c>
      <c r="PK66" s="24" t="str">
        <f t="shared" ca="1" si="226"/>
        <v/>
      </c>
      <c r="PL66" s="24" t="str">
        <f t="shared" ca="1" si="226"/>
        <v/>
      </c>
      <c r="PM66" s="24" t="str">
        <f t="shared" ca="1" si="226"/>
        <v/>
      </c>
      <c r="PN66" s="24" t="str">
        <f t="shared" ca="1" si="227"/>
        <v/>
      </c>
      <c r="PO66" s="24" t="str">
        <f t="shared" ca="1" si="227"/>
        <v/>
      </c>
      <c r="PP66" s="24" t="str">
        <f t="shared" ca="1" si="227"/>
        <v/>
      </c>
      <c r="PQ66" s="24" t="str">
        <f t="shared" ca="1" si="227"/>
        <v/>
      </c>
      <c r="PR66" s="24" t="str">
        <f t="shared" ca="1" si="227"/>
        <v/>
      </c>
      <c r="PS66" s="24" t="str">
        <f t="shared" ca="1" si="227"/>
        <v/>
      </c>
      <c r="PT66" s="24" t="str">
        <f t="shared" ca="1" si="227"/>
        <v/>
      </c>
      <c r="PU66" s="24" t="str">
        <f t="shared" ca="1" si="227"/>
        <v/>
      </c>
      <c r="PV66" s="24" t="str">
        <f t="shared" ca="1" si="227"/>
        <v/>
      </c>
      <c r="PW66" s="24" t="str">
        <f t="shared" ca="1" si="227"/>
        <v/>
      </c>
      <c r="PX66" s="24" t="str">
        <f t="shared" ca="1" si="228"/>
        <v/>
      </c>
      <c r="PY66" s="24" t="str">
        <f t="shared" ca="1" si="228"/>
        <v/>
      </c>
      <c r="PZ66" s="24" t="str">
        <f t="shared" ca="1" si="228"/>
        <v/>
      </c>
      <c r="QA66" s="24" t="str">
        <f t="shared" ca="1" si="228"/>
        <v/>
      </c>
      <c r="QB66" s="24" t="str">
        <f t="shared" ca="1" si="228"/>
        <v/>
      </c>
      <c r="QC66" s="24" t="str">
        <f t="shared" ca="1" si="228"/>
        <v/>
      </c>
      <c r="QD66" s="24" t="str">
        <f t="shared" ca="1" si="228"/>
        <v/>
      </c>
      <c r="QE66" s="24" t="str">
        <f t="shared" ca="1" si="228"/>
        <v/>
      </c>
      <c r="QF66" s="24" t="str">
        <f t="shared" ca="1" si="228"/>
        <v/>
      </c>
      <c r="QG66" s="24" t="str">
        <f t="shared" ca="1" si="228"/>
        <v/>
      </c>
      <c r="QH66" s="24" t="str">
        <f t="shared" ca="1" si="229"/>
        <v/>
      </c>
      <c r="QI66" s="24" t="str">
        <f t="shared" ca="1" si="229"/>
        <v/>
      </c>
      <c r="QJ66" s="24" t="str">
        <f t="shared" ca="1" si="229"/>
        <v/>
      </c>
      <c r="QK66" s="24" t="str">
        <f t="shared" ca="1" si="229"/>
        <v/>
      </c>
      <c r="QL66" s="24" t="str">
        <f t="shared" ca="1" si="229"/>
        <v/>
      </c>
      <c r="QM66" s="24" t="str">
        <f t="shared" ca="1" si="229"/>
        <v/>
      </c>
      <c r="QN66" s="24" t="str">
        <f t="shared" ca="1" si="229"/>
        <v/>
      </c>
      <c r="QO66" s="24" t="str">
        <f t="shared" ca="1" si="229"/>
        <v/>
      </c>
      <c r="QP66" s="24" t="str">
        <f t="shared" ca="1" si="229"/>
        <v/>
      </c>
      <c r="QQ66" s="24" t="str">
        <f t="shared" ca="1" si="229"/>
        <v/>
      </c>
      <c r="QR66" s="24" t="str">
        <f t="shared" ca="1" si="230"/>
        <v/>
      </c>
      <c r="QS66" s="24" t="str">
        <f t="shared" ca="1" si="230"/>
        <v/>
      </c>
      <c r="QT66" s="24" t="str">
        <f t="shared" ca="1" si="230"/>
        <v/>
      </c>
      <c r="QU66" s="24" t="str">
        <f t="shared" ca="1" si="230"/>
        <v/>
      </c>
      <c r="QV66" s="24" t="str">
        <f t="shared" ca="1" si="230"/>
        <v/>
      </c>
      <c r="QW66" s="24" t="str">
        <f t="shared" ca="1" si="230"/>
        <v/>
      </c>
      <c r="QX66" s="24" t="str">
        <f t="shared" ca="1" si="230"/>
        <v/>
      </c>
      <c r="QY66" s="24" t="str">
        <f t="shared" ca="1" si="230"/>
        <v/>
      </c>
      <c r="QZ66" s="24" t="str">
        <f t="shared" ca="1" si="230"/>
        <v/>
      </c>
      <c r="RA66" s="24" t="str">
        <f t="shared" ca="1" si="230"/>
        <v/>
      </c>
      <c r="RB66" s="24" t="str">
        <f t="shared" ca="1" si="231"/>
        <v/>
      </c>
      <c r="RC66" s="24" t="str">
        <f t="shared" ca="1" si="231"/>
        <v/>
      </c>
      <c r="RD66" s="24" t="str">
        <f t="shared" ca="1" si="231"/>
        <v/>
      </c>
      <c r="RE66" s="24" t="str">
        <f t="shared" ca="1" si="231"/>
        <v/>
      </c>
      <c r="RF66" s="24" t="str">
        <f t="shared" ca="1" si="231"/>
        <v/>
      </c>
      <c r="RG66" s="24" t="str">
        <f t="shared" ca="1" si="231"/>
        <v/>
      </c>
      <c r="RH66" s="24" t="str">
        <f t="shared" ca="1" si="231"/>
        <v/>
      </c>
      <c r="RI66" s="24" t="str">
        <f t="shared" ca="1" si="231"/>
        <v/>
      </c>
      <c r="RJ66" s="24" t="str">
        <f t="shared" ca="1" si="231"/>
        <v/>
      </c>
      <c r="RK66" s="24" t="str">
        <f t="shared" ca="1" si="231"/>
        <v/>
      </c>
      <c r="RL66" s="24" t="str">
        <f t="shared" ca="1" si="232"/>
        <v/>
      </c>
      <c r="RM66" s="24" t="str">
        <f t="shared" ca="1" si="232"/>
        <v/>
      </c>
      <c r="RN66" s="24" t="str">
        <f t="shared" ca="1" si="232"/>
        <v/>
      </c>
      <c r="RO66" s="24" t="str">
        <f t="shared" ca="1" si="232"/>
        <v/>
      </c>
      <c r="RP66" s="24" t="str">
        <f t="shared" ca="1" si="232"/>
        <v/>
      </c>
      <c r="RQ66" s="24" t="str">
        <f t="shared" ca="1" si="232"/>
        <v/>
      </c>
      <c r="RR66" s="24" t="str">
        <f t="shared" ca="1" si="232"/>
        <v/>
      </c>
      <c r="RS66" s="24" t="str">
        <f t="shared" ca="1" si="232"/>
        <v/>
      </c>
      <c r="RT66" s="24" t="str">
        <f t="shared" ca="1" si="232"/>
        <v/>
      </c>
      <c r="RU66" s="24" t="str">
        <f t="shared" ca="1" si="232"/>
        <v/>
      </c>
      <c r="RV66" s="24" t="str">
        <f t="shared" ca="1" si="233"/>
        <v/>
      </c>
      <c r="RW66" s="24" t="str">
        <f t="shared" ca="1" si="233"/>
        <v/>
      </c>
      <c r="RX66" s="24" t="str">
        <f t="shared" ca="1" si="233"/>
        <v/>
      </c>
      <c r="RY66" s="24" t="str">
        <f t="shared" ca="1" si="233"/>
        <v/>
      </c>
      <c r="RZ66" s="24" t="str">
        <f t="shared" ca="1" si="233"/>
        <v/>
      </c>
      <c r="SA66" s="24" t="str">
        <f t="shared" ca="1" si="233"/>
        <v/>
      </c>
      <c r="SB66" s="24" t="str">
        <f t="shared" ca="1" si="233"/>
        <v/>
      </c>
      <c r="SC66" s="24" t="str">
        <f t="shared" ca="1" si="233"/>
        <v/>
      </c>
      <c r="SD66" s="24" t="str">
        <f t="shared" ca="1" si="233"/>
        <v/>
      </c>
      <c r="SE66" s="24" t="str">
        <f t="shared" ca="1" si="233"/>
        <v/>
      </c>
      <c r="SF66" s="24" t="str">
        <f t="shared" ca="1" si="234"/>
        <v/>
      </c>
      <c r="SG66" s="24" t="str">
        <f t="shared" ca="1" si="234"/>
        <v/>
      </c>
      <c r="SH66" s="24" t="str">
        <f t="shared" ca="1" si="234"/>
        <v/>
      </c>
      <c r="SI66" s="24" t="str">
        <f t="shared" ca="1" si="234"/>
        <v/>
      </c>
      <c r="SJ66" s="24" t="str">
        <f t="shared" ca="1" si="234"/>
        <v/>
      </c>
      <c r="SK66" s="24" t="str">
        <f t="shared" ca="1" si="234"/>
        <v/>
      </c>
      <c r="SL66" s="24" t="str">
        <f t="shared" ca="1" si="234"/>
        <v/>
      </c>
      <c r="SM66" s="24" t="str">
        <f t="shared" ca="1" si="234"/>
        <v/>
      </c>
      <c r="SN66" s="24" t="str">
        <f t="shared" ca="1" si="234"/>
        <v/>
      </c>
      <c r="SO66" s="24" t="str">
        <f t="shared" ca="1" si="234"/>
        <v/>
      </c>
      <c r="SP66" s="24" t="str">
        <f t="shared" ca="1" si="235"/>
        <v/>
      </c>
      <c r="SQ66" s="24" t="str">
        <f t="shared" ca="1" si="235"/>
        <v/>
      </c>
      <c r="SR66" s="24" t="str">
        <f t="shared" ca="1" si="235"/>
        <v/>
      </c>
      <c r="SS66" s="24" t="str">
        <f t="shared" ca="1" si="235"/>
        <v/>
      </c>
      <c r="ST66" s="24" t="str">
        <f t="shared" ca="1" si="235"/>
        <v/>
      </c>
      <c r="SU66" s="24" t="str">
        <f t="shared" ca="1" si="235"/>
        <v/>
      </c>
      <c r="SV66" s="24" t="str">
        <f t="shared" ca="1" si="235"/>
        <v/>
      </c>
      <c r="SW66" s="24" t="str">
        <f t="shared" ca="1" si="235"/>
        <v/>
      </c>
      <c r="SX66" s="24" t="str">
        <f t="shared" ca="1" si="235"/>
        <v/>
      </c>
      <c r="SY66" s="24" t="str">
        <f t="shared" ca="1" si="235"/>
        <v/>
      </c>
      <c r="SZ66" s="24" t="str">
        <f t="shared" ca="1" si="236"/>
        <v/>
      </c>
      <c r="TA66" s="24" t="str">
        <f t="shared" ca="1" si="236"/>
        <v/>
      </c>
      <c r="TB66" s="24" t="str">
        <f t="shared" ca="1" si="236"/>
        <v/>
      </c>
      <c r="TC66" s="24" t="str">
        <f t="shared" ca="1" si="236"/>
        <v/>
      </c>
      <c r="TD66" s="24" t="str">
        <f t="shared" ca="1" si="236"/>
        <v/>
      </c>
      <c r="TE66" s="24" t="str">
        <f t="shared" ca="1" si="236"/>
        <v/>
      </c>
      <c r="TF66" s="24" t="str">
        <f t="shared" ca="1" si="236"/>
        <v/>
      </c>
      <c r="TG66" s="24" t="str">
        <f t="shared" ca="1" si="236"/>
        <v/>
      </c>
      <c r="TH66" s="24" t="str">
        <f t="shared" ca="1" si="236"/>
        <v/>
      </c>
      <c r="TI66" s="24" t="str">
        <f t="shared" ca="1" si="236"/>
        <v/>
      </c>
      <c r="TJ66" s="24" t="str">
        <f t="shared" ca="1" si="237"/>
        <v/>
      </c>
      <c r="TK66" s="24" t="str">
        <f t="shared" ca="1" si="237"/>
        <v/>
      </c>
      <c r="TL66" s="24" t="str">
        <f t="shared" ca="1" si="237"/>
        <v/>
      </c>
      <c r="TM66" s="24" t="str">
        <f t="shared" ca="1" si="237"/>
        <v/>
      </c>
      <c r="TN66" s="24" t="str">
        <f t="shared" ca="1" si="237"/>
        <v/>
      </c>
      <c r="TO66" s="24" t="str">
        <f t="shared" ca="1" si="237"/>
        <v/>
      </c>
      <c r="TP66" s="24" t="str">
        <f t="shared" ca="1" si="237"/>
        <v/>
      </c>
      <c r="TQ66" s="24" t="str">
        <f t="shared" ca="1" si="237"/>
        <v/>
      </c>
      <c r="TR66" s="24" t="str">
        <f t="shared" ca="1" si="237"/>
        <v/>
      </c>
      <c r="TS66" s="24" t="str">
        <f t="shared" ca="1" si="237"/>
        <v/>
      </c>
      <c r="TT66" s="24" t="str">
        <f t="shared" ca="1" si="238"/>
        <v/>
      </c>
      <c r="TU66" s="24" t="str">
        <f t="shared" ca="1" si="238"/>
        <v/>
      </c>
      <c r="TV66" s="24" t="str">
        <f t="shared" ca="1" si="238"/>
        <v/>
      </c>
      <c r="TW66" s="24" t="str">
        <f t="shared" ca="1" si="238"/>
        <v/>
      </c>
      <c r="TX66" s="24" t="str">
        <f t="shared" ca="1" si="238"/>
        <v/>
      </c>
      <c r="TY66" s="24" t="str">
        <f t="shared" ca="1" si="238"/>
        <v/>
      </c>
      <c r="TZ66" s="24" t="str">
        <f t="shared" ca="1" si="238"/>
        <v/>
      </c>
      <c r="UA66" s="24" t="str">
        <f t="shared" ca="1" si="238"/>
        <v/>
      </c>
      <c r="UB66" s="24" t="str">
        <f t="shared" ca="1" si="238"/>
        <v/>
      </c>
      <c r="UC66" s="24" t="str">
        <f t="shared" ca="1" si="238"/>
        <v/>
      </c>
      <c r="UD66" s="24" t="str">
        <f t="shared" ca="1" si="239"/>
        <v/>
      </c>
      <c r="UE66" s="24" t="str">
        <f t="shared" ca="1" si="239"/>
        <v/>
      </c>
      <c r="UF66" s="24" t="str">
        <f t="shared" ca="1" si="239"/>
        <v/>
      </c>
      <c r="UG66" s="24" t="str">
        <f t="shared" ca="1" si="239"/>
        <v/>
      </c>
      <c r="UH66" s="24" t="str">
        <f t="shared" ca="1" si="239"/>
        <v/>
      </c>
      <c r="UI66" s="24" t="str">
        <f t="shared" ca="1" si="239"/>
        <v/>
      </c>
      <c r="UJ66" s="24" t="str">
        <f t="shared" ca="1" si="239"/>
        <v/>
      </c>
      <c r="UK66" s="24" t="str">
        <f t="shared" ca="1" si="239"/>
        <v/>
      </c>
      <c r="UL66" s="24" t="str">
        <f t="shared" ca="1" si="239"/>
        <v/>
      </c>
      <c r="UM66" s="24" t="str">
        <f t="shared" ca="1" si="239"/>
        <v/>
      </c>
      <c r="UN66" s="24" t="str">
        <f t="shared" ca="1" si="240"/>
        <v/>
      </c>
      <c r="UO66" s="24" t="str">
        <f t="shared" ca="1" si="240"/>
        <v/>
      </c>
      <c r="UP66" s="24" t="str">
        <f t="shared" ca="1" si="240"/>
        <v/>
      </c>
      <c r="UQ66" s="24" t="str">
        <f t="shared" ca="1" si="240"/>
        <v/>
      </c>
      <c r="UR66" s="24" t="str">
        <f t="shared" ca="1" si="240"/>
        <v/>
      </c>
      <c r="US66" s="24" t="str">
        <f t="shared" ca="1" si="240"/>
        <v/>
      </c>
      <c r="UT66" s="24" t="str">
        <f t="shared" ca="1" si="240"/>
        <v/>
      </c>
      <c r="UU66" s="24" t="str">
        <f t="shared" ca="1" si="240"/>
        <v/>
      </c>
      <c r="UV66" s="24" t="str">
        <f t="shared" ca="1" si="240"/>
        <v/>
      </c>
      <c r="UW66" s="24" t="str">
        <f t="shared" ca="1" si="240"/>
        <v/>
      </c>
      <c r="UX66" s="24" t="str">
        <f t="shared" ca="1" si="241"/>
        <v/>
      </c>
      <c r="UY66" s="24" t="str">
        <f t="shared" ca="1" si="241"/>
        <v/>
      </c>
      <c r="UZ66" s="24" t="str">
        <f t="shared" ca="1" si="241"/>
        <v/>
      </c>
      <c r="VA66" s="24" t="str">
        <f t="shared" ca="1" si="241"/>
        <v/>
      </c>
      <c r="VB66" s="24" t="str">
        <f t="shared" ca="1" si="241"/>
        <v/>
      </c>
      <c r="VC66" s="24" t="str">
        <f t="shared" ca="1" si="241"/>
        <v/>
      </c>
      <c r="VD66" s="24" t="str">
        <f t="shared" ca="1" si="241"/>
        <v/>
      </c>
      <c r="VE66" s="24" t="str">
        <f t="shared" ca="1" si="241"/>
        <v/>
      </c>
      <c r="VF66" s="24" t="str">
        <f t="shared" ca="1" si="241"/>
        <v/>
      </c>
      <c r="VG66" s="24" t="str">
        <f t="shared" ca="1" si="241"/>
        <v/>
      </c>
      <c r="VH66" s="24" t="str">
        <f t="shared" ca="1" si="242"/>
        <v/>
      </c>
      <c r="VI66" s="24" t="str">
        <f t="shared" ca="1" si="242"/>
        <v/>
      </c>
      <c r="VJ66" s="24" t="str">
        <f t="shared" ca="1" si="242"/>
        <v/>
      </c>
      <c r="VK66" s="24" t="str">
        <f t="shared" ca="1" si="242"/>
        <v/>
      </c>
      <c r="VL66" s="24" t="str">
        <f t="shared" ca="1" si="242"/>
        <v/>
      </c>
      <c r="VM66" s="24" t="str">
        <f t="shared" ca="1" si="242"/>
        <v/>
      </c>
      <c r="VN66" s="24" t="str">
        <f t="shared" ca="1" si="242"/>
        <v/>
      </c>
      <c r="VO66" s="24" t="str">
        <f t="shared" ca="1" si="242"/>
        <v/>
      </c>
      <c r="VP66" s="24" t="str">
        <f t="shared" ca="1" si="242"/>
        <v/>
      </c>
      <c r="VQ66" s="24" t="str">
        <f t="shared" ca="1" si="242"/>
        <v/>
      </c>
      <c r="VR66" s="24" t="str">
        <f t="shared" ca="1" si="242"/>
        <v/>
      </c>
      <c r="VS66" s="24" t="str">
        <f t="shared" ca="1" si="242"/>
        <v/>
      </c>
    </row>
    <row r="67" spans="1:591" s="17" customFormat="1" ht="21.6" customHeight="1" x14ac:dyDescent="0.3">
      <c r="A67" s="81"/>
      <c r="B67" s="28" t="s">
        <v>69</v>
      </c>
      <c r="C67" s="19"/>
      <c r="D67" s="19"/>
      <c r="E67" s="27"/>
      <c r="F67" s="26"/>
      <c r="G67" s="26">
        <f>Milestones43524[[#This Row],[Start]]+Milestones43524[[#This Row],[Days]]</f>
        <v>0</v>
      </c>
      <c r="H67" s="25"/>
      <c r="I67" s="19"/>
      <c r="J67" s="24" t="str">
        <f t="shared" ca="1" si="185"/>
        <v/>
      </c>
      <c r="K67" s="24" t="str">
        <f t="shared" ca="1" si="185"/>
        <v/>
      </c>
      <c r="L67" s="24" t="str">
        <f t="shared" ca="1" si="185"/>
        <v/>
      </c>
      <c r="M67" s="24" t="str">
        <f t="shared" ca="1" si="185"/>
        <v/>
      </c>
      <c r="N67" s="24" t="str">
        <f t="shared" ca="1" si="185"/>
        <v/>
      </c>
      <c r="O67" s="24" t="str">
        <f t="shared" ca="1" si="185"/>
        <v/>
      </c>
      <c r="P67" s="24" t="str">
        <f t="shared" ca="1" si="185"/>
        <v/>
      </c>
      <c r="Q67" s="24" t="str">
        <f t="shared" ca="1" si="185"/>
        <v/>
      </c>
      <c r="R67" s="24" t="str">
        <f t="shared" ca="1" si="185"/>
        <v/>
      </c>
      <c r="S67" s="24" t="str">
        <f t="shared" ca="1" si="185"/>
        <v/>
      </c>
      <c r="T67" s="24" t="str">
        <f t="shared" ca="1" si="186"/>
        <v/>
      </c>
      <c r="U67" s="24" t="str">
        <f t="shared" ca="1" si="186"/>
        <v/>
      </c>
      <c r="V67" s="24" t="str">
        <f t="shared" ca="1" si="186"/>
        <v/>
      </c>
      <c r="W67" s="24" t="str">
        <f t="shared" ca="1" si="186"/>
        <v/>
      </c>
      <c r="X67" s="24" t="str">
        <f t="shared" ca="1" si="186"/>
        <v/>
      </c>
      <c r="Y67" s="24" t="str">
        <f t="shared" ca="1" si="186"/>
        <v/>
      </c>
      <c r="Z67" s="24" t="str">
        <f t="shared" ca="1" si="186"/>
        <v/>
      </c>
      <c r="AA67" s="24" t="str">
        <f t="shared" ca="1" si="186"/>
        <v/>
      </c>
      <c r="AB67" s="24" t="str">
        <f t="shared" ca="1" si="186"/>
        <v/>
      </c>
      <c r="AC67" s="24" t="str">
        <f t="shared" ca="1" si="186"/>
        <v/>
      </c>
      <c r="AD67" s="24" t="str">
        <f t="shared" ca="1" si="187"/>
        <v/>
      </c>
      <c r="AE67" s="24" t="str">
        <f t="shared" ca="1" si="187"/>
        <v/>
      </c>
      <c r="AF67" s="24" t="str">
        <f t="shared" ca="1" si="187"/>
        <v/>
      </c>
      <c r="AG67" s="24" t="str">
        <f t="shared" ca="1" si="187"/>
        <v/>
      </c>
      <c r="AH67" s="24" t="str">
        <f t="shared" ca="1" si="187"/>
        <v/>
      </c>
      <c r="AI67" s="24" t="str">
        <f t="shared" ca="1" si="187"/>
        <v/>
      </c>
      <c r="AJ67" s="24" t="str">
        <f t="shared" ca="1" si="187"/>
        <v/>
      </c>
      <c r="AK67" s="24" t="str">
        <f t="shared" ca="1" si="187"/>
        <v/>
      </c>
      <c r="AL67" s="24" t="str">
        <f t="shared" ca="1" si="187"/>
        <v/>
      </c>
      <c r="AM67" s="24" t="str">
        <f t="shared" ca="1" si="187"/>
        <v/>
      </c>
      <c r="AN67" s="24" t="str">
        <f t="shared" ca="1" si="188"/>
        <v/>
      </c>
      <c r="AO67" s="24" t="str">
        <f t="shared" ca="1" si="188"/>
        <v/>
      </c>
      <c r="AP67" s="24" t="str">
        <f t="shared" ca="1" si="188"/>
        <v/>
      </c>
      <c r="AQ67" s="24" t="str">
        <f t="shared" ca="1" si="188"/>
        <v/>
      </c>
      <c r="AR67" s="24" t="str">
        <f t="shared" ca="1" si="188"/>
        <v/>
      </c>
      <c r="AS67" s="24" t="str">
        <f t="shared" ca="1" si="188"/>
        <v/>
      </c>
      <c r="AT67" s="24" t="str">
        <f t="shared" ca="1" si="188"/>
        <v/>
      </c>
      <c r="AU67" s="24" t="str">
        <f t="shared" ca="1" si="188"/>
        <v/>
      </c>
      <c r="AV67" s="24" t="str">
        <f t="shared" ca="1" si="188"/>
        <v/>
      </c>
      <c r="AW67" s="24" t="str">
        <f t="shared" ca="1" si="188"/>
        <v/>
      </c>
      <c r="AX67" s="24" t="str">
        <f t="shared" ca="1" si="189"/>
        <v/>
      </c>
      <c r="AY67" s="24" t="str">
        <f t="shared" ca="1" si="189"/>
        <v/>
      </c>
      <c r="AZ67" s="24" t="str">
        <f t="shared" ca="1" si="189"/>
        <v/>
      </c>
      <c r="BA67" s="24" t="str">
        <f t="shared" ca="1" si="189"/>
        <v/>
      </c>
      <c r="BB67" s="24" t="str">
        <f t="shared" ca="1" si="189"/>
        <v/>
      </c>
      <c r="BC67" s="24" t="str">
        <f t="shared" ca="1" si="189"/>
        <v/>
      </c>
      <c r="BD67" s="24" t="str">
        <f t="shared" ca="1" si="189"/>
        <v/>
      </c>
      <c r="BE67" s="24" t="str">
        <f t="shared" ca="1" si="189"/>
        <v/>
      </c>
      <c r="BF67" s="24" t="str">
        <f t="shared" ca="1" si="189"/>
        <v/>
      </c>
      <c r="BG67" s="24" t="str">
        <f t="shared" ca="1" si="189"/>
        <v/>
      </c>
      <c r="BH67" s="24" t="str">
        <f t="shared" ca="1" si="190"/>
        <v/>
      </c>
      <c r="BI67" s="24" t="str">
        <f t="shared" ca="1" si="190"/>
        <v/>
      </c>
      <c r="BJ67" s="24" t="str">
        <f t="shared" ca="1" si="190"/>
        <v/>
      </c>
      <c r="BK67" s="24" t="str">
        <f t="shared" ca="1" si="190"/>
        <v/>
      </c>
      <c r="BL67" s="24" t="str">
        <f t="shared" ca="1" si="190"/>
        <v/>
      </c>
      <c r="BM67" s="24" t="str">
        <f t="shared" ca="1" si="190"/>
        <v/>
      </c>
      <c r="BN67" s="24" t="str">
        <f t="shared" ca="1" si="190"/>
        <v/>
      </c>
      <c r="BO67" s="24" t="str">
        <f t="shared" ca="1" si="190"/>
        <v/>
      </c>
      <c r="BP67" s="24" t="str">
        <f t="shared" ca="1" si="190"/>
        <v/>
      </c>
      <c r="BQ67" s="24" t="str">
        <f t="shared" ca="1" si="190"/>
        <v/>
      </c>
      <c r="BR67" s="24" t="str">
        <f t="shared" ca="1" si="191"/>
        <v/>
      </c>
      <c r="BS67" s="24" t="str">
        <f t="shared" ca="1" si="191"/>
        <v/>
      </c>
      <c r="BT67" s="24" t="str">
        <f t="shared" ca="1" si="191"/>
        <v/>
      </c>
      <c r="BU67" s="24" t="str">
        <f t="shared" ca="1" si="191"/>
        <v/>
      </c>
      <c r="BV67" s="24" t="str">
        <f t="shared" ca="1" si="191"/>
        <v/>
      </c>
      <c r="BW67" s="24" t="str">
        <f t="shared" ca="1" si="191"/>
        <v/>
      </c>
      <c r="BX67" s="24" t="str">
        <f t="shared" ca="1" si="191"/>
        <v/>
      </c>
      <c r="BY67" s="24" t="str">
        <f t="shared" ca="1" si="191"/>
        <v/>
      </c>
      <c r="BZ67" s="24" t="str">
        <f t="shared" ca="1" si="191"/>
        <v/>
      </c>
      <c r="CA67" s="24" t="str">
        <f t="shared" ca="1" si="191"/>
        <v/>
      </c>
      <c r="CB67" s="24" t="str">
        <f t="shared" ca="1" si="192"/>
        <v/>
      </c>
      <c r="CC67" s="24" t="str">
        <f t="shared" ca="1" si="192"/>
        <v/>
      </c>
      <c r="CD67" s="24" t="str">
        <f t="shared" ca="1" si="192"/>
        <v/>
      </c>
      <c r="CE67" s="24" t="str">
        <f t="shared" ca="1" si="192"/>
        <v/>
      </c>
      <c r="CF67" s="24" t="str">
        <f t="shared" ca="1" si="192"/>
        <v/>
      </c>
      <c r="CG67" s="24" t="str">
        <f t="shared" ca="1" si="192"/>
        <v/>
      </c>
      <c r="CH67" s="24" t="str">
        <f t="shared" ca="1" si="192"/>
        <v/>
      </c>
      <c r="CI67" s="24" t="str">
        <f t="shared" ca="1" si="192"/>
        <v/>
      </c>
      <c r="CJ67" s="24" t="str">
        <f t="shared" ca="1" si="192"/>
        <v/>
      </c>
      <c r="CK67" s="24" t="str">
        <f t="shared" ca="1" si="192"/>
        <v/>
      </c>
      <c r="CL67" s="24" t="str">
        <f t="shared" ca="1" si="193"/>
        <v/>
      </c>
      <c r="CM67" s="24" t="str">
        <f t="shared" ca="1" si="193"/>
        <v/>
      </c>
      <c r="CN67" s="24" t="str">
        <f t="shared" ca="1" si="193"/>
        <v/>
      </c>
      <c r="CO67" s="24" t="str">
        <f t="shared" ca="1" si="193"/>
        <v/>
      </c>
      <c r="CP67" s="24" t="str">
        <f t="shared" ca="1" si="193"/>
        <v/>
      </c>
      <c r="CQ67" s="24" t="str">
        <f t="shared" ca="1" si="193"/>
        <v/>
      </c>
      <c r="CR67" s="24" t="str">
        <f t="shared" ca="1" si="193"/>
        <v/>
      </c>
      <c r="CS67" s="24" t="str">
        <f t="shared" ca="1" si="193"/>
        <v/>
      </c>
      <c r="CT67" s="24" t="str">
        <f t="shared" ca="1" si="193"/>
        <v/>
      </c>
      <c r="CU67" s="24" t="str">
        <f t="shared" ca="1" si="193"/>
        <v/>
      </c>
      <c r="CV67" s="24" t="str">
        <f t="shared" ca="1" si="194"/>
        <v/>
      </c>
      <c r="CW67" s="24" t="str">
        <f t="shared" ca="1" si="194"/>
        <v/>
      </c>
      <c r="CX67" s="24" t="str">
        <f t="shared" ca="1" si="194"/>
        <v/>
      </c>
      <c r="CY67" s="24" t="str">
        <f t="shared" ca="1" si="194"/>
        <v/>
      </c>
      <c r="CZ67" s="24" t="str">
        <f t="shared" ca="1" si="194"/>
        <v/>
      </c>
      <c r="DA67" s="24" t="str">
        <f t="shared" ca="1" si="194"/>
        <v/>
      </c>
      <c r="DB67" s="24" t="str">
        <f t="shared" ca="1" si="194"/>
        <v/>
      </c>
      <c r="DC67" s="24" t="str">
        <f t="shared" ca="1" si="194"/>
        <v/>
      </c>
      <c r="DD67" s="24" t="str">
        <f t="shared" ca="1" si="194"/>
        <v/>
      </c>
      <c r="DE67" s="24" t="str">
        <f t="shared" ca="1" si="194"/>
        <v/>
      </c>
      <c r="DF67" s="24" t="str">
        <f t="shared" ca="1" si="195"/>
        <v/>
      </c>
      <c r="DG67" s="24" t="str">
        <f t="shared" ca="1" si="195"/>
        <v/>
      </c>
      <c r="DH67" s="24" t="str">
        <f t="shared" ca="1" si="195"/>
        <v/>
      </c>
      <c r="DI67" s="24" t="str">
        <f t="shared" ca="1" si="195"/>
        <v/>
      </c>
      <c r="DJ67" s="24" t="str">
        <f t="shared" ca="1" si="195"/>
        <v/>
      </c>
      <c r="DK67" s="24" t="str">
        <f t="shared" ca="1" si="195"/>
        <v/>
      </c>
      <c r="DL67" s="24" t="str">
        <f t="shared" ca="1" si="195"/>
        <v/>
      </c>
      <c r="DM67" s="24" t="str">
        <f t="shared" ca="1" si="195"/>
        <v/>
      </c>
      <c r="DN67" s="24" t="str">
        <f t="shared" ca="1" si="195"/>
        <v/>
      </c>
      <c r="DO67" s="24" t="str">
        <f t="shared" ca="1" si="195"/>
        <v/>
      </c>
      <c r="DP67" s="24" t="str">
        <f t="shared" ca="1" si="196"/>
        <v/>
      </c>
      <c r="DQ67" s="24" t="str">
        <f t="shared" ca="1" si="196"/>
        <v/>
      </c>
      <c r="DR67" s="24" t="str">
        <f t="shared" ca="1" si="196"/>
        <v/>
      </c>
      <c r="DS67" s="24" t="str">
        <f t="shared" ca="1" si="196"/>
        <v/>
      </c>
      <c r="DT67" s="24" t="str">
        <f t="shared" ca="1" si="196"/>
        <v/>
      </c>
      <c r="DU67" s="24" t="str">
        <f t="shared" ca="1" si="196"/>
        <v/>
      </c>
      <c r="DV67" s="24" t="str">
        <f t="shared" ca="1" si="196"/>
        <v/>
      </c>
      <c r="DW67" s="24" t="str">
        <f t="shared" ca="1" si="196"/>
        <v/>
      </c>
      <c r="DX67" s="24" t="str">
        <f t="shared" ca="1" si="196"/>
        <v/>
      </c>
      <c r="DY67" s="24" t="str">
        <f t="shared" ca="1" si="196"/>
        <v/>
      </c>
      <c r="DZ67" s="24" t="str">
        <f t="shared" ca="1" si="197"/>
        <v/>
      </c>
      <c r="EA67" s="24" t="str">
        <f t="shared" ca="1" si="197"/>
        <v/>
      </c>
      <c r="EB67" s="24" t="str">
        <f t="shared" ca="1" si="197"/>
        <v/>
      </c>
      <c r="EC67" s="24" t="str">
        <f t="shared" ca="1" si="197"/>
        <v/>
      </c>
      <c r="ED67" s="24" t="str">
        <f t="shared" ca="1" si="197"/>
        <v/>
      </c>
      <c r="EE67" s="24" t="str">
        <f t="shared" ca="1" si="197"/>
        <v/>
      </c>
      <c r="EF67" s="24" t="str">
        <f t="shared" ca="1" si="197"/>
        <v/>
      </c>
      <c r="EG67" s="24" t="str">
        <f t="shared" ca="1" si="197"/>
        <v/>
      </c>
      <c r="EH67" s="24" t="str">
        <f t="shared" ca="1" si="197"/>
        <v/>
      </c>
      <c r="EI67" s="24" t="str">
        <f t="shared" ca="1" si="197"/>
        <v/>
      </c>
      <c r="EJ67" s="24" t="str">
        <f t="shared" ca="1" si="198"/>
        <v/>
      </c>
      <c r="EK67" s="24" t="str">
        <f t="shared" ca="1" si="198"/>
        <v/>
      </c>
      <c r="EL67" s="24" t="str">
        <f t="shared" ca="1" si="198"/>
        <v/>
      </c>
      <c r="EM67" s="24" t="str">
        <f t="shared" ca="1" si="198"/>
        <v/>
      </c>
      <c r="EN67" s="24" t="str">
        <f t="shared" ca="1" si="198"/>
        <v/>
      </c>
      <c r="EO67" s="24" t="str">
        <f t="shared" ca="1" si="198"/>
        <v/>
      </c>
      <c r="EP67" s="24" t="str">
        <f t="shared" ca="1" si="198"/>
        <v/>
      </c>
      <c r="EQ67" s="24" t="str">
        <f t="shared" ca="1" si="198"/>
        <v/>
      </c>
      <c r="ER67" s="24" t="str">
        <f t="shared" ca="1" si="198"/>
        <v/>
      </c>
      <c r="ES67" s="24" t="str">
        <f t="shared" ca="1" si="198"/>
        <v/>
      </c>
      <c r="ET67" s="24" t="str">
        <f t="shared" ca="1" si="199"/>
        <v/>
      </c>
      <c r="EU67" s="24" t="str">
        <f t="shared" ca="1" si="199"/>
        <v/>
      </c>
      <c r="EV67" s="24" t="str">
        <f t="shared" ca="1" si="199"/>
        <v/>
      </c>
      <c r="EW67" s="24" t="str">
        <f t="shared" ca="1" si="199"/>
        <v/>
      </c>
      <c r="EX67" s="24" t="str">
        <f t="shared" ca="1" si="199"/>
        <v/>
      </c>
      <c r="EY67" s="24" t="str">
        <f t="shared" ca="1" si="199"/>
        <v/>
      </c>
      <c r="EZ67" s="24" t="str">
        <f t="shared" ca="1" si="199"/>
        <v/>
      </c>
      <c r="FA67" s="24" t="str">
        <f t="shared" ca="1" si="199"/>
        <v/>
      </c>
      <c r="FB67" s="24" t="str">
        <f t="shared" ca="1" si="199"/>
        <v/>
      </c>
      <c r="FC67" s="24" t="str">
        <f t="shared" ca="1" si="199"/>
        <v/>
      </c>
      <c r="FD67" s="24" t="str">
        <f t="shared" ca="1" si="200"/>
        <v/>
      </c>
      <c r="FE67" s="24" t="str">
        <f t="shared" ca="1" si="200"/>
        <v/>
      </c>
      <c r="FF67" s="24" t="str">
        <f t="shared" ca="1" si="200"/>
        <v/>
      </c>
      <c r="FG67" s="24" t="str">
        <f t="shared" ca="1" si="200"/>
        <v/>
      </c>
      <c r="FH67" s="24" t="str">
        <f t="shared" ca="1" si="200"/>
        <v/>
      </c>
      <c r="FI67" s="24" t="str">
        <f t="shared" ca="1" si="200"/>
        <v/>
      </c>
      <c r="FJ67" s="24" t="str">
        <f t="shared" ca="1" si="200"/>
        <v/>
      </c>
      <c r="FK67" s="24" t="str">
        <f t="shared" ca="1" si="200"/>
        <v/>
      </c>
      <c r="FL67" s="24" t="str">
        <f t="shared" ca="1" si="200"/>
        <v/>
      </c>
      <c r="FM67" s="24" t="str">
        <f t="shared" ca="1" si="200"/>
        <v/>
      </c>
      <c r="FN67" s="24" t="str">
        <f t="shared" ca="1" si="201"/>
        <v/>
      </c>
      <c r="FO67" s="24" t="str">
        <f t="shared" ca="1" si="201"/>
        <v/>
      </c>
      <c r="FP67" s="24" t="str">
        <f t="shared" ca="1" si="201"/>
        <v/>
      </c>
      <c r="FQ67" s="24" t="str">
        <f t="shared" ca="1" si="201"/>
        <v/>
      </c>
      <c r="FR67" s="24" t="str">
        <f t="shared" ca="1" si="201"/>
        <v/>
      </c>
      <c r="FS67" s="24" t="str">
        <f t="shared" ca="1" si="201"/>
        <v/>
      </c>
      <c r="FT67" s="24" t="str">
        <f t="shared" ca="1" si="201"/>
        <v/>
      </c>
      <c r="FU67" s="24" t="str">
        <f t="shared" ca="1" si="201"/>
        <v/>
      </c>
      <c r="FV67" s="24" t="str">
        <f t="shared" ca="1" si="201"/>
        <v/>
      </c>
      <c r="FW67" s="24" t="str">
        <f t="shared" ca="1" si="201"/>
        <v/>
      </c>
      <c r="FX67" s="24" t="str">
        <f t="shared" ca="1" si="202"/>
        <v/>
      </c>
      <c r="FY67" s="24" t="str">
        <f t="shared" ca="1" si="202"/>
        <v/>
      </c>
      <c r="FZ67" s="24" t="str">
        <f t="shared" ca="1" si="202"/>
        <v/>
      </c>
      <c r="GA67" s="24" t="str">
        <f t="shared" ca="1" si="202"/>
        <v/>
      </c>
      <c r="GB67" s="24" t="str">
        <f t="shared" ca="1" si="202"/>
        <v/>
      </c>
      <c r="GC67" s="24" t="str">
        <f t="shared" ca="1" si="202"/>
        <v/>
      </c>
      <c r="GD67" s="24" t="str">
        <f t="shared" ca="1" si="202"/>
        <v/>
      </c>
      <c r="GE67" s="24" t="str">
        <f t="shared" ca="1" si="202"/>
        <v/>
      </c>
      <c r="GF67" s="24" t="str">
        <f t="shared" ca="1" si="202"/>
        <v/>
      </c>
      <c r="GG67" s="24" t="str">
        <f t="shared" ca="1" si="202"/>
        <v/>
      </c>
      <c r="GH67" s="24" t="str">
        <f t="shared" ca="1" si="203"/>
        <v/>
      </c>
      <c r="GI67" s="24" t="str">
        <f t="shared" ca="1" si="203"/>
        <v/>
      </c>
      <c r="GJ67" s="24" t="str">
        <f t="shared" ca="1" si="203"/>
        <v/>
      </c>
      <c r="GK67" s="24" t="str">
        <f t="shared" ca="1" si="203"/>
        <v/>
      </c>
      <c r="GL67" s="24" t="str">
        <f t="shared" ca="1" si="203"/>
        <v/>
      </c>
      <c r="GM67" s="24" t="str">
        <f t="shared" ca="1" si="203"/>
        <v/>
      </c>
      <c r="GN67" s="24" t="str">
        <f t="shared" ca="1" si="203"/>
        <v/>
      </c>
      <c r="GO67" s="24" t="str">
        <f t="shared" ca="1" si="203"/>
        <v/>
      </c>
      <c r="GP67" s="24" t="str">
        <f t="shared" ca="1" si="203"/>
        <v/>
      </c>
      <c r="GQ67" s="24" t="str">
        <f t="shared" ca="1" si="203"/>
        <v/>
      </c>
      <c r="GR67" s="24" t="str">
        <f t="shared" ca="1" si="204"/>
        <v/>
      </c>
      <c r="GS67" s="24" t="str">
        <f t="shared" ca="1" si="204"/>
        <v/>
      </c>
      <c r="GT67" s="24" t="str">
        <f t="shared" ca="1" si="204"/>
        <v/>
      </c>
      <c r="GU67" s="24" t="str">
        <f t="shared" ca="1" si="204"/>
        <v/>
      </c>
      <c r="GV67" s="24" t="str">
        <f t="shared" ca="1" si="204"/>
        <v/>
      </c>
      <c r="GW67" s="24" t="str">
        <f t="shared" ca="1" si="204"/>
        <v/>
      </c>
      <c r="GX67" s="24" t="str">
        <f t="shared" ca="1" si="204"/>
        <v/>
      </c>
      <c r="GY67" s="24" t="str">
        <f t="shared" ca="1" si="204"/>
        <v/>
      </c>
      <c r="GZ67" s="24" t="str">
        <f t="shared" ca="1" si="204"/>
        <v/>
      </c>
      <c r="HA67" s="24" t="str">
        <f t="shared" ca="1" si="204"/>
        <v/>
      </c>
      <c r="HB67" s="24" t="str">
        <f t="shared" ca="1" si="205"/>
        <v/>
      </c>
      <c r="HC67" s="24" t="str">
        <f t="shared" ca="1" si="205"/>
        <v/>
      </c>
      <c r="HD67" s="24" t="str">
        <f t="shared" ca="1" si="205"/>
        <v/>
      </c>
      <c r="HE67" s="24" t="str">
        <f t="shared" ca="1" si="205"/>
        <v/>
      </c>
      <c r="HF67" s="24" t="str">
        <f t="shared" ca="1" si="205"/>
        <v/>
      </c>
      <c r="HG67" s="24" t="str">
        <f t="shared" ca="1" si="205"/>
        <v/>
      </c>
      <c r="HH67" s="24" t="str">
        <f t="shared" ca="1" si="205"/>
        <v/>
      </c>
      <c r="HI67" s="24" t="str">
        <f t="shared" ca="1" si="205"/>
        <v/>
      </c>
      <c r="HJ67" s="24" t="str">
        <f t="shared" ca="1" si="205"/>
        <v/>
      </c>
      <c r="HK67" s="24" t="str">
        <f t="shared" ca="1" si="205"/>
        <v/>
      </c>
      <c r="HL67" s="24" t="str">
        <f t="shared" ca="1" si="206"/>
        <v/>
      </c>
      <c r="HM67" s="24" t="str">
        <f t="shared" ca="1" si="206"/>
        <v/>
      </c>
      <c r="HN67" s="24" t="str">
        <f t="shared" ca="1" si="206"/>
        <v/>
      </c>
      <c r="HO67" s="24" t="str">
        <f t="shared" ca="1" si="206"/>
        <v/>
      </c>
      <c r="HP67" s="24" t="str">
        <f t="shared" ca="1" si="206"/>
        <v/>
      </c>
      <c r="HQ67" s="24" t="str">
        <f t="shared" ca="1" si="206"/>
        <v/>
      </c>
      <c r="HR67" s="24" t="str">
        <f t="shared" ca="1" si="206"/>
        <v/>
      </c>
      <c r="HS67" s="24" t="str">
        <f t="shared" ca="1" si="206"/>
        <v/>
      </c>
      <c r="HT67" s="24" t="str">
        <f t="shared" ca="1" si="206"/>
        <v/>
      </c>
      <c r="HU67" s="24" t="str">
        <f t="shared" ca="1" si="206"/>
        <v/>
      </c>
      <c r="HV67" s="24" t="str">
        <f t="shared" ca="1" si="207"/>
        <v/>
      </c>
      <c r="HW67" s="24" t="str">
        <f t="shared" ca="1" si="207"/>
        <v/>
      </c>
      <c r="HX67" s="24" t="str">
        <f t="shared" ca="1" si="207"/>
        <v/>
      </c>
      <c r="HY67" s="24" t="str">
        <f t="shared" ca="1" si="207"/>
        <v/>
      </c>
      <c r="HZ67" s="24" t="str">
        <f t="shared" ca="1" si="207"/>
        <v/>
      </c>
      <c r="IA67" s="24" t="str">
        <f t="shared" ca="1" si="207"/>
        <v/>
      </c>
      <c r="IB67" s="24" t="str">
        <f t="shared" ca="1" si="207"/>
        <v/>
      </c>
      <c r="IC67" s="24" t="str">
        <f t="shared" ca="1" si="207"/>
        <v/>
      </c>
      <c r="ID67" s="24" t="str">
        <f t="shared" ca="1" si="207"/>
        <v/>
      </c>
      <c r="IE67" s="24" t="str">
        <f t="shared" ca="1" si="207"/>
        <v/>
      </c>
      <c r="IF67" s="24" t="str">
        <f t="shared" ca="1" si="208"/>
        <v/>
      </c>
      <c r="IG67" s="24" t="str">
        <f t="shared" ca="1" si="208"/>
        <v/>
      </c>
      <c r="IH67" s="24" t="str">
        <f t="shared" ca="1" si="208"/>
        <v/>
      </c>
      <c r="II67" s="24" t="str">
        <f t="shared" ca="1" si="208"/>
        <v/>
      </c>
      <c r="IJ67" s="24" t="str">
        <f t="shared" ca="1" si="208"/>
        <v/>
      </c>
      <c r="IK67" s="24" t="str">
        <f t="shared" ca="1" si="208"/>
        <v/>
      </c>
      <c r="IL67" s="24" t="str">
        <f t="shared" ca="1" si="208"/>
        <v/>
      </c>
      <c r="IM67" s="24" t="str">
        <f t="shared" ca="1" si="208"/>
        <v/>
      </c>
      <c r="IN67" s="24" t="str">
        <f t="shared" ca="1" si="208"/>
        <v/>
      </c>
      <c r="IO67" s="24" t="str">
        <f t="shared" ca="1" si="208"/>
        <v/>
      </c>
      <c r="IP67" s="24" t="str">
        <f t="shared" ca="1" si="209"/>
        <v/>
      </c>
      <c r="IQ67" s="24" t="str">
        <f t="shared" ca="1" si="209"/>
        <v/>
      </c>
      <c r="IR67" s="24" t="str">
        <f t="shared" ca="1" si="209"/>
        <v/>
      </c>
      <c r="IS67" s="24" t="str">
        <f t="shared" ca="1" si="209"/>
        <v/>
      </c>
      <c r="IT67" s="24" t="str">
        <f t="shared" ca="1" si="209"/>
        <v/>
      </c>
      <c r="IU67" s="24" t="str">
        <f t="shared" ca="1" si="209"/>
        <v/>
      </c>
      <c r="IV67" s="24" t="str">
        <f t="shared" ca="1" si="209"/>
        <v/>
      </c>
      <c r="IW67" s="24" t="str">
        <f t="shared" ca="1" si="209"/>
        <v/>
      </c>
      <c r="IX67" s="24" t="str">
        <f t="shared" ca="1" si="209"/>
        <v/>
      </c>
      <c r="IY67" s="24" t="str">
        <f t="shared" ca="1" si="209"/>
        <v/>
      </c>
      <c r="IZ67" s="24" t="str">
        <f t="shared" ca="1" si="210"/>
        <v/>
      </c>
      <c r="JA67" s="24" t="str">
        <f t="shared" ca="1" si="210"/>
        <v/>
      </c>
      <c r="JB67" s="24" t="str">
        <f t="shared" ca="1" si="210"/>
        <v/>
      </c>
      <c r="JC67" s="24" t="str">
        <f t="shared" ca="1" si="210"/>
        <v/>
      </c>
      <c r="JD67" s="24" t="str">
        <f t="shared" ca="1" si="210"/>
        <v/>
      </c>
      <c r="JE67" s="24" t="str">
        <f t="shared" ca="1" si="210"/>
        <v/>
      </c>
      <c r="JF67" s="24" t="str">
        <f t="shared" ca="1" si="210"/>
        <v/>
      </c>
      <c r="JG67" s="24" t="str">
        <f t="shared" ca="1" si="210"/>
        <v/>
      </c>
      <c r="JH67" s="24" t="str">
        <f t="shared" ca="1" si="210"/>
        <v/>
      </c>
      <c r="JI67" s="24" t="str">
        <f t="shared" ca="1" si="210"/>
        <v/>
      </c>
      <c r="JJ67" s="24" t="str">
        <f t="shared" ca="1" si="211"/>
        <v/>
      </c>
      <c r="JK67" s="24" t="str">
        <f t="shared" ca="1" si="211"/>
        <v/>
      </c>
      <c r="JL67" s="24" t="str">
        <f t="shared" ca="1" si="211"/>
        <v/>
      </c>
      <c r="JM67" s="24" t="str">
        <f t="shared" ca="1" si="211"/>
        <v/>
      </c>
      <c r="JN67" s="24" t="str">
        <f t="shared" ca="1" si="211"/>
        <v/>
      </c>
      <c r="JO67" s="24" t="str">
        <f t="shared" ca="1" si="211"/>
        <v/>
      </c>
      <c r="JP67" s="24" t="str">
        <f t="shared" ca="1" si="211"/>
        <v/>
      </c>
      <c r="JQ67" s="24" t="str">
        <f t="shared" ca="1" si="211"/>
        <v/>
      </c>
      <c r="JR67" s="24" t="str">
        <f t="shared" ca="1" si="211"/>
        <v/>
      </c>
      <c r="JS67" s="24" t="str">
        <f t="shared" ca="1" si="211"/>
        <v/>
      </c>
      <c r="JT67" s="24" t="str">
        <f t="shared" ca="1" si="212"/>
        <v/>
      </c>
      <c r="JU67" s="24" t="str">
        <f t="shared" ca="1" si="212"/>
        <v/>
      </c>
      <c r="JV67" s="24" t="str">
        <f t="shared" ca="1" si="212"/>
        <v/>
      </c>
      <c r="JW67" s="24" t="str">
        <f t="shared" ca="1" si="212"/>
        <v/>
      </c>
      <c r="JX67" s="24" t="str">
        <f t="shared" ca="1" si="212"/>
        <v/>
      </c>
      <c r="JY67" s="24" t="str">
        <f t="shared" ca="1" si="212"/>
        <v/>
      </c>
      <c r="JZ67" s="24" t="str">
        <f t="shared" ca="1" si="212"/>
        <v/>
      </c>
      <c r="KA67" s="24" t="str">
        <f t="shared" ca="1" si="212"/>
        <v/>
      </c>
      <c r="KB67" s="24" t="str">
        <f t="shared" ca="1" si="212"/>
        <v/>
      </c>
      <c r="KC67" s="24" t="str">
        <f t="shared" ca="1" si="212"/>
        <v/>
      </c>
      <c r="KD67" s="24" t="str">
        <f t="shared" ca="1" si="213"/>
        <v/>
      </c>
      <c r="KE67" s="24" t="str">
        <f t="shared" ca="1" si="213"/>
        <v/>
      </c>
      <c r="KF67" s="24" t="str">
        <f t="shared" ca="1" si="213"/>
        <v/>
      </c>
      <c r="KG67" s="24" t="str">
        <f t="shared" ca="1" si="213"/>
        <v/>
      </c>
      <c r="KH67" s="24" t="str">
        <f t="shared" ca="1" si="213"/>
        <v/>
      </c>
      <c r="KI67" s="24" t="str">
        <f t="shared" ca="1" si="213"/>
        <v/>
      </c>
      <c r="KJ67" s="24" t="str">
        <f t="shared" ca="1" si="213"/>
        <v/>
      </c>
      <c r="KK67" s="24" t="str">
        <f t="shared" ca="1" si="213"/>
        <v/>
      </c>
      <c r="KL67" s="24" t="str">
        <f t="shared" ca="1" si="213"/>
        <v/>
      </c>
      <c r="KM67" s="24" t="str">
        <f t="shared" ca="1" si="213"/>
        <v/>
      </c>
      <c r="KN67" s="24" t="str">
        <f t="shared" ca="1" si="214"/>
        <v/>
      </c>
      <c r="KO67" s="24" t="str">
        <f t="shared" ca="1" si="214"/>
        <v/>
      </c>
      <c r="KP67" s="24" t="str">
        <f t="shared" ca="1" si="214"/>
        <v/>
      </c>
      <c r="KQ67" s="24" t="str">
        <f t="shared" ca="1" si="214"/>
        <v/>
      </c>
      <c r="KR67" s="24" t="str">
        <f t="shared" ca="1" si="214"/>
        <v/>
      </c>
      <c r="KS67" s="24" t="str">
        <f t="shared" ca="1" si="214"/>
        <v/>
      </c>
      <c r="KT67" s="24" t="str">
        <f t="shared" ca="1" si="214"/>
        <v/>
      </c>
      <c r="KU67" s="24" t="str">
        <f t="shared" ca="1" si="214"/>
        <v/>
      </c>
      <c r="KV67" s="24" t="str">
        <f t="shared" ca="1" si="214"/>
        <v/>
      </c>
      <c r="KW67" s="24" t="str">
        <f t="shared" ca="1" si="214"/>
        <v/>
      </c>
      <c r="KX67" s="24" t="str">
        <f t="shared" ca="1" si="215"/>
        <v/>
      </c>
      <c r="KY67" s="24" t="str">
        <f t="shared" ca="1" si="215"/>
        <v/>
      </c>
      <c r="KZ67" s="24" t="str">
        <f t="shared" ca="1" si="215"/>
        <v/>
      </c>
      <c r="LA67" s="24" t="str">
        <f t="shared" ca="1" si="215"/>
        <v/>
      </c>
      <c r="LB67" s="24" t="str">
        <f t="shared" ca="1" si="215"/>
        <v/>
      </c>
      <c r="LC67" s="24" t="str">
        <f t="shared" ca="1" si="215"/>
        <v/>
      </c>
      <c r="LD67" s="24" t="str">
        <f t="shared" ca="1" si="215"/>
        <v/>
      </c>
      <c r="LE67" s="24" t="str">
        <f t="shared" ca="1" si="215"/>
        <v/>
      </c>
      <c r="LF67" s="24" t="str">
        <f t="shared" ca="1" si="215"/>
        <v/>
      </c>
      <c r="LG67" s="24" t="str">
        <f t="shared" ca="1" si="215"/>
        <v/>
      </c>
      <c r="LH67" s="24" t="str">
        <f t="shared" ca="1" si="216"/>
        <v/>
      </c>
      <c r="LI67" s="24" t="str">
        <f t="shared" ca="1" si="216"/>
        <v/>
      </c>
      <c r="LJ67" s="24" t="str">
        <f t="shared" ca="1" si="216"/>
        <v/>
      </c>
      <c r="LK67" s="24" t="str">
        <f t="shared" ca="1" si="216"/>
        <v/>
      </c>
      <c r="LL67" s="24" t="str">
        <f t="shared" ca="1" si="216"/>
        <v/>
      </c>
      <c r="LM67" s="24" t="str">
        <f t="shared" ca="1" si="216"/>
        <v/>
      </c>
      <c r="LN67" s="24" t="str">
        <f t="shared" ca="1" si="216"/>
        <v/>
      </c>
      <c r="LO67" s="24" t="str">
        <f t="shared" ca="1" si="216"/>
        <v/>
      </c>
      <c r="LP67" s="24" t="str">
        <f t="shared" ca="1" si="216"/>
        <v/>
      </c>
      <c r="LQ67" s="24" t="str">
        <f t="shared" ca="1" si="216"/>
        <v/>
      </c>
      <c r="LR67" s="24" t="str">
        <f t="shared" ca="1" si="217"/>
        <v/>
      </c>
      <c r="LS67" s="24" t="str">
        <f t="shared" ca="1" si="217"/>
        <v/>
      </c>
      <c r="LT67" s="24" t="str">
        <f t="shared" ca="1" si="217"/>
        <v/>
      </c>
      <c r="LU67" s="24" t="str">
        <f t="shared" ca="1" si="217"/>
        <v/>
      </c>
      <c r="LV67" s="24" t="str">
        <f t="shared" ca="1" si="217"/>
        <v/>
      </c>
      <c r="LW67" s="24" t="str">
        <f t="shared" ca="1" si="217"/>
        <v/>
      </c>
      <c r="LX67" s="24" t="str">
        <f t="shared" ca="1" si="217"/>
        <v/>
      </c>
      <c r="LY67" s="24" t="str">
        <f t="shared" ca="1" si="217"/>
        <v/>
      </c>
      <c r="LZ67" s="24" t="str">
        <f t="shared" ca="1" si="217"/>
        <v/>
      </c>
      <c r="MA67" s="24" t="str">
        <f t="shared" ca="1" si="217"/>
        <v/>
      </c>
      <c r="MB67" s="24" t="str">
        <f t="shared" ca="1" si="218"/>
        <v/>
      </c>
      <c r="MC67" s="24" t="str">
        <f t="shared" ca="1" si="218"/>
        <v/>
      </c>
      <c r="MD67" s="24" t="str">
        <f t="shared" ca="1" si="218"/>
        <v/>
      </c>
      <c r="ME67" s="24" t="str">
        <f t="shared" ca="1" si="218"/>
        <v/>
      </c>
      <c r="MF67" s="24" t="str">
        <f t="shared" ca="1" si="218"/>
        <v/>
      </c>
      <c r="MG67" s="24" t="str">
        <f t="shared" ca="1" si="218"/>
        <v/>
      </c>
      <c r="MH67" s="24" t="str">
        <f t="shared" ca="1" si="218"/>
        <v/>
      </c>
      <c r="MI67" s="24" t="str">
        <f t="shared" ca="1" si="218"/>
        <v/>
      </c>
      <c r="MJ67" s="24" t="str">
        <f t="shared" ca="1" si="218"/>
        <v/>
      </c>
      <c r="MK67" s="24" t="str">
        <f t="shared" ca="1" si="218"/>
        <v/>
      </c>
      <c r="ML67" s="24" t="str">
        <f t="shared" ca="1" si="219"/>
        <v/>
      </c>
      <c r="MM67" s="24" t="str">
        <f t="shared" ca="1" si="219"/>
        <v/>
      </c>
      <c r="MN67" s="24" t="str">
        <f t="shared" ca="1" si="219"/>
        <v/>
      </c>
      <c r="MO67" s="24" t="str">
        <f t="shared" ca="1" si="219"/>
        <v/>
      </c>
      <c r="MP67" s="24" t="str">
        <f t="shared" ca="1" si="219"/>
        <v/>
      </c>
      <c r="MQ67" s="24" t="str">
        <f t="shared" ca="1" si="219"/>
        <v/>
      </c>
      <c r="MR67" s="24" t="str">
        <f t="shared" ca="1" si="219"/>
        <v/>
      </c>
      <c r="MS67" s="24" t="str">
        <f t="shared" ca="1" si="219"/>
        <v/>
      </c>
      <c r="MT67" s="24" t="str">
        <f t="shared" ca="1" si="219"/>
        <v/>
      </c>
      <c r="MU67" s="24" t="str">
        <f t="shared" ca="1" si="219"/>
        <v/>
      </c>
      <c r="MV67" s="24" t="str">
        <f t="shared" ca="1" si="220"/>
        <v/>
      </c>
      <c r="MW67" s="24" t="str">
        <f t="shared" ca="1" si="220"/>
        <v/>
      </c>
      <c r="MX67" s="24" t="str">
        <f t="shared" ca="1" si="220"/>
        <v/>
      </c>
      <c r="MY67" s="24" t="str">
        <f t="shared" ca="1" si="220"/>
        <v/>
      </c>
      <c r="MZ67" s="24" t="str">
        <f t="shared" ca="1" si="220"/>
        <v/>
      </c>
      <c r="NA67" s="24" t="str">
        <f t="shared" ca="1" si="220"/>
        <v/>
      </c>
      <c r="NB67" s="24" t="str">
        <f t="shared" ca="1" si="220"/>
        <v/>
      </c>
      <c r="NC67" s="24" t="str">
        <f t="shared" ca="1" si="220"/>
        <v/>
      </c>
      <c r="ND67" s="24" t="str">
        <f t="shared" ca="1" si="220"/>
        <v/>
      </c>
      <c r="NE67" s="24" t="str">
        <f t="shared" ca="1" si="220"/>
        <v/>
      </c>
      <c r="NF67" s="24" t="str">
        <f t="shared" ca="1" si="221"/>
        <v/>
      </c>
      <c r="NG67" s="24" t="str">
        <f t="shared" ca="1" si="221"/>
        <v/>
      </c>
      <c r="NH67" s="24" t="str">
        <f t="shared" ca="1" si="221"/>
        <v/>
      </c>
      <c r="NI67" s="24" t="str">
        <f t="shared" ca="1" si="221"/>
        <v/>
      </c>
      <c r="NJ67" s="24" t="str">
        <f t="shared" ca="1" si="221"/>
        <v/>
      </c>
      <c r="NK67" s="24" t="str">
        <f t="shared" ca="1" si="221"/>
        <v/>
      </c>
      <c r="NL67" s="24" t="str">
        <f t="shared" ca="1" si="221"/>
        <v/>
      </c>
      <c r="NM67" s="24" t="str">
        <f t="shared" ca="1" si="221"/>
        <v/>
      </c>
      <c r="NN67" s="24" t="str">
        <f t="shared" ca="1" si="221"/>
        <v/>
      </c>
      <c r="NO67" s="24" t="str">
        <f t="shared" ca="1" si="221"/>
        <v/>
      </c>
      <c r="NP67" s="24" t="str">
        <f t="shared" ca="1" si="222"/>
        <v/>
      </c>
      <c r="NQ67" s="24" t="str">
        <f t="shared" ca="1" si="222"/>
        <v/>
      </c>
      <c r="NR67" s="24" t="str">
        <f t="shared" ca="1" si="222"/>
        <v/>
      </c>
      <c r="NS67" s="24" t="str">
        <f t="shared" ca="1" si="222"/>
        <v/>
      </c>
      <c r="NT67" s="24" t="str">
        <f t="shared" ca="1" si="222"/>
        <v/>
      </c>
      <c r="NU67" s="24" t="str">
        <f t="shared" ca="1" si="222"/>
        <v/>
      </c>
      <c r="NV67" s="24" t="str">
        <f t="shared" ca="1" si="222"/>
        <v/>
      </c>
      <c r="NW67" s="24" t="str">
        <f t="shared" ca="1" si="222"/>
        <v/>
      </c>
      <c r="NX67" s="24" t="str">
        <f t="shared" ca="1" si="222"/>
        <v/>
      </c>
      <c r="NY67" s="24" t="str">
        <f t="shared" ca="1" si="222"/>
        <v/>
      </c>
      <c r="NZ67" s="24" t="str">
        <f t="shared" ca="1" si="223"/>
        <v/>
      </c>
      <c r="OA67" s="24" t="str">
        <f t="shared" ca="1" si="223"/>
        <v/>
      </c>
      <c r="OB67" s="24" t="str">
        <f t="shared" ca="1" si="223"/>
        <v/>
      </c>
      <c r="OC67" s="24" t="str">
        <f t="shared" ca="1" si="223"/>
        <v/>
      </c>
      <c r="OD67" s="24" t="str">
        <f t="shared" ca="1" si="223"/>
        <v/>
      </c>
      <c r="OE67" s="24" t="str">
        <f t="shared" ca="1" si="223"/>
        <v/>
      </c>
      <c r="OF67" s="24" t="str">
        <f t="shared" ca="1" si="223"/>
        <v/>
      </c>
      <c r="OG67" s="24" t="str">
        <f t="shared" ca="1" si="223"/>
        <v/>
      </c>
      <c r="OH67" s="24" t="str">
        <f t="shared" ca="1" si="223"/>
        <v/>
      </c>
      <c r="OI67" s="24" t="str">
        <f t="shared" ca="1" si="223"/>
        <v/>
      </c>
      <c r="OJ67" s="24" t="str">
        <f t="shared" ca="1" si="224"/>
        <v/>
      </c>
      <c r="OK67" s="24" t="str">
        <f t="shared" ca="1" si="224"/>
        <v/>
      </c>
      <c r="OL67" s="24" t="str">
        <f t="shared" ca="1" si="224"/>
        <v/>
      </c>
      <c r="OM67" s="24" t="str">
        <f t="shared" ca="1" si="224"/>
        <v/>
      </c>
      <c r="ON67" s="24" t="str">
        <f t="shared" ca="1" si="224"/>
        <v/>
      </c>
      <c r="OO67" s="24" t="str">
        <f t="shared" ca="1" si="224"/>
        <v/>
      </c>
      <c r="OP67" s="24" t="str">
        <f t="shared" ca="1" si="224"/>
        <v/>
      </c>
      <c r="OQ67" s="24" t="str">
        <f t="shared" ca="1" si="224"/>
        <v/>
      </c>
      <c r="OR67" s="24" t="str">
        <f t="shared" ca="1" si="224"/>
        <v/>
      </c>
      <c r="OS67" s="24" t="str">
        <f t="shared" ca="1" si="224"/>
        <v/>
      </c>
      <c r="OT67" s="24" t="str">
        <f t="shared" ca="1" si="225"/>
        <v/>
      </c>
      <c r="OU67" s="24" t="str">
        <f t="shared" ca="1" si="225"/>
        <v/>
      </c>
      <c r="OV67" s="24" t="str">
        <f t="shared" ca="1" si="225"/>
        <v/>
      </c>
      <c r="OW67" s="24" t="str">
        <f t="shared" ca="1" si="225"/>
        <v/>
      </c>
      <c r="OX67" s="24" t="str">
        <f t="shared" ca="1" si="225"/>
        <v/>
      </c>
      <c r="OY67" s="24" t="str">
        <f t="shared" ca="1" si="225"/>
        <v/>
      </c>
      <c r="OZ67" s="24" t="str">
        <f t="shared" ca="1" si="225"/>
        <v/>
      </c>
      <c r="PA67" s="24" t="str">
        <f t="shared" ca="1" si="225"/>
        <v/>
      </c>
      <c r="PB67" s="24" t="str">
        <f t="shared" ca="1" si="225"/>
        <v/>
      </c>
      <c r="PC67" s="24" t="str">
        <f t="shared" ca="1" si="225"/>
        <v/>
      </c>
      <c r="PD67" s="24" t="str">
        <f t="shared" ca="1" si="226"/>
        <v/>
      </c>
      <c r="PE67" s="24" t="str">
        <f t="shared" ca="1" si="226"/>
        <v/>
      </c>
      <c r="PF67" s="24" t="str">
        <f t="shared" ca="1" si="226"/>
        <v/>
      </c>
      <c r="PG67" s="24" t="str">
        <f t="shared" ca="1" si="226"/>
        <v/>
      </c>
      <c r="PH67" s="24" t="str">
        <f t="shared" ca="1" si="226"/>
        <v/>
      </c>
      <c r="PI67" s="24" t="str">
        <f t="shared" ca="1" si="226"/>
        <v/>
      </c>
      <c r="PJ67" s="24" t="str">
        <f t="shared" ca="1" si="226"/>
        <v/>
      </c>
      <c r="PK67" s="24" t="str">
        <f t="shared" ca="1" si="226"/>
        <v/>
      </c>
      <c r="PL67" s="24" t="str">
        <f t="shared" ca="1" si="226"/>
        <v/>
      </c>
      <c r="PM67" s="24" t="str">
        <f t="shared" ca="1" si="226"/>
        <v/>
      </c>
      <c r="PN67" s="24" t="str">
        <f t="shared" ca="1" si="227"/>
        <v/>
      </c>
      <c r="PO67" s="24" t="str">
        <f t="shared" ca="1" si="227"/>
        <v/>
      </c>
      <c r="PP67" s="24" t="str">
        <f t="shared" ca="1" si="227"/>
        <v/>
      </c>
      <c r="PQ67" s="24" t="str">
        <f t="shared" ca="1" si="227"/>
        <v/>
      </c>
      <c r="PR67" s="24" t="str">
        <f t="shared" ca="1" si="227"/>
        <v/>
      </c>
      <c r="PS67" s="24" t="str">
        <f t="shared" ca="1" si="227"/>
        <v/>
      </c>
      <c r="PT67" s="24" t="str">
        <f t="shared" ca="1" si="227"/>
        <v/>
      </c>
      <c r="PU67" s="24" t="str">
        <f t="shared" ca="1" si="227"/>
        <v/>
      </c>
      <c r="PV67" s="24" t="str">
        <f t="shared" ca="1" si="227"/>
        <v/>
      </c>
      <c r="PW67" s="24" t="str">
        <f t="shared" ca="1" si="227"/>
        <v/>
      </c>
      <c r="PX67" s="24" t="str">
        <f t="shared" ca="1" si="228"/>
        <v/>
      </c>
      <c r="PY67" s="24" t="str">
        <f t="shared" ca="1" si="228"/>
        <v/>
      </c>
      <c r="PZ67" s="24" t="str">
        <f t="shared" ca="1" si="228"/>
        <v/>
      </c>
      <c r="QA67" s="24" t="str">
        <f t="shared" ca="1" si="228"/>
        <v/>
      </c>
      <c r="QB67" s="24" t="str">
        <f t="shared" ca="1" si="228"/>
        <v/>
      </c>
      <c r="QC67" s="24" t="str">
        <f t="shared" ca="1" si="228"/>
        <v/>
      </c>
      <c r="QD67" s="24" t="str">
        <f t="shared" ca="1" si="228"/>
        <v/>
      </c>
      <c r="QE67" s="24" t="str">
        <f t="shared" ca="1" si="228"/>
        <v/>
      </c>
      <c r="QF67" s="24" t="str">
        <f t="shared" ca="1" si="228"/>
        <v/>
      </c>
      <c r="QG67" s="24" t="str">
        <f t="shared" ca="1" si="228"/>
        <v/>
      </c>
      <c r="QH67" s="24" t="str">
        <f t="shared" ca="1" si="229"/>
        <v/>
      </c>
      <c r="QI67" s="24" t="str">
        <f t="shared" ca="1" si="229"/>
        <v/>
      </c>
      <c r="QJ67" s="24" t="str">
        <f t="shared" ca="1" si="229"/>
        <v/>
      </c>
      <c r="QK67" s="24" t="str">
        <f t="shared" ca="1" si="229"/>
        <v/>
      </c>
      <c r="QL67" s="24" t="str">
        <f t="shared" ca="1" si="229"/>
        <v/>
      </c>
      <c r="QM67" s="24" t="str">
        <f t="shared" ca="1" si="229"/>
        <v/>
      </c>
      <c r="QN67" s="24" t="str">
        <f t="shared" ca="1" si="229"/>
        <v/>
      </c>
      <c r="QO67" s="24" t="str">
        <f t="shared" ca="1" si="229"/>
        <v/>
      </c>
      <c r="QP67" s="24" t="str">
        <f t="shared" ca="1" si="229"/>
        <v/>
      </c>
      <c r="QQ67" s="24" t="str">
        <f t="shared" ca="1" si="229"/>
        <v/>
      </c>
      <c r="QR67" s="24" t="str">
        <f t="shared" ca="1" si="230"/>
        <v/>
      </c>
      <c r="QS67" s="24" t="str">
        <f t="shared" ca="1" si="230"/>
        <v/>
      </c>
      <c r="QT67" s="24" t="str">
        <f t="shared" ca="1" si="230"/>
        <v/>
      </c>
      <c r="QU67" s="24" t="str">
        <f t="shared" ca="1" si="230"/>
        <v/>
      </c>
      <c r="QV67" s="24" t="str">
        <f t="shared" ca="1" si="230"/>
        <v/>
      </c>
      <c r="QW67" s="24" t="str">
        <f t="shared" ca="1" si="230"/>
        <v/>
      </c>
      <c r="QX67" s="24" t="str">
        <f t="shared" ca="1" si="230"/>
        <v/>
      </c>
      <c r="QY67" s="24" t="str">
        <f t="shared" ca="1" si="230"/>
        <v/>
      </c>
      <c r="QZ67" s="24" t="str">
        <f t="shared" ca="1" si="230"/>
        <v/>
      </c>
      <c r="RA67" s="24" t="str">
        <f t="shared" ca="1" si="230"/>
        <v/>
      </c>
      <c r="RB67" s="24" t="str">
        <f t="shared" ca="1" si="231"/>
        <v/>
      </c>
      <c r="RC67" s="24" t="str">
        <f t="shared" ca="1" si="231"/>
        <v/>
      </c>
      <c r="RD67" s="24" t="str">
        <f t="shared" ca="1" si="231"/>
        <v/>
      </c>
      <c r="RE67" s="24" t="str">
        <f t="shared" ca="1" si="231"/>
        <v/>
      </c>
      <c r="RF67" s="24" t="str">
        <f t="shared" ca="1" si="231"/>
        <v/>
      </c>
      <c r="RG67" s="24" t="str">
        <f t="shared" ca="1" si="231"/>
        <v/>
      </c>
      <c r="RH67" s="24" t="str">
        <f t="shared" ca="1" si="231"/>
        <v/>
      </c>
      <c r="RI67" s="24" t="str">
        <f t="shared" ca="1" si="231"/>
        <v/>
      </c>
      <c r="RJ67" s="24" t="str">
        <f t="shared" ca="1" si="231"/>
        <v/>
      </c>
      <c r="RK67" s="24" t="str">
        <f t="shared" ca="1" si="231"/>
        <v/>
      </c>
      <c r="RL67" s="24" t="str">
        <f t="shared" ca="1" si="232"/>
        <v/>
      </c>
      <c r="RM67" s="24" t="str">
        <f t="shared" ca="1" si="232"/>
        <v/>
      </c>
      <c r="RN67" s="24" t="str">
        <f t="shared" ca="1" si="232"/>
        <v/>
      </c>
      <c r="RO67" s="24" t="str">
        <f t="shared" ca="1" si="232"/>
        <v/>
      </c>
      <c r="RP67" s="24" t="str">
        <f t="shared" ca="1" si="232"/>
        <v/>
      </c>
      <c r="RQ67" s="24" t="str">
        <f t="shared" ca="1" si="232"/>
        <v/>
      </c>
      <c r="RR67" s="24" t="str">
        <f t="shared" ca="1" si="232"/>
        <v/>
      </c>
      <c r="RS67" s="24" t="str">
        <f t="shared" ca="1" si="232"/>
        <v/>
      </c>
      <c r="RT67" s="24" t="str">
        <f t="shared" ca="1" si="232"/>
        <v/>
      </c>
      <c r="RU67" s="24" t="str">
        <f t="shared" ca="1" si="232"/>
        <v/>
      </c>
      <c r="RV67" s="24" t="str">
        <f t="shared" ca="1" si="233"/>
        <v/>
      </c>
      <c r="RW67" s="24" t="str">
        <f t="shared" ca="1" si="233"/>
        <v/>
      </c>
      <c r="RX67" s="24" t="str">
        <f t="shared" ca="1" si="233"/>
        <v/>
      </c>
      <c r="RY67" s="24" t="str">
        <f t="shared" ca="1" si="233"/>
        <v/>
      </c>
      <c r="RZ67" s="24" t="str">
        <f t="shared" ca="1" si="233"/>
        <v/>
      </c>
      <c r="SA67" s="24" t="str">
        <f t="shared" ca="1" si="233"/>
        <v/>
      </c>
      <c r="SB67" s="24" t="str">
        <f t="shared" ca="1" si="233"/>
        <v/>
      </c>
      <c r="SC67" s="24" t="str">
        <f t="shared" ca="1" si="233"/>
        <v/>
      </c>
      <c r="SD67" s="24" t="str">
        <f t="shared" ca="1" si="233"/>
        <v/>
      </c>
      <c r="SE67" s="24" t="str">
        <f t="shared" ca="1" si="233"/>
        <v/>
      </c>
      <c r="SF67" s="24" t="str">
        <f t="shared" ca="1" si="234"/>
        <v/>
      </c>
      <c r="SG67" s="24" t="str">
        <f t="shared" ca="1" si="234"/>
        <v/>
      </c>
      <c r="SH67" s="24" t="str">
        <f t="shared" ca="1" si="234"/>
        <v/>
      </c>
      <c r="SI67" s="24" t="str">
        <f t="shared" ca="1" si="234"/>
        <v/>
      </c>
      <c r="SJ67" s="24" t="str">
        <f t="shared" ca="1" si="234"/>
        <v/>
      </c>
      <c r="SK67" s="24" t="str">
        <f t="shared" ca="1" si="234"/>
        <v/>
      </c>
      <c r="SL67" s="24" t="str">
        <f t="shared" ca="1" si="234"/>
        <v/>
      </c>
      <c r="SM67" s="24" t="str">
        <f t="shared" ca="1" si="234"/>
        <v/>
      </c>
      <c r="SN67" s="24" t="str">
        <f t="shared" ca="1" si="234"/>
        <v/>
      </c>
      <c r="SO67" s="24" t="str">
        <f t="shared" ca="1" si="234"/>
        <v/>
      </c>
      <c r="SP67" s="24" t="str">
        <f t="shared" ca="1" si="235"/>
        <v/>
      </c>
      <c r="SQ67" s="24" t="str">
        <f t="shared" ca="1" si="235"/>
        <v/>
      </c>
      <c r="SR67" s="24" t="str">
        <f t="shared" ca="1" si="235"/>
        <v/>
      </c>
      <c r="SS67" s="24" t="str">
        <f t="shared" ca="1" si="235"/>
        <v/>
      </c>
      <c r="ST67" s="24" t="str">
        <f t="shared" ca="1" si="235"/>
        <v/>
      </c>
      <c r="SU67" s="24" t="str">
        <f t="shared" ca="1" si="235"/>
        <v/>
      </c>
      <c r="SV67" s="24" t="str">
        <f t="shared" ca="1" si="235"/>
        <v/>
      </c>
      <c r="SW67" s="24" t="str">
        <f t="shared" ca="1" si="235"/>
        <v/>
      </c>
      <c r="SX67" s="24" t="str">
        <f t="shared" ca="1" si="235"/>
        <v/>
      </c>
      <c r="SY67" s="24" t="str">
        <f t="shared" ca="1" si="235"/>
        <v/>
      </c>
      <c r="SZ67" s="24" t="str">
        <f t="shared" ca="1" si="236"/>
        <v/>
      </c>
      <c r="TA67" s="24" t="str">
        <f t="shared" ca="1" si="236"/>
        <v/>
      </c>
      <c r="TB67" s="24" t="str">
        <f t="shared" ca="1" si="236"/>
        <v/>
      </c>
      <c r="TC67" s="24" t="str">
        <f t="shared" ca="1" si="236"/>
        <v/>
      </c>
      <c r="TD67" s="24" t="str">
        <f t="shared" ca="1" si="236"/>
        <v/>
      </c>
      <c r="TE67" s="24" t="str">
        <f t="shared" ca="1" si="236"/>
        <v/>
      </c>
      <c r="TF67" s="24" t="str">
        <f t="shared" ca="1" si="236"/>
        <v/>
      </c>
      <c r="TG67" s="24" t="str">
        <f t="shared" ca="1" si="236"/>
        <v/>
      </c>
      <c r="TH67" s="24" t="str">
        <f t="shared" ca="1" si="236"/>
        <v/>
      </c>
      <c r="TI67" s="24" t="str">
        <f t="shared" ca="1" si="236"/>
        <v/>
      </c>
      <c r="TJ67" s="24" t="str">
        <f t="shared" ca="1" si="237"/>
        <v/>
      </c>
      <c r="TK67" s="24" t="str">
        <f t="shared" ca="1" si="237"/>
        <v/>
      </c>
      <c r="TL67" s="24" t="str">
        <f t="shared" ca="1" si="237"/>
        <v/>
      </c>
      <c r="TM67" s="24" t="str">
        <f t="shared" ca="1" si="237"/>
        <v/>
      </c>
      <c r="TN67" s="24" t="str">
        <f t="shared" ca="1" si="237"/>
        <v/>
      </c>
      <c r="TO67" s="24" t="str">
        <f t="shared" ca="1" si="237"/>
        <v/>
      </c>
      <c r="TP67" s="24" t="str">
        <f t="shared" ca="1" si="237"/>
        <v/>
      </c>
      <c r="TQ67" s="24" t="str">
        <f t="shared" ca="1" si="237"/>
        <v/>
      </c>
      <c r="TR67" s="24" t="str">
        <f t="shared" ca="1" si="237"/>
        <v/>
      </c>
      <c r="TS67" s="24" t="str">
        <f t="shared" ca="1" si="237"/>
        <v/>
      </c>
      <c r="TT67" s="24" t="str">
        <f t="shared" ca="1" si="238"/>
        <v/>
      </c>
      <c r="TU67" s="24" t="str">
        <f t="shared" ca="1" si="238"/>
        <v/>
      </c>
      <c r="TV67" s="24" t="str">
        <f t="shared" ca="1" si="238"/>
        <v/>
      </c>
      <c r="TW67" s="24" t="str">
        <f t="shared" ca="1" si="238"/>
        <v/>
      </c>
      <c r="TX67" s="24" t="str">
        <f t="shared" ca="1" si="238"/>
        <v/>
      </c>
      <c r="TY67" s="24" t="str">
        <f t="shared" ca="1" si="238"/>
        <v/>
      </c>
      <c r="TZ67" s="24" t="str">
        <f t="shared" ca="1" si="238"/>
        <v/>
      </c>
      <c r="UA67" s="24" t="str">
        <f t="shared" ca="1" si="238"/>
        <v/>
      </c>
      <c r="UB67" s="24" t="str">
        <f t="shared" ca="1" si="238"/>
        <v/>
      </c>
      <c r="UC67" s="24" t="str">
        <f t="shared" ca="1" si="238"/>
        <v/>
      </c>
      <c r="UD67" s="24" t="str">
        <f t="shared" ca="1" si="239"/>
        <v/>
      </c>
      <c r="UE67" s="24" t="str">
        <f t="shared" ca="1" si="239"/>
        <v/>
      </c>
      <c r="UF67" s="24" t="str">
        <f t="shared" ca="1" si="239"/>
        <v/>
      </c>
      <c r="UG67" s="24" t="str">
        <f t="shared" ca="1" si="239"/>
        <v/>
      </c>
      <c r="UH67" s="24" t="str">
        <f t="shared" ca="1" si="239"/>
        <v/>
      </c>
      <c r="UI67" s="24" t="str">
        <f t="shared" ca="1" si="239"/>
        <v/>
      </c>
      <c r="UJ67" s="24" t="str">
        <f t="shared" ca="1" si="239"/>
        <v/>
      </c>
      <c r="UK67" s="24" t="str">
        <f t="shared" ca="1" si="239"/>
        <v/>
      </c>
      <c r="UL67" s="24" t="str">
        <f t="shared" ca="1" si="239"/>
        <v/>
      </c>
      <c r="UM67" s="24" t="str">
        <f t="shared" ca="1" si="239"/>
        <v/>
      </c>
      <c r="UN67" s="24" t="str">
        <f t="shared" ca="1" si="240"/>
        <v/>
      </c>
      <c r="UO67" s="24" t="str">
        <f t="shared" ca="1" si="240"/>
        <v/>
      </c>
      <c r="UP67" s="24" t="str">
        <f t="shared" ca="1" si="240"/>
        <v/>
      </c>
      <c r="UQ67" s="24" t="str">
        <f t="shared" ca="1" si="240"/>
        <v/>
      </c>
      <c r="UR67" s="24" t="str">
        <f t="shared" ca="1" si="240"/>
        <v/>
      </c>
      <c r="US67" s="24" t="str">
        <f t="shared" ca="1" si="240"/>
        <v/>
      </c>
      <c r="UT67" s="24" t="str">
        <f t="shared" ca="1" si="240"/>
        <v/>
      </c>
      <c r="UU67" s="24" t="str">
        <f t="shared" ca="1" si="240"/>
        <v/>
      </c>
      <c r="UV67" s="24" t="str">
        <f t="shared" ca="1" si="240"/>
        <v/>
      </c>
      <c r="UW67" s="24" t="str">
        <f t="shared" ca="1" si="240"/>
        <v/>
      </c>
      <c r="UX67" s="24" t="str">
        <f t="shared" ca="1" si="241"/>
        <v/>
      </c>
      <c r="UY67" s="24" t="str">
        <f t="shared" ca="1" si="241"/>
        <v/>
      </c>
      <c r="UZ67" s="24" t="str">
        <f t="shared" ca="1" si="241"/>
        <v/>
      </c>
      <c r="VA67" s="24" t="str">
        <f t="shared" ca="1" si="241"/>
        <v/>
      </c>
      <c r="VB67" s="24" t="str">
        <f t="shared" ca="1" si="241"/>
        <v/>
      </c>
      <c r="VC67" s="24" t="str">
        <f t="shared" ca="1" si="241"/>
        <v/>
      </c>
      <c r="VD67" s="24" t="str">
        <f t="shared" ca="1" si="241"/>
        <v/>
      </c>
      <c r="VE67" s="24" t="str">
        <f t="shared" ca="1" si="241"/>
        <v/>
      </c>
      <c r="VF67" s="24" t="str">
        <f t="shared" ca="1" si="241"/>
        <v/>
      </c>
      <c r="VG67" s="24" t="str">
        <f t="shared" ca="1" si="241"/>
        <v/>
      </c>
      <c r="VH67" s="24" t="str">
        <f t="shared" ca="1" si="242"/>
        <v/>
      </c>
      <c r="VI67" s="24" t="str">
        <f t="shared" ca="1" si="242"/>
        <v/>
      </c>
      <c r="VJ67" s="24" t="str">
        <f t="shared" ca="1" si="242"/>
        <v/>
      </c>
      <c r="VK67" s="24" t="str">
        <f t="shared" ca="1" si="242"/>
        <v/>
      </c>
      <c r="VL67" s="24" t="str">
        <f t="shared" ca="1" si="242"/>
        <v/>
      </c>
      <c r="VM67" s="24" t="str">
        <f t="shared" ca="1" si="242"/>
        <v/>
      </c>
      <c r="VN67" s="24" t="str">
        <f t="shared" ca="1" si="242"/>
        <v/>
      </c>
      <c r="VO67" s="24" t="str">
        <f t="shared" ca="1" si="242"/>
        <v/>
      </c>
      <c r="VP67" s="24" t="str">
        <f t="shared" ca="1" si="242"/>
        <v/>
      </c>
      <c r="VQ67" s="24" t="str">
        <f t="shared" ca="1" si="242"/>
        <v/>
      </c>
      <c r="VR67" s="24" t="str">
        <f t="shared" ca="1" si="242"/>
        <v/>
      </c>
      <c r="VS67" s="24" t="str">
        <f t="shared" ca="1" si="242"/>
        <v/>
      </c>
    </row>
    <row r="68" spans="1:591" s="17" customFormat="1" ht="40.200000000000003" customHeight="1" x14ac:dyDescent="0.3">
      <c r="A68" s="81"/>
      <c r="B68" s="28"/>
      <c r="C68" s="19"/>
      <c r="D68" s="19"/>
      <c r="E68" s="27"/>
      <c r="F68" s="26"/>
      <c r="G68" s="26">
        <f>Milestones43524[[#This Row],[Start]]+Milestones43524[[#This Row],[Days]]</f>
        <v>0</v>
      </c>
      <c r="H68" s="25"/>
      <c r="I68" s="19"/>
      <c r="J68" s="24" t="str">
        <f t="shared" ca="1" si="185"/>
        <v/>
      </c>
      <c r="K68" s="24" t="str">
        <f t="shared" ca="1" si="185"/>
        <v/>
      </c>
      <c r="L68" s="24" t="str">
        <f t="shared" ca="1" si="185"/>
        <v/>
      </c>
      <c r="M68" s="24" t="str">
        <f t="shared" ca="1" si="185"/>
        <v/>
      </c>
      <c r="N68" s="24" t="str">
        <f t="shared" ca="1" si="185"/>
        <v/>
      </c>
      <c r="O68" s="24" t="str">
        <f t="shared" ca="1" si="185"/>
        <v/>
      </c>
      <c r="P68" s="24" t="str">
        <f t="shared" ca="1" si="185"/>
        <v/>
      </c>
      <c r="Q68" s="24" t="str">
        <f t="shared" ca="1" si="185"/>
        <v/>
      </c>
      <c r="R68" s="24" t="str">
        <f t="shared" ca="1" si="185"/>
        <v/>
      </c>
      <c r="S68" s="24" t="str">
        <f t="shared" ca="1" si="185"/>
        <v/>
      </c>
      <c r="T68" s="24" t="str">
        <f t="shared" ca="1" si="186"/>
        <v/>
      </c>
      <c r="U68" s="24" t="str">
        <f t="shared" ca="1" si="186"/>
        <v/>
      </c>
      <c r="V68" s="24" t="str">
        <f t="shared" ca="1" si="186"/>
        <v/>
      </c>
      <c r="W68" s="24" t="str">
        <f t="shared" ca="1" si="186"/>
        <v/>
      </c>
      <c r="X68" s="24" t="str">
        <f t="shared" ca="1" si="186"/>
        <v/>
      </c>
      <c r="Y68" s="24" t="str">
        <f t="shared" ca="1" si="186"/>
        <v/>
      </c>
      <c r="Z68" s="24" t="str">
        <f t="shared" ca="1" si="186"/>
        <v/>
      </c>
      <c r="AA68" s="24" t="str">
        <f t="shared" ca="1" si="186"/>
        <v/>
      </c>
      <c r="AB68" s="24" t="str">
        <f t="shared" ca="1" si="186"/>
        <v/>
      </c>
      <c r="AC68" s="24" t="str">
        <f t="shared" ca="1" si="186"/>
        <v/>
      </c>
      <c r="AD68" s="24" t="str">
        <f t="shared" ca="1" si="187"/>
        <v/>
      </c>
      <c r="AE68" s="24" t="str">
        <f t="shared" ca="1" si="187"/>
        <v/>
      </c>
      <c r="AF68" s="24" t="str">
        <f t="shared" ca="1" si="187"/>
        <v/>
      </c>
      <c r="AG68" s="24" t="str">
        <f t="shared" ca="1" si="187"/>
        <v/>
      </c>
      <c r="AH68" s="24" t="str">
        <f t="shared" ca="1" si="187"/>
        <v/>
      </c>
      <c r="AI68" s="24" t="str">
        <f t="shared" ca="1" si="187"/>
        <v/>
      </c>
      <c r="AJ68" s="24" t="str">
        <f t="shared" ca="1" si="187"/>
        <v/>
      </c>
      <c r="AK68" s="24" t="str">
        <f t="shared" ca="1" si="187"/>
        <v/>
      </c>
      <c r="AL68" s="24" t="str">
        <f t="shared" ca="1" si="187"/>
        <v/>
      </c>
      <c r="AM68" s="24" t="str">
        <f t="shared" ca="1" si="187"/>
        <v/>
      </c>
      <c r="AN68" s="24" t="str">
        <f t="shared" ca="1" si="188"/>
        <v/>
      </c>
      <c r="AO68" s="24" t="str">
        <f t="shared" ca="1" si="188"/>
        <v/>
      </c>
      <c r="AP68" s="24" t="str">
        <f t="shared" ca="1" si="188"/>
        <v/>
      </c>
      <c r="AQ68" s="24" t="str">
        <f t="shared" ca="1" si="188"/>
        <v/>
      </c>
      <c r="AR68" s="24" t="str">
        <f t="shared" ca="1" si="188"/>
        <v/>
      </c>
      <c r="AS68" s="24" t="str">
        <f t="shared" ca="1" si="188"/>
        <v/>
      </c>
      <c r="AT68" s="24" t="str">
        <f t="shared" ca="1" si="188"/>
        <v/>
      </c>
      <c r="AU68" s="24" t="str">
        <f t="shared" ca="1" si="188"/>
        <v/>
      </c>
      <c r="AV68" s="24" t="str">
        <f t="shared" ca="1" si="188"/>
        <v/>
      </c>
      <c r="AW68" s="24" t="str">
        <f t="shared" ca="1" si="188"/>
        <v/>
      </c>
      <c r="AX68" s="24" t="str">
        <f t="shared" ca="1" si="189"/>
        <v/>
      </c>
      <c r="AY68" s="24" t="str">
        <f t="shared" ca="1" si="189"/>
        <v/>
      </c>
      <c r="AZ68" s="24" t="str">
        <f t="shared" ca="1" si="189"/>
        <v/>
      </c>
      <c r="BA68" s="24" t="str">
        <f t="shared" ca="1" si="189"/>
        <v/>
      </c>
      <c r="BB68" s="24" t="str">
        <f t="shared" ca="1" si="189"/>
        <v/>
      </c>
      <c r="BC68" s="24" t="str">
        <f t="shared" ca="1" si="189"/>
        <v/>
      </c>
      <c r="BD68" s="24" t="str">
        <f t="shared" ca="1" si="189"/>
        <v/>
      </c>
      <c r="BE68" s="24" t="str">
        <f t="shared" ca="1" si="189"/>
        <v/>
      </c>
      <c r="BF68" s="24" t="str">
        <f t="shared" ca="1" si="189"/>
        <v/>
      </c>
      <c r="BG68" s="24" t="str">
        <f t="shared" ca="1" si="189"/>
        <v/>
      </c>
      <c r="BH68" s="24" t="str">
        <f t="shared" ca="1" si="190"/>
        <v/>
      </c>
      <c r="BI68" s="24" t="str">
        <f t="shared" ca="1" si="190"/>
        <v/>
      </c>
      <c r="BJ68" s="24" t="str">
        <f t="shared" ca="1" si="190"/>
        <v/>
      </c>
      <c r="BK68" s="24" t="str">
        <f t="shared" ca="1" si="190"/>
        <v/>
      </c>
      <c r="BL68" s="24" t="str">
        <f t="shared" ca="1" si="190"/>
        <v/>
      </c>
      <c r="BM68" s="24" t="str">
        <f t="shared" ca="1" si="190"/>
        <v/>
      </c>
      <c r="BN68" s="24" t="str">
        <f t="shared" ca="1" si="190"/>
        <v/>
      </c>
      <c r="BO68" s="24" t="str">
        <f t="shared" ca="1" si="190"/>
        <v/>
      </c>
      <c r="BP68" s="24" t="str">
        <f t="shared" ca="1" si="190"/>
        <v/>
      </c>
      <c r="BQ68" s="24" t="str">
        <f t="shared" ca="1" si="190"/>
        <v/>
      </c>
      <c r="BR68" s="24" t="str">
        <f t="shared" ca="1" si="191"/>
        <v/>
      </c>
      <c r="BS68" s="24" t="str">
        <f t="shared" ca="1" si="191"/>
        <v/>
      </c>
      <c r="BT68" s="24" t="str">
        <f t="shared" ca="1" si="191"/>
        <v/>
      </c>
      <c r="BU68" s="24" t="str">
        <f t="shared" ca="1" si="191"/>
        <v/>
      </c>
      <c r="BV68" s="24" t="str">
        <f t="shared" ca="1" si="191"/>
        <v/>
      </c>
      <c r="BW68" s="24" t="str">
        <f t="shared" ca="1" si="191"/>
        <v/>
      </c>
      <c r="BX68" s="24" t="str">
        <f t="shared" ca="1" si="191"/>
        <v/>
      </c>
      <c r="BY68" s="24" t="str">
        <f t="shared" ca="1" si="191"/>
        <v/>
      </c>
      <c r="BZ68" s="24" t="str">
        <f t="shared" ca="1" si="191"/>
        <v/>
      </c>
      <c r="CA68" s="24" t="str">
        <f t="shared" ca="1" si="191"/>
        <v/>
      </c>
      <c r="CB68" s="24" t="str">
        <f t="shared" ca="1" si="192"/>
        <v/>
      </c>
      <c r="CC68" s="24" t="str">
        <f t="shared" ca="1" si="192"/>
        <v/>
      </c>
      <c r="CD68" s="24" t="str">
        <f t="shared" ca="1" si="192"/>
        <v/>
      </c>
      <c r="CE68" s="24" t="str">
        <f t="shared" ca="1" si="192"/>
        <v/>
      </c>
      <c r="CF68" s="24" t="str">
        <f t="shared" ca="1" si="192"/>
        <v/>
      </c>
      <c r="CG68" s="24" t="str">
        <f t="shared" ca="1" si="192"/>
        <v/>
      </c>
      <c r="CH68" s="24" t="str">
        <f t="shared" ca="1" si="192"/>
        <v/>
      </c>
      <c r="CI68" s="24" t="str">
        <f t="shared" ca="1" si="192"/>
        <v/>
      </c>
      <c r="CJ68" s="24" t="str">
        <f t="shared" ca="1" si="192"/>
        <v/>
      </c>
      <c r="CK68" s="24" t="str">
        <f t="shared" ca="1" si="192"/>
        <v/>
      </c>
      <c r="CL68" s="24" t="str">
        <f t="shared" ca="1" si="193"/>
        <v/>
      </c>
      <c r="CM68" s="24" t="str">
        <f t="shared" ca="1" si="193"/>
        <v/>
      </c>
      <c r="CN68" s="24" t="str">
        <f t="shared" ca="1" si="193"/>
        <v/>
      </c>
      <c r="CO68" s="24" t="str">
        <f t="shared" ca="1" si="193"/>
        <v/>
      </c>
      <c r="CP68" s="24" t="str">
        <f t="shared" ca="1" si="193"/>
        <v/>
      </c>
      <c r="CQ68" s="24" t="str">
        <f t="shared" ca="1" si="193"/>
        <v/>
      </c>
      <c r="CR68" s="24" t="str">
        <f t="shared" ca="1" si="193"/>
        <v/>
      </c>
      <c r="CS68" s="24" t="str">
        <f t="shared" ca="1" si="193"/>
        <v/>
      </c>
      <c r="CT68" s="24" t="str">
        <f t="shared" ca="1" si="193"/>
        <v/>
      </c>
      <c r="CU68" s="24" t="str">
        <f t="shared" ca="1" si="193"/>
        <v/>
      </c>
      <c r="CV68" s="24" t="str">
        <f t="shared" ca="1" si="194"/>
        <v/>
      </c>
      <c r="CW68" s="24" t="str">
        <f t="shared" ca="1" si="194"/>
        <v/>
      </c>
      <c r="CX68" s="24" t="str">
        <f t="shared" ca="1" si="194"/>
        <v/>
      </c>
      <c r="CY68" s="24" t="str">
        <f t="shared" ca="1" si="194"/>
        <v/>
      </c>
      <c r="CZ68" s="24" t="str">
        <f t="shared" ca="1" si="194"/>
        <v/>
      </c>
      <c r="DA68" s="24" t="str">
        <f t="shared" ca="1" si="194"/>
        <v/>
      </c>
      <c r="DB68" s="24" t="str">
        <f t="shared" ca="1" si="194"/>
        <v/>
      </c>
      <c r="DC68" s="24" t="str">
        <f t="shared" ca="1" si="194"/>
        <v/>
      </c>
      <c r="DD68" s="24" t="str">
        <f t="shared" ca="1" si="194"/>
        <v/>
      </c>
      <c r="DE68" s="24" t="str">
        <f t="shared" ca="1" si="194"/>
        <v/>
      </c>
      <c r="DF68" s="24" t="str">
        <f t="shared" ca="1" si="195"/>
        <v/>
      </c>
      <c r="DG68" s="24" t="str">
        <f t="shared" ca="1" si="195"/>
        <v/>
      </c>
      <c r="DH68" s="24" t="str">
        <f t="shared" ca="1" si="195"/>
        <v/>
      </c>
      <c r="DI68" s="24" t="str">
        <f t="shared" ca="1" si="195"/>
        <v/>
      </c>
      <c r="DJ68" s="24" t="str">
        <f t="shared" ca="1" si="195"/>
        <v/>
      </c>
      <c r="DK68" s="24" t="str">
        <f t="shared" ca="1" si="195"/>
        <v/>
      </c>
      <c r="DL68" s="24" t="str">
        <f t="shared" ca="1" si="195"/>
        <v/>
      </c>
      <c r="DM68" s="24" t="str">
        <f t="shared" ca="1" si="195"/>
        <v/>
      </c>
      <c r="DN68" s="24" t="str">
        <f t="shared" ca="1" si="195"/>
        <v/>
      </c>
      <c r="DO68" s="24" t="str">
        <f t="shared" ca="1" si="195"/>
        <v/>
      </c>
      <c r="DP68" s="24" t="str">
        <f t="shared" ca="1" si="196"/>
        <v/>
      </c>
      <c r="DQ68" s="24" t="str">
        <f t="shared" ca="1" si="196"/>
        <v/>
      </c>
      <c r="DR68" s="24" t="str">
        <f t="shared" ca="1" si="196"/>
        <v/>
      </c>
      <c r="DS68" s="24" t="str">
        <f t="shared" ca="1" si="196"/>
        <v/>
      </c>
      <c r="DT68" s="24" t="str">
        <f t="shared" ca="1" si="196"/>
        <v/>
      </c>
      <c r="DU68" s="24" t="str">
        <f t="shared" ca="1" si="196"/>
        <v/>
      </c>
      <c r="DV68" s="24" t="str">
        <f t="shared" ca="1" si="196"/>
        <v/>
      </c>
      <c r="DW68" s="24" t="str">
        <f t="shared" ca="1" si="196"/>
        <v/>
      </c>
      <c r="DX68" s="24" t="str">
        <f t="shared" ca="1" si="196"/>
        <v/>
      </c>
      <c r="DY68" s="24" t="str">
        <f t="shared" ca="1" si="196"/>
        <v/>
      </c>
      <c r="DZ68" s="24" t="str">
        <f t="shared" ca="1" si="197"/>
        <v/>
      </c>
      <c r="EA68" s="24" t="str">
        <f t="shared" ca="1" si="197"/>
        <v/>
      </c>
      <c r="EB68" s="24" t="str">
        <f t="shared" ca="1" si="197"/>
        <v/>
      </c>
      <c r="EC68" s="24" t="str">
        <f t="shared" ca="1" si="197"/>
        <v/>
      </c>
      <c r="ED68" s="24" t="str">
        <f t="shared" ca="1" si="197"/>
        <v/>
      </c>
      <c r="EE68" s="24" t="str">
        <f t="shared" ca="1" si="197"/>
        <v/>
      </c>
      <c r="EF68" s="24" t="str">
        <f t="shared" ca="1" si="197"/>
        <v/>
      </c>
      <c r="EG68" s="24" t="str">
        <f t="shared" ca="1" si="197"/>
        <v/>
      </c>
      <c r="EH68" s="24" t="str">
        <f t="shared" ca="1" si="197"/>
        <v/>
      </c>
      <c r="EI68" s="24" t="str">
        <f t="shared" ca="1" si="197"/>
        <v/>
      </c>
      <c r="EJ68" s="24" t="str">
        <f t="shared" ca="1" si="198"/>
        <v/>
      </c>
      <c r="EK68" s="24" t="str">
        <f t="shared" ca="1" si="198"/>
        <v/>
      </c>
      <c r="EL68" s="24" t="str">
        <f t="shared" ca="1" si="198"/>
        <v/>
      </c>
      <c r="EM68" s="24" t="str">
        <f t="shared" ca="1" si="198"/>
        <v/>
      </c>
      <c r="EN68" s="24" t="str">
        <f t="shared" ca="1" si="198"/>
        <v/>
      </c>
      <c r="EO68" s="24" t="str">
        <f t="shared" ca="1" si="198"/>
        <v/>
      </c>
      <c r="EP68" s="24" t="str">
        <f t="shared" ca="1" si="198"/>
        <v/>
      </c>
      <c r="EQ68" s="24" t="str">
        <f t="shared" ca="1" si="198"/>
        <v/>
      </c>
      <c r="ER68" s="24" t="str">
        <f t="shared" ca="1" si="198"/>
        <v/>
      </c>
      <c r="ES68" s="24" t="str">
        <f t="shared" ca="1" si="198"/>
        <v/>
      </c>
      <c r="ET68" s="24" t="str">
        <f t="shared" ca="1" si="199"/>
        <v/>
      </c>
      <c r="EU68" s="24" t="str">
        <f t="shared" ca="1" si="199"/>
        <v/>
      </c>
      <c r="EV68" s="24" t="str">
        <f t="shared" ca="1" si="199"/>
        <v/>
      </c>
      <c r="EW68" s="24" t="str">
        <f t="shared" ca="1" si="199"/>
        <v/>
      </c>
      <c r="EX68" s="24" t="str">
        <f t="shared" ca="1" si="199"/>
        <v/>
      </c>
      <c r="EY68" s="24" t="str">
        <f t="shared" ca="1" si="199"/>
        <v/>
      </c>
      <c r="EZ68" s="24" t="str">
        <f t="shared" ca="1" si="199"/>
        <v/>
      </c>
      <c r="FA68" s="24" t="str">
        <f t="shared" ca="1" si="199"/>
        <v/>
      </c>
      <c r="FB68" s="24" t="str">
        <f t="shared" ca="1" si="199"/>
        <v/>
      </c>
      <c r="FC68" s="24" t="str">
        <f t="shared" ca="1" si="199"/>
        <v/>
      </c>
      <c r="FD68" s="24" t="str">
        <f t="shared" ca="1" si="200"/>
        <v/>
      </c>
      <c r="FE68" s="24" t="str">
        <f t="shared" ca="1" si="200"/>
        <v/>
      </c>
      <c r="FF68" s="24" t="str">
        <f t="shared" ca="1" si="200"/>
        <v/>
      </c>
      <c r="FG68" s="24" t="str">
        <f t="shared" ca="1" si="200"/>
        <v/>
      </c>
      <c r="FH68" s="24" t="str">
        <f t="shared" ca="1" si="200"/>
        <v/>
      </c>
      <c r="FI68" s="24" t="str">
        <f t="shared" ca="1" si="200"/>
        <v/>
      </c>
      <c r="FJ68" s="24" t="str">
        <f t="shared" ca="1" si="200"/>
        <v/>
      </c>
      <c r="FK68" s="24" t="str">
        <f t="shared" ca="1" si="200"/>
        <v/>
      </c>
      <c r="FL68" s="24" t="str">
        <f t="shared" ca="1" si="200"/>
        <v/>
      </c>
      <c r="FM68" s="24" t="str">
        <f t="shared" ca="1" si="200"/>
        <v/>
      </c>
      <c r="FN68" s="24" t="str">
        <f t="shared" ca="1" si="201"/>
        <v/>
      </c>
      <c r="FO68" s="24" t="str">
        <f t="shared" ca="1" si="201"/>
        <v/>
      </c>
      <c r="FP68" s="24" t="str">
        <f t="shared" ca="1" si="201"/>
        <v/>
      </c>
      <c r="FQ68" s="24" t="str">
        <f t="shared" ca="1" si="201"/>
        <v/>
      </c>
      <c r="FR68" s="24" t="str">
        <f t="shared" ca="1" si="201"/>
        <v/>
      </c>
      <c r="FS68" s="24" t="str">
        <f t="shared" ca="1" si="201"/>
        <v/>
      </c>
      <c r="FT68" s="24" t="str">
        <f t="shared" ca="1" si="201"/>
        <v/>
      </c>
      <c r="FU68" s="24" t="str">
        <f t="shared" ca="1" si="201"/>
        <v/>
      </c>
      <c r="FV68" s="24" t="str">
        <f t="shared" ca="1" si="201"/>
        <v/>
      </c>
      <c r="FW68" s="24" t="str">
        <f t="shared" ca="1" si="201"/>
        <v/>
      </c>
      <c r="FX68" s="24" t="str">
        <f t="shared" ca="1" si="202"/>
        <v/>
      </c>
      <c r="FY68" s="24" t="str">
        <f t="shared" ca="1" si="202"/>
        <v/>
      </c>
      <c r="FZ68" s="24" t="str">
        <f t="shared" ca="1" si="202"/>
        <v/>
      </c>
      <c r="GA68" s="24" t="str">
        <f t="shared" ca="1" si="202"/>
        <v/>
      </c>
      <c r="GB68" s="24" t="str">
        <f t="shared" ca="1" si="202"/>
        <v/>
      </c>
      <c r="GC68" s="24" t="str">
        <f t="shared" ca="1" si="202"/>
        <v/>
      </c>
      <c r="GD68" s="24" t="str">
        <f t="shared" ca="1" si="202"/>
        <v/>
      </c>
      <c r="GE68" s="24" t="str">
        <f t="shared" ca="1" si="202"/>
        <v/>
      </c>
      <c r="GF68" s="24" t="str">
        <f t="shared" ca="1" si="202"/>
        <v/>
      </c>
      <c r="GG68" s="24" t="str">
        <f t="shared" ca="1" si="202"/>
        <v/>
      </c>
      <c r="GH68" s="24" t="str">
        <f t="shared" ca="1" si="203"/>
        <v/>
      </c>
      <c r="GI68" s="24" t="str">
        <f t="shared" ca="1" si="203"/>
        <v/>
      </c>
      <c r="GJ68" s="24" t="str">
        <f t="shared" ca="1" si="203"/>
        <v/>
      </c>
      <c r="GK68" s="24" t="str">
        <f t="shared" ca="1" si="203"/>
        <v/>
      </c>
      <c r="GL68" s="24" t="str">
        <f t="shared" ca="1" si="203"/>
        <v/>
      </c>
      <c r="GM68" s="24" t="str">
        <f t="shared" ca="1" si="203"/>
        <v/>
      </c>
      <c r="GN68" s="24" t="str">
        <f t="shared" ca="1" si="203"/>
        <v/>
      </c>
      <c r="GO68" s="24" t="str">
        <f t="shared" ca="1" si="203"/>
        <v/>
      </c>
      <c r="GP68" s="24" t="str">
        <f t="shared" ca="1" si="203"/>
        <v/>
      </c>
      <c r="GQ68" s="24" t="str">
        <f t="shared" ca="1" si="203"/>
        <v/>
      </c>
      <c r="GR68" s="24" t="str">
        <f t="shared" ca="1" si="204"/>
        <v/>
      </c>
      <c r="GS68" s="24" t="str">
        <f t="shared" ca="1" si="204"/>
        <v/>
      </c>
      <c r="GT68" s="24" t="str">
        <f t="shared" ca="1" si="204"/>
        <v/>
      </c>
      <c r="GU68" s="24" t="str">
        <f t="shared" ca="1" si="204"/>
        <v/>
      </c>
      <c r="GV68" s="24" t="str">
        <f t="shared" ca="1" si="204"/>
        <v/>
      </c>
      <c r="GW68" s="24" t="str">
        <f t="shared" ca="1" si="204"/>
        <v/>
      </c>
      <c r="GX68" s="24" t="str">
        <f t="shared" ca="1" si="204"/>
        <v/>
      </c>
      <c r="GY68" s="24" t="str">
        <f t="shared" ca="1" si="204"/>
        <v/>
      </c>
      <c r="GZ68" s="24" t="str">
        <f t="shared" ca="1" si="204"/>
        <v/>
      </c>
      <c r="HA68" s="24" t="str">
        <f t="shared" ca="1" si="204"/>
        <v/>
      </c>
      <c r="HB68" s="24" t="str">
        <f t="shared" ca="1" si="205"/>
        <v/>
      </c>
      <c r="HC68" s="24" t="str">
        <f t="shared" ca="1" si="205"/>
        <v/>
      </c>
      <c r="HD68" s="24" t="str">
        <f t="shared" ca="1" si="205"/>
        <v/>
      </c>
      <c r="HE68" s="24" t="str">
        <f t="shared" ca="1" si="205"/>
        <v/>
      </c>
      <c r="HF68" s="24" t="str">
        <f t="shared" ca="1" si="205"/>
        <v/>
      </c>
      <c r="HG68" s="24" t="str">
        <f t="shared" ca="1" si="205"/>
        <v/>
      </c>
      <c r="HH68" s="24" t="str">
        <f t="shared" ca="1" si="205"/>
        <v/>
      </c>
      <c r="HI68" s="24" t="str">
        <f t="shared" ca="1" si="205"/>
        <v/>
      </c>
      <c r="HJ68" s="24" t="str">
        <f t="shared" ca="1" si="205"/>
        <v/>
      </c>
      <c r="HK68" s="24" t="str">
        <f t="shared" ca="1" si="205"/>
        <v/>
      </c>
      <c r="HL68" s="24" t="str">
        <f t="shared" ca="1" si="206"/>
        <v/>
      </c>
      <c r="HM68" s="24" t="str">
        <f t="shared" ca="1" si="206"/>
        <v/>
      </c>
      <c r="HN68" s="24" t="str">
        <f t="shared" ca="1" si="206"/>
        <v/>
      </c>
      <c r="HO68" s="24" t="str">
        <f t="shared" ca="1" si="206"/>
        <v/>
      </c>
      <c r="HP68" s="24" t="str">
        <f t="shared" ca="1" si="206"/>
        <v/>
      </c>
      <c r="HQ68" s="24" t="str">
        <f t="shared" ca="1" si="206"/>
        <v/>
      </c>
      <c r="HR68" s="24" t="str">
        <f t="shared" ca="1" si="206"/>
        <v/>
      </c>
      <c r="HS68" s="24" t="str">
        <f t="shared" ca="1" si="206"/>
        <v/>
      </c>
      <c r="HT68" s="24" t="str">
        <f t="shared" ca="1" si="206"/>
        <v/>
      </c>
      <c r="HU68" s="24" t="str">
        <f t="shared" ca="1" si="206"/>
        <v/>
      </c>
      <c r="HV68" s="24" t="str">
        <f t="shared" ca="1" si="207"/>
        <v/>
      </c>
      <c r="HW68" s="24" t="str">
        <f t="shared" ca="1" si="207"/>
        <v/>
      </c>
      <c r="HX68" s="24" t="str">
        <f t="shared" ca="1" si="207"/>
        <v/>
      </c>
      <c r="HY68" s="24" t="str">
        <f t="shared" ca="1" si="207"/>
        <v/>
      </c>
      <c r="HZ68" s="24" t="str">
        <f t="shared" ca="1" si="207"/>
        <v/>
      </c>
      <c r="IA68" s="24" t="str">
        <f t="shared" ca="1" si="207"/>
        <v/>
      </c>
      <c r="IB68" s="24" t="str">
        <f t="shared" ca="1" si="207"/>
        <v/>
      </c>
      <c r="IC68" s="24" t="str">
        <f t="shared" ca="1" si="207"/>
        <v/>
      </c>
      <c r="ID68" s="24" t="str">
        <f t="shared" ca="1" si="207"/>
        <v/>
      </c>
      <c r="IE68" s="24" t="str">
        <f t="shared" ca="1" si="207"/>
        <v/>
      </c>
      <c r="IF68" s="24" t="str">
        <f t="shared" ca="1" si="208"/>
        <v/>
      </c>
      <c r="IG68" s="24" t="str">
        <f t="shared" ca="1" si="208"/>
        <v/>
      </c>
      <c r="IH68" s="24" t="str">
        <f t="shared" ca="1" si="208"/>
        <v/>
      </c>
      <c r="II68" s="24" t="str">
        <f t="shared" ca="1" si="208"/>
        <v/>
      </c>
      <c r="IJ68" s="24" t="str">
        <f t="shared" ca="1" si="208"/>
        <v/>
      </c>
      <c r="IK68" s="24" t="str">
        <f t="shared" ca="1" si="208"/>
        <v/>
      </c>
      <c r="IL68" s="24" t="str">
        <f t="shared" ca="1" si="208"/>
        <v/>
      </c>
      <c r="IM68" s="24" t="str">
        <f t="shared" ca="1" si="208"/>
        <v/>
      </c>
      <c r="IN68" s="24" t="str">
        <f t="shared" ca="1" si="208"/>
        <v/>
      </c>
      <c r="IO68" s="24" t="str">
        <f t="shared" ca="1" si="208"/>
        <v/>
      </c>
      <c r="IP68" s="24" t="str">
        <f t="shared" ca="1" si="209"/>
        <v/>
      </c>
      <c r="IQ68" s="24" t="str">
        <f t="shared" ca="1" si="209"/>
        <v/>
      </c>
      <c r="IR68" s="24" t="str">
        <f t="shared" ca="1" si="209"/>
        <v/>
      </c>
      <c r="IS68" s="24" t="str">
        <f t="shared" ca="1" si="209"/>
        <v/>
      </c>
      <c r="IT68" s="24" t="str">
        <f t="shared" ca="1" si="209"/>
        <v/>
      </c>
      <c r="IU68" s="24" t="str">
        <f t="shared" ca="1" si="209"/>
        <v/>
      </c>
      <c r="IV68" s="24" t="str">
        <f t="shared" ca="1" si="209"/>
        <v/>
      </c>
      <c r="IW68" s="24" t="str">
        <f t="shared" ca="1" si="209"/>
        <v/>
      </c>
      <c r="IX68" s="24" t="str">
        <f t="shared" ca="1" si="209"/>
        <v/>
      </c>
      <c r="IY68" s="24" t="str">
        <f t="shared" ca="1" si="209"/>
        <v/>
      </c>
      <c r="IZ68" s="24" t="str">
        <f t="shared" ca="1" si="210"/>
        <v/>
      </c>
      <c r="JA68" s="24" t="str">
        <f t="shared" ca="1" si="210"/>
        <v/>
      </c>
      <c r="JB68" s="24" t="str">
        <f t="shared" ca="1" si="210"/>
        <v/>
      </c>
      <c r="JC68" s="24" t="str">
        <f t="shared" ca="1" si="210"/>
        <v/>
      </c>
      <c r="JD68" s="24" t="str">
        <f t="shared" ca="1" si="210"/>
        <v/>
      </c>
      <c r="JE68" s="24" t="str">
        <f t="shared" ca="1" si="210"/>
        <v/>
      </c>
      <c r="JF68" s="24" t="str">
        <f t="shared" ca="1" si="210"/>
        <v/>
      </c>
      <c r="JG68" s="24" t="str">
        <f t="shared" ca="1" si="210"/>
        <v/>
      </c>
      <c r="JH68" s="24" t="str">
        <f t="shared" ca="1" si="210"/>
        <v/>
      </c>
      <c r="JI68" s="24" t="str">
        <f t="shared" ca="1" si="210"/>
        <v/>
      </c>
      <c r="JJ68" s="24" t="str">
        <f t="shared" ca="1" si="211"/>
        <v/>
      </c>
      <c r="JK68" s="24" t="str">
        <f t="shared" ca="1" si="211"/>
        <v/>
      </c>
      <c r="JL68" s="24" t="str">
        <f t="shared" ca="1" si="211"/>
        <v/>
      </c>
      <c r="JM68" s="24" t="str">
        <f t="shared" ca="1" si="211"/>
        <v/>
      </c>
      <c r="JN68" s="24" t="str">
        <f t="shared" ca="1" si="211"/>
        <v/>
      </c>
      <c r="JO68" s="24" t="str">
        <f t="shared" ca="1" si="211"/>
        <v/>
      </c>
      <c r="JP68" s="24" t="str">
        <f t="shared" ca="1" si="211"/>
        <v/>
      </c>
      <c r="JQ68" s="24" t="str">
        <f t="shared" ca="1" si="211"/>
        <v/>
      </c>
      <c r="JR68" s="24" t="str">
        <f t="shared" ca="1" si="211"/>
        <v/>
      </c>
      <c r="JS68" s="24" t="str">
        <f t="shared" ca="1" si="211"/>
        <v/>
      </c>
      <c r="JT68" s="24" t="str">
        <f t="shared" ca="1" si="212"/>
        <v/>
      </c>
      <c r="JU68" s="24" t="str">
        <f t="shared" ca="1" si="212"/>
        <v/>
      </c>
      <c r="JV68" s="24" t="str">
        <f t="shared" ca="1" si="212"/>
        <v/>
      </c>
      <c r="JW68" s="24" t="str">
        <f t="shared" ca="1" si="212"/>
        <v/>
      </c>
      <c r="JX68" s="24" t="str">
        <f t="shared" ca="1" si="212"/>
        <v/>
      </c>
      <c r="JY68" s="24" t="str">
        <f t="shared" ca="1" si="212"/>
        <v/>
      </c>
      <c r="JZ68" s="24" t="str">
        <f t="shared" ca="1" si="212"/>
        <v/>
      </c>
      <c r="KA68" s="24" t="str">
        <f t="shared" ca="1" si="212"/>
        <v/>
      </c>
      <c r="KB68" s="24" t="str">
        <f t="shared" ca="1" si="212"/>
        <v/>
      </c>
      <c r="KC68" s="24" t="str">
        <f t="shared" ca="1" si="212"/>
        <v/>
      </c>
      <c r="KD68" s="24" t="str">
        <f t="shared" ca="1" si="213"/>
        <v/>
      </c>
      <c r="KE68" s="24" t="str">
        <f t="shared" ca="1" si="213"/>
        <v/>
      </c>
      <c r="KF68" s="24" t="str">
        <f t="shared" ca="1" si="213"/>
        <v/>
      </c>
      <c r="KG68" s="24" t="str">
        <f t="shared" ca="1" si="213"/>
        <v/>
      </c>
      <c r="KH68" s="24" t="str">
        <f t="shared" ca="1" si="213"/>
        <v/>
      </c>
      <c r="KI68" s="24" t="str">
        <f t="shared" ca="1" si="213"/>
        <v/>
      </c>
      <c r="KJ68" s="24" t="str">
        <f t="shared" ca="1" si="213"/>
        <v/>
      </c>
      <c r="KK68" s="24" t="str">
        <f t="shared" ca="1" si="213"/>
        <v/>
      </c>
      <c r="KL68" s="24" t="str">
        <f t="shared" ca="1" si="213"/>
        <v/>
      </c>
      <c r="KM68" s="24" t="str">
        <f t="shared" ca="1" si="213"/>
        <v/>
      </c>
      <c r="KN68" s="24" t="str">
        <f t="shared" ca="1" si="214"/>
        <v/>
      </c>
      <c r="KO68" s="24" t="str">
        <f t="shared" ca="1" si="214"/>
        <v/>
      </c>
      <c r="KP68" s="24" t="str">
        <f t="shared" ca="1" si="214"/>
        <v/>
      </c>
      <c r="KQ68" s="24" t="str">
        <f t="shared" ca="1" si="214"/>
        <v/>
      </c>
      <c r="KR68" s="24" t="str">
        <f t="shared" ca="1" si="214"/>
        <v/>
      </c>
      <c r="KS68" s="24" t="str">
        <f t="shared" ca="1" si="214"/>
        <v/>
      </c>
      <c r="KT68" s="24" t="str">
        <f t="shared" ca="1" si="214"/>
        <v/>
      </c>
      <c r="KU68" s="24" t="str">
        <f t="shared" ca="1" si="214"/>
        <v/>
      </c>
      <c r="KV68" s="24" t="str">
        <f t="shared" ca="1" si="214"/>
        <v/>
      </c>
      <c r="KW68" s="24" t="str">
        <f t="shared" ca="1" si="214"/>
        <v/>
      </c>
      <c r="KX68" s="24" t="str">
        <f t="shared" ca="1" si="215"/>
        <v/>
      </c>
      <c r="KY68" s="24" t="str">
        <f t="shared" ca="1" si="215"/>
        <v/>
      </c>
      <c r="KZ68" s="24" t="str">
        <f t="shared" ca="1" si="215"/>
        <v/>
      </c>
      <c r="LA68" s="24" t="str">
        <f t="shared" ca="1" si="215"/>
        <v/>
      </c>
      <c r="LB68" s="24" t="str">
        <f t="shared" ca="1" si="215"/>
        <v/>
      </c>
      <c r="LC68" s="24" t="str">
        <f t="shared" ca="1" si="215"/>
        <v/>
      </c>
      <c r="LD68" s="24" t="str">
        <f t="shared" ca="1" si="215"/>
        <v/>
      </c>
      <c r="LE68" s="24" t="str">
        <f t="shared" ca="1" si="215"/>
        <v/>
      </c>
      <c r="LF68" s="24" t="str">
        <f t="shared" ca="1" si="215"/>
        <v/>
      </c>
      <c r="LG68" s="24" t="str">
        <f t="shared" ca="1" si="215"/>
        <v/>
      </c>
      <c r="LH68" s="24" t="str">
        <f t="shared" ca="1" si="216"/>
        <v/>
      </c>
      <c r="LI68" s="24" t="str">
        <f t="shared" ca="1" si="216"/>
        <v/>
      </c>
      <c r="LJ68" s="24" t="str">
        <f t="shared" ca="1" si="216"/>
        <v/>
      </c>
      <c r="LK68" s="24" t="str">
        <f t="shared" ca="1" si="216"/>
        <v/>
      </c>
      <c r="LL68" s="24" t="str">
        <f t="shared" ca="1" si="216"/>
        <v/>
      </c>
      <c r="LM68" s="24" t="str">
        <f t="shared" ca="1" si="216"/>
        <v/>
      </c>
      <c r="LN68" s="24" t="str">
        <f t="shared" ca="1" si="216"/>
        <v/>
      </c>
      <c r="LO68" s="24" t="str">
        <f t="shared" ca="1" si="216"/>
        <v/>
      </c>
      <c r="LP68" s="24" t="str">
        <f t="shared" ca="1" si="216"/>
        <v/>
      </c>
      <c r="LQ68" s="24" t="str">
        <f t="shared" ca="1" si="216"/>
        <v/>
      </c>
      <c r="LR68" s="24" t="str">
        <f t="shared" ca="1" si="217"/>
        <v/>
      </c>
      <c r="LS68" s="24" t="str">
        <f t="shared" ca="1" si="217"/>
        <v/>
      </c>
      <c r="LT68" s="24" t="str">
        <f t="shared" ca="1" si="217"/>
        <v/>
      </c>
      <c r="LU68" s="24" t="str">
        <f t="shared" ca="1" si="217"/>
        <v/>
      </c>
      <c r="LV68" s="24" t="str">
        <f t="shared" ca="1" si="217"/>
        <v/>
      </c>
      <c r="LW68" s="24" t="str">
        <f t="shared" ca="1" si="217"/>
        <v/>
      </c>
      <c r="LX68" s="24" t="str">
        <f t="shared" ca="1" si="217"/>
        <v/>
      </c>
      <c r="LY68" s="24" t="str">
        <f t="shared" ca="1" si="217"/>
        <v/>
      </c>
      <c r="LZ68" s="24" t="str">
        <f t="shared" ca="1" si="217"/>
        <v/>
      </c>
      <c r="MA68" s="24" t="str">
        <f t="shared" ca="1" si="217"/>
        <v/>
      </c>
      <c r="MB68" s="24" t="str">
        <f t="shared" ca="1" si="218"/>
        <v/>
      </c>
      <c r="MC68" s="24" t="str">
        <f t="shared" ca="1" si="218"/>
        <v/>
      </c>
      <c r="MD68" s="24" t="str">
        <f t="shared" ca="1" si="218"/>
        <v/>
      </c>
      <c r="ME68" s="24" t="str">
        <f t="shared" ca="1" si="218"/>
        <v/>
      </c>
      <c r="MF68" s="24" t="str">
        <f t="shared" ca="1" si="218"/>
        <v/>
      </c>
      <c r="MG68" s="24" t="str">
        <f t="shared" ca="1" si="218"/>
        <v/>
      </c>
      <c r="MH68" s="24" t="str">
        <f t="shared" ca="1" si="218"/>
        <v/>
      </c>
      <c r="MI68" s="24" t="str">
        <f t="shared" ca="1" si="218"/>
        <v/>
      </c>
      <c r="MJ68" s="24" t="str">
        <f t="shared" ca="1" si="218"/>
        <v/>
      </c>
      <c r="MK68" s="24" t="str">
        <f t="shared" ca="1" si="218"/>
        <v/>
      </c>
      <c r="ML68" s="24" t="str">
        <f t="shared" ca="1" si="219"/>
        <v/>
      </c>
      <c r="MM68" s="24" t="str">
        <f t="shared" ca="1" si="219"/>
        <v/>
      </c>
      <c r="MN68" s="24" t="str">
        <f t="shared" ca="1" si="219"/>
        <v/>
      </c>
      <c r="MO68" s="24" t="str">
        <f t="shared" ca="1" si="219"/>
        <v/>
      </c>
      <c r="MP68" s="24" t="str">
        <f t="shared" ca="1" si="219"/>
        <v/>
      </c>
      <c r="MQ68" s="24" t="str">
        <f t="shared" ca="1" si="219"/>
        <v/>
      </c>
      <c r="MR68" s="24" t="str">
        <f t="shared" ca="1" si="219"/>
        <v/>
      </c>
      <c r="MS68" s="24" t="str">
        <f t="shared" ca="1" si="219"/>
        <v/>
      </c>
      <c r="MT68" s="24" t="str">
        <f t="shared" ca="1" si="219"/>
        <v/>
      </c>
      <c r="MU68" s="24" t="str">
        <f t="shared" ca="1" si="219"/>
        <v/>
      </c>
      <c r="MV68" s="24" t="str">
        <f t="shared" ca="1" si="220"/>
        <v/>
      </c>
      <c r="MW68" s="24" t="str">
        <f t="shared" ca="1" si="220"/>
        <v/>
      </c>
      <c r="MX68" s="24" t="str">
        <f t="shared" ca="1" si="220"/>
        <v/>
      </c>
      <c r="MY68" s="24" t="str">
        <f t="shared" ca="1" si="220"/>
        <v/>
      </c>
      <c r="MZ68" s="24" t="str">
        <f t="shared" ca="1" si="220"/>
        <v/>
      </c>
      <c r="NA68" s="24" t="str">
        <f t="shared" ca="1" si="220"/>
        <v/>
      </c>
      <c r="NB68" s="24" t="str">
        <f t="shared" ca="1" si="220"/>
        <v/>
      </c>
      <c r="NC68" s="24" t="str">
        <f t="shared" ca="1" si="220"/>
        <v/>
      </c>
      <c r="ND68" s="24" t="str">
        <f t="shared" ca="1" si="220"/>
        <v/>
      </c>
      <c r="NE68" s="24" t="str">
        <f t="shared" ca="1" si="220"/>
        <v/>
      </c>
      <c r="NF68" s="24" t="str">
        <f t="shared" ca="1" si="221"/>
        <v/>
      </c>
      <c r="NG68" s="24" t="str">
        <f t="shared" ca="1" si="221"/>
        <v/>
      </c>
      <c r="NH68" s="24" t="str">
        <f t="shared" ca="1" si="221"/>
        <v/>
      </c>
      <c r="NI68" s="24" t="str">
        <f t="shared" ca="1" si="221"/>
        <v/>
      </c>
      <c r="NJ68" s="24" t="str">
        <f t="shared" ca="1" si="221"/>
        <v/>
      </c>
      <c r="NK68" s="24" t="str">
        <f t="shared" ca="1" si="221"/>
        <v/>
      </c>
      <c r="NL68" s="24" t="str">
        <f t="shared" ca="1" si="221"/>
        <v/>
      </c>
      <c r="NM68" s="24" t="str">
        <f t="shared" ca="1" si="221"/>
        <v/>
      </c>
      <c r="NN68" s="24" t="str">
        <f t="shared" ca="1" si="221"/>
        <v/>
      </c>
      <c r="NO68" s="24" t="str">
        <f t="shared" ca="1" si="221"/>
        <v/>
      </c>
      <c r="NP68" s="24" t="str">
        <f t="shared" ca="1" si="222"/>
        <v/>
      </c>
      <c r="NQ68" s="24" t="str">
        <f t="shared" ca="1" si="222"/>
        <v/>
      </c>
      <c r="NR68" s="24" t="str">
        <f t="shared" ca="1" si="222"/>
        <v/>
      </c>
      <c r="NS68" s="24" t="str">
        <f t="shared" ca="1" si="222"/>
        <v/>
      </c>
      <c r="NT68" s="24" t="str">
        <f t="shared" ca="1" si="222"/>
        <v/>
      </c>
      <c r="NU68" s="24" t="str">
        <f t="shared" ca="1" si="222"/>
        <v/>
      </c>
      <c r="NV68" s="24" t="str">
        <f t="shared" ca="1" si="222"/>
        <v/>
      </c>
      <c r="NW68" s="24" t="str">
        <f t="shared" ca="1" si="222"/>
        <v/>
      </c>
      <c r="NX68" s="24" t="str">
        <f t="shared" ca="1" si="222"/>
        <v/>
      </c>
      <c r="NY68" s="24" t="str">
        <f t="shared" ca="1" si="222"/>
        <v/>
      </c>
      <c r="NZ68" s="24" t="str">
        <f t="shared" ca="1" si="223"/>
        <v/>
      </c>
      <c r="OA68" s="24" t="str">
        <f t="shared" ca="1" si="223"/>
        <v/>
      </c>
      <c r="OB68" s="24" t="str">
        <f t="shared" ca="1" si="223"/>
        <v/>
      </c>
      <c r="OC68" s="24" t="str">
        <f t="shared" ca="1" si="223"/>
        <v/>
      </c>
      <c r="OD68" s="24" t="str">
        <f t="shared" ca="1" si="223"/>
        <v/>
      </c>
      <c r="OE68" s="24" t="str">
        <f t="shared" ca="1" si="223"/>
        <v/>
      </c>
      <c r="OF68" s="24" t="str">
        <f t="shared" ca="1" si="223"/>
        <v/>
      </c>
      <c r="OG68" s="24" t="str">
        <f t="shared" ca="1" si="223"/>
        <v/>
      </c>
      <c r="OH68" s="24" t="str">
        <f t="shared" ca="1" si="223"/>
        <v/>
      </c>
      <c r="OI68" s="24" t="str">
        <f t="shared" ca="1" si="223"/>
        <v/>
      </c>
      <c r="OJ68" s="24" t="str">
        <f t="shared" ca="1" si="224"/>
        <v/>
      </c>
      <c r="OK68" s="24" t="str">
        <f t="shared" ca="1" si="224"/>
        <v/>
      </c>
      <c r="OL68" s="24" t="str">
        <f t="shared" ca="1" si="224"/>
        <v/>
      </c>
      <c r="OM68" s="24" t="str">
        <f t="shared" ca="1" si="224"/>
        <v/>
      </c>
      <c r="ON68" s="24" t="str">
        <f t="shared" ca="1" si="224"/>
        <v/>
      </c>
      <c r="OO68" s="24" t="str">
        <f t="shared" ca="1" si="224"/>
        <v/>
      </c>
      <c r="OP68" s="24" t="str">
        <f t="shared" ca="1" si="224"/>
        <v/>
      </c>
      <c r="OQ68" s="24" t="str">
        <f t="shared" ca="1" si="224"/>
        <v/>
      </c>
      <c r="OR68" s="24" t="str">
        <f t="shared" ca="1" si="224"/>
        <v/>
      </c>
      <c r="OS68" s="24" t="str">
        <f t="shared" ca="1" si="224"/>
        <v/>
      </c>
      <c r="OT68" s="24" t="str">
        <f t="shared" ca="1" si="225"/>
        <v/>
      </c>
      <c r="OU68" s="24" t="str">
        <f t="shared" ca="1" si="225"/>
        <v/>
      </c>
      <c r="OV68" s="24" t="str">
        <f t="shared" ca="1" si="225"/>
        <v/>
      </c>
      <c r="OW68" s="24" t="str">
        <f t="shared" ca="1" si="225"/>
        <v/>
      </c>
      <c r="OX68" s="24" t="str">
        <f t="shared" ca="1" si="225"/>
        <v/>
      </c>
      <c r="OY68" s="24" t="str">
        <f t="shared" ca="1" si="225"/>
        <v/>
      </c>
      <c r="OZ68" s="24" t="str">
        <f t="shared" ca="1" si="225"/>
        <v/>
      </c>
      <c r="PA68" s="24" t="str">
        <f t="shared" ca="1" si="225"/>
        <v/>
      </c>
      <c r="PB68" s="24" t="str">
        <f t="shared" ca="1" si="225"/>
        <v/>
      </c>
      <c r="PC68" s="24" t="str">
        <f t="shared" ca="1" si="225"/>
        <v/>
      </c>
      <c r="PD68" s="24" t="str">
        <f t="shared" ca="1" si="226"/>
        <v/>
      </c>
      <c r="PE68" s="24" t="str">
        <f t="shared" ca="1" si="226"/>
        <v/>
      </c>
      <c r="PF68" s="24" t="str">
        <f t="shared" ca="1" si="226"/>
        <v/>
      </c>
      <c r="PG68" s="24" t="str">
        <f t="shared" ca="1" si="226"/>
        <v/>
      </c>
      <c r="PH68" s="24" t="str">
        <f t="shared" ca="1" si="226"/>
        <v/>
      </c>
      <c r="PI68" s="24" t="str">
        <f t="shared" ca="1" si="226"/>
        <v/>
      </c>
      <c r="PJ68" s="24" t="str">
        <f t="shared" ca="1" si="226"/>
        <v/>
      </c>
      <c r="PK68" s="24" t="str">
        <f t="shared" ca="1" si="226"/>
        <v/>
      </c>
      <c r="PL68" s="24" t="str">
        <f t="shared" ca="1" si="226"/>
        <v/>
      </c>
      <c r="PM68" s="24" t="str">
        <f t="shared" ca="1" si="226"/>
        <v/>
      </c>
      <c r="PN68" s="24" t="str">
        <f t="shared" ca="1" si="227"/>
        <v/>
      </c>
      <c r="PO68" s="24" t="str">
        <f t="shared" ca="1" si="227"/>
        <v/>
      </c>
      <c r="PP68" s="24" t="str">
        <f t="shared" ca="1" si="227"/>
        <v/>
      </c>
      <c r="PQ68" s="24" t="str">
        <f t="shared" ca="1" si="227"/>
        <v/>
      </c>
      <c r="PR68" s="24" t="str">
        <f t="shared" ca="1" si="227"/>
        <v/>
      </c>
      <c r="PS68" s="24" t="str">
        <f t="shared" ca="1" si="227"/>
        <v/>
      </c>
      <c r="PT68" s="24" t="str">
        <f t="shared" ca="1" si="227"/>
        <v/>
      </c>
      <c r="PU68" s="24" t="str">
        <f t="shared" ca="1" si="227"/>
        <v/>
      </c>
      <c r="PV68" s="24" t="str">
        <f t="shared" ca="1" si="227"/>
        <v/>
      </c>
      <c r="PW68" s="24" t="str">
        <f t="shared" ca="1" si="227"/>
        <v/>
      </c>
      <c r="PX68" s="24" t="str">
        <f t="shared" ca="1" si="228"/>
        <v/>
      </c>
      <c r="PY68" s="24" t="str">
        <f t="shared" ca="1" si="228"/>
        <v/>
      </c>
      <c r="PZ68" s="24" t="str">
        <f t="shared" ca="1" si="228"/>
        <v/>
      </c>
      <c r="QA68" s="24" t="str">
        <f t="shared" ca="1" si="228"/>
        <v/>
      </c>
      <c r="QB68" s="24" t="str">
        <f t="shared" ca="1" si="228"/>
        <v/>
      </c>
      <c r="QC68" s="24" t="str">
        <f t="shared" ca="1" si="228"/>
        <v/>
      </c>
      <c r="QD68" s="24" t="str">
        <f t="shared" ca="1" si="228"/>
        <v/>
      </c>
      <c r="QE68" s="24" t="str">
        <f t="shared" ca="1" si="228"/>
        <v/>
      </c>
      <c r="QF68" s="24" t="str">
        <f t="shared" ca="1" si="228"/>
        <v/>
      </c>
      <c r="QG68" s="24" t="str">
        <f t="shared" ca="1" si="228"/>
        <v/>
      </c>
      <c r="QH68" s="24" t="str">
        <f t="shared" ca="1" si="229"/>
        <v/>
      </c>
      <c r="QI68" s="24" t="str">
        <f t="shared" ca="1" si="229"/>
        <v/>
      </c>
      <c r="QJ68" s="24" t="str">
        <f t="shared" ca="1" si="229"/>
        <v/>
      </c>
      <c r="QK68" s="24" t="str">
        <f t="shared" ca="1" si="229"/>
        <v/>
      </c>
      <c r="QL68" s="24" t="str">
        <f t="shared" ca="1" si="229"/>
        <v/>
      </c>
      <c r="QM68" s="24" t="str">
        <f t="shared" ca="1" si="229"/>
        <v/>
      </c>
      <c r="QN68" s="24" t="str">
        <f t="shared" ca="1" si="229"/>
        <v/>
      </c>
      <c r="QO68" s="24" t="str">
        <f t="shared" ca="1" si="229"/>
        <v/>
      </c>
      <c r="QP68" s="24" t="str">
        <f t="shared" ca="1" si="229"/>
        <v/>
      </c>
      <c r="QQ68" s="24" t="str">
        <f t="shared" ca="1" si="229"/>
        <v/>
      </c>
      <c r="QR68" s="24" t="str">
        <f t="shared" ca="1" si="230"/>
        <v/>
      </c>
      <c r="QS68" s="24" t="str">
        <f t="shared" ca="1" si="230"/>
        <v/>
      </c>
      <c r="QT68" s="24" t="str">
        <f t="shared" ca="1" si="230"/>
        <v/>
      </c>
      <c r="QU68" s="24" t="str">
        <f t="shared" ca="1" si="230"/>
        <v/>
      </c>
      <c r="QV68" s="24" t="str">
        <f t="shared" ca="1" si="230"/>
        <v/>
      </c>
      <c r="QW68" s="24" t="str">
        <f t="shared" ca="1" si="230"/>
        <v/>
      </c>
      <c r="QX68" s="24" t="str">
        <f t="shared" ca="1" si="230"/>
        <v/>
      </c>
      <c r="QY68" s="24" t="str">
        <f t="shared" ca="1" si="230"/>
        <v/>
      </c>
      <c r="QZ68" s="24" t="str">
        <f t="shared" ca="1" si="230"/>
        <v/>
      </c>
      <c r="RA68" s="24" t="str">
        <f t="shared" ca="1" si="230"/>
        <v/>
      </c>
      <c r="RB68" s="24" t="str">
        <f t="shared" ca="1" si="231"/>
        <v/>
      </c>
      <c r="RC68" s="24" t="str">
        <f t="shared" ca="1" si="231"/>
        <v/>
      </c>
      <c r="RD68" s="24" t="str">
        <f t="shared" ca="1" si="231"/>
        <v/>
      </c>
      <c r="RE68" s="24" t="str">
        <f t="shared" ca="1" si="231"/>
        <v/>
      </c>
      <c r="RF68" s="24" t="str">
        <f t="shared" ca="1" si="231"/>
        <v/>
      </c>
      <c r="RG68" s="24" t="str">
        <f t="shared" ca="1" si="231"/>
        <v/>
      </c>
      <c r="RH68" s="24" t="str">
        <f t="shared" ca="1" si="231"/>
        <v/>
      </c>
      <c r="RI68" s="24" t="str">
        <f t="shared" ca="1" si="231"/>
        <v/>
      </c>
      <c r="RJ68" s="24" t="str">
        <f t="shared" ca="1" si="231"/>
        <v/>
      </c>
      <c r="RK68" s="24" t="str">
        <f t="shared" ca="1" si="231"/>
        <v/>
      </c>
      <c r="RL68" s="24" t="str">
        <f t="shared" ca="1" si="232"/>
        <v/>
      </c>
      <c r="RM68" s="24" t="str">
        <f t="shared" ca="1" si="232"/>
        <v/>
      </c>
      <c r="RN68" s="24" t="str">
        <f t="shared" ca="1" si="232"/>
        <v/>
      </c>
      <c r="RO68" s="24" t="str">
        <f t="shared" ca="1" si="232"/>
        <v/>
      </c>
      <c r="RP68" s="24" t="str">
        <f t="shared" ca="1" si="232"/>
        <v/>
      </c>
      <c r="RQ68" s="24" t="str">
        <f t="shared" ca="1" si="232"/>
        <v/>
      </c>
      <c r="RR68" s="24" t="str">
        <f t="shared" ca="1" si="232"/>
        <v/>
      </c>
      <c r="RS68" s="24" t="str">
        <f t="shared" ca="1" si="232"/>
        <v/>
      </c>
      <c r="RT68" s="24" t="str">
        <f t="shared" ca="1" si="232"/>
        <v/>
      </c>
      <c r="RU68" s="24" t="str">
        <f t="shared" ca="1" si="232"/>
        <v/>
      </c>
      <c r="RV68" s="24" t="str">
        <f t="shared" ca="1" si="233"/>
        <v/>
      </c>
      <c r="RW68" s="24" t="str">
        <f t="shared" ca="1" si="233"/>
        <v/>
      </c>
      <c r="RX68" s="24" t="str">
        <f t="shared" ca="1" si="233"/>
        <v/>
      </c>
      <c r="RY68" s="24" t="str">
        <f t="shared" ca="1" si="233"/>
        <v/>
      </c>
      <c r="RZ68" s="24" t="str">
        <f t="shared" ca="1" si="233"/>
        <v/>
      </c>
      <c r="SA68" s="24" t="str">
        <f t="shared" ca="1" si="233"/>
        <v/>
      </c>
      <c r="SB68" s="24" t="str">
        <f t="shared" ca="1" si="233"/>
        <v/>
      </c>
      <c r="SC68" s="24" t="str">
        <f t="shared" ca="1" si="233"/>
        <v/>
      </c>
      <c r="SD68" s="24" t="str">
        <f t="shared" ca="1" si="233"/>
        <v/>
      </c>
      <c r="SE68" s="24" t="str">
        <f t="shared" ca="1" si="233"/>
        <v/>
      </c>
      <c r="SF68" s="24" t="str">
        <f t="shared" ca="1" si="234"/>
        <v/>
      </c>
      <c r="SG68" s="24" t="str">
        <f t="shared" ca="1" si="234"/>
        <v/>
      </c>
      <c r="SH68" s="24" t="str">
        <f t="shared" ca="1" si="234"/>
        <v/>
      </c>
      <c r="SI68" s="24" t="str">
        <f t="shared" ca="1" si="234"/>
        <v/>
      </c>
      <c r="SJ68" s="24" t="str">
        <f t="shared" ca="1" si="234"/>
        <v/>
      </c>
      <c r="SK68" s="24" t="str">
        <f t="shared" ca="1" si="234"/>
        <v/>
      </c>
      <c r="SL68" s="24" t="str">
        <f t="shared" ca="1" si="234"/>
        <v/>
      </c>
      <c r="SM68" s="24" t="str">
        <f t="shared" ca="1" si="234"/>
        <v/>
      </c>
      <c r="SN68" s="24" t="str">
        <f t="shared" ca="1" si="234"/>
        <v/>
      </c>
      <c r="SO68" s="24" t="str">
        <f t="shared" ca="1" si="234"/>
        <v/>
      </c>
      <c r="SP68" s="24" t="str">
        <f t="shared" ca="1" si="235"/>
        <v/>
      </c>
      <c r="SQ68" s="24" t="str">
        <f t="shared" ca="1" si="235"/>
        <v/>
      </c>
      <c r="SR68" s="24" t="str">
        <f t="shared" ca="1" si="235"/>
        <v/>
      </c>
      <c r="SS68" s="24" t="str">
        <f t="shared" ca="1" si="235"/>
        <v/>
      </c>
      <c r="ST68" s="24" t="str">
        <f t="shared" ca="1" si="235"/>
        <v/>
      </c>
      <c r="SU68" s="24" t="str">
        <f t="shared" ca="1" si="235"/>
        <v/>
      </c>
      <c r="SV68" s="24" t="str">
        <f t="shared" ca="1" si="235"/>
        <v/>
      </c>
      <c r="SW68" s="24" t="str">
        <f t="shared" ca="1" si="235"/>
        <v/>
      </c>
      <c r="SX68" s="24" t="str">
        <f t="shared" ca="1" si="235"/>
        <v/>
      </c>
      <c r="SY68" s="24" t="str">
        <f t="shared" ca="1" si="235"/>
        <v/>
      </c>
      <c r="SZ68" s="24" t="str">
        <f t="shared" ca="1" si="236"/>
        <v/>
      </c>
      <c r="TA68" s="24" t="str">
        <f t="shared" ca="1" si="236"/>
        <v/>
      </c>
      <c r="TB68" s="24" t="str">
        <f t="shared" ca="1" si="236"/>
        <v/>
      </c>
      <c r="TC68" s="24" t="str">
        <f t="shared" ca="1" si="236"/>
        <v/>
      </c>
      <c r="TD68" s="24" t="str">
        <f t="shared" ca="1" si="236"/>
        <v/>
      </c>
      <c r="TE68" s="24" t="str">
        <f t="shared" ca="1" si="236"/>
        <v/>
      </c>
      <c r="TF68" s="24" t="str">
        <f t="shared" ca="1" si="236"/>
        <v/>
      </c>
      <c r="TG68" s="24" t="str">
        <f t="shared" ca="1" si="236"/>
        <v/>
      </c>
      <c r="TH68" s="24" t="str">
        <f t="shared" ca="1" si="236"/>
        <v/>
      </c>
      <c r="TI68" s="24" t="str">
        <f t="shared" ca="1" si="236"/>
        <v/>
      </c>
      <c r="TJ68" s="24" t="str">
        <f t="shared" ca="1" si="237"/>
        <v/>
      </c>
      <c r="TK68" s="24" t="str">
        <f t="shared" ca="1" si="237"/>
        <v/>
      </c>
      <c r="TL68" s="24" t="str">
        <f t="shared" ca="1" si="237"/>
        <v/>
      </c>
      <c r="TM68" s="24" t="str">
        <f t="shared" ca="1" si="237"/>
        <v/>
      </c>
      <c r="TN68" s="24" t="str">
        <f t="shared" ca="1" si="237"/>
        <v/>
      </c>
      <c r="TO68" s="24" t="str">
        <f t="shared" ca="1" si="237"/>
        <v/>
      </c>
      <c r="TP68" s="24" t="str">
        <f t="shared" ca="1" si="237"/>
        <v/>
      </c>
      <c r="TQ68" s="24" t="str">
        <f t="shared" ca="1" si="237"/>
        <v/>
      </c>
      <c r="TR68" s="24" t="str">
        <f t="shared" ca="1" si="237"/>
        <v/>
      </c>
      <c r="TS68" s="24" t="str">
        <f t="shared" ca="1" si="237"/>
        <v/>
      </c>
      <c r="TT68" s="24" t="str">
        <f t="shared" ca="1" si="238"/>
        <v/>
      </c>
      <c r="TU68" s="24" t="str">
        <f t="shared" ca="1" si="238"/>
        <v/>
      </c>
      <c r="TV68" s="24" t="str">
        <f t="shared" ca="1" si="238"/>
        <v/>
      </c>
      <c r="TW68" s="24" t="str">
        <f t="shared" ca="1" si="238"/>
        <v/>
      </c>
      <c r="TX68" s="24" t="str">
        <f t="shared" ca="1" si="238"/>
        <v/>
      </c>
      <c r="TY68" s="24" t="str">
        <f t="shared" ca="1" si="238"/>
        <v/>
      </c>
      <c r="TZ68" s="24" t="str">
        <f t="shared" ca="1" si="238"/>
        <v/>
      </c>
      <c r="UA68" s="24" t="str">
        <f t="shared" ca="1" si="238"/>
        <v/>
      </c>
      <c r="UB68" s="24" t="str">
        <f t="shared" ca="1" si="238"/>
        <v/>
      </c>
      <c r="UC68" s="24" t="str">
        <f t="shared" ca="1" si="238"/>
        <v/>
      </c>
      <c r="UD68" s="24" t="str">
        <f t="shared" ca="1" si="239"/>
        <v/>
      </c>
      <c r="UE68" s="24" t="str">
        <f t="shared" ca="1" si="239"/>
        <v/>
      </c>
      <c r="UF68" s="24" t="str">
        <f t="shared" ca="1" si="239"/>
        <v/>
      </c>
      <c r="UG68" s="24" t="str">
        <f t="shared" ca="1" si="239"/>
        <v/>
      </c>
      <c r="UH68" s="24" t="str">
        <f t="shared" ca="1" si="239"/>
        <v/>
      </c>
      <c r="UI68" s="24" t="str">
        <f t="shared" ca="1" si="239"/>
        <v/>
      </c>
      <c r="UJ68" s="24" t="str">
        <f t="shared" ca="1" si="239"/>
        <v/>
      </c>
      <c r="UK68" s="24" t="str">
        <f t="shared" ca="1" si="239"/>
        <v/>
      </c>
      <c r="UL68" s="24" t="str">
        <f t="shared" ca="1" si="239"/>
        <v/>
      </c>
      <c r="UM68" s="24" t="str">
        <f t="shared" ca="1" si="239"/>
        <v/>
      </c>
      <c r="UN68" s="24" t="str">
        <f t="shared" ca="1" si="240"/>
        <v/>
      </c>
      <c r="UO68" s="24" t="str">
        <f t="shared" ca="1" si="240"/>
        <v/>
      </c>
      <c r="UP68" s="24" t="str">
        <f t="shared" ca="1" si="240"/>
        <v/>
      </c>
      <c r="UQ68" s="24" t="str">
        <f t="shared" ca="1" si="240"/>
        <v/>
      </c>
      <c r="UR68" s="24" t="str">
        <f t="shared" ca="1" si="240"/>
        <v/>
      </c>
      <c r="US68" s="24" t="str">
        <f t="shared" ca="1" si="240"/>
        <v/>
      </c>
      <c r="UT68" s="24" t="str">
        <f t="shared" ca="1" si="240"/>
        <v/>
      </c>
      <c r="UU68" s="24" t="str">
        <f t="shared" ca="1" si="240"/>
        <v/>
      </c>
      <c r="UV68" s="24" t="str">
        <f t="shared" ca="1" si="240"/>
        <v/>
      </c>
      <c r="UW68" s="24" t="str">
        <f t="shared" ca="1" si="240"/>
        <v/>
      </c>
      <c r="UX68" s="24" t="str">
        <f t="shared" ca="1" si="241"/>
        <v/>
      </c>
      <c r="UY68" s="24" t="str">
        <f t="shared" ca="1" si="241"/>
        <v/>
      </c>
      <c r="UZ68" s="24" t="str">
        <f t="shared" ca="1" si="241"/>
        <v/>
      </c>
      <c r="VA68" s="24" t="str">
        <f t="shared" ca="1" si="241"/>
        <v/>
      </c>
      <c r="VB68" s="24" t="str">
        <f t="shared" ca="1" si="241"/>
        <v/>
      </c>
      <c r="VC68" s="24" t="str">
        <f t="shared" ca="1" si="241"/>
        <v/>
      </c>
      <c r="VD68" s="24" t="str">
        <f t="shared" ca="1" si="241"/>
        <v/>
      </c>
      <c r="VE68" s="24" t="str">
        <f t="shared" ca="1" si="241"/>
        <v/>
      </c>
      <c r="VF68" s="24" t="str">
        <f t="shared" ca="1" si="241"/>
        <v/>
      </c>
      <c r="VG68" s="24" t="str">
        <f t="shared" ca="1" si="241"/>
        <v/>
      </c>
      <c r="VH68" s="24" t="str">
        <f t="shared" ca="1" si="242"/>
        <v/>
      </c>
      <c r="VI68" s="24" t="str">
        <f t="shared" ca="1" si="242"/>
        <v/>
      </c>
      <c r="VJ68" s="24" t="str">
        <f t="shared" ca="1" si="242"/>
        <v/>
      </c>
      <c r="VK68" s="24" t="str">
        <f t="shared" ca="1" si="242"/>
        <v/>
      </c>
      <c r="VL68" s="24" t="str">
        <f t="shared" ca="1" si="242"/>
        <v/>
      </c>
      <c r="VM68" s="24" t="str">
        <f t="shared" ca="1" si="242"/>
        <v/>
      </c>
      <c r="VN68" s="24" t="str">
        <f t="shared" ca="1" si="242"/>
        <v/>
      </c>
      <c r="VO68" s="24" t="str">
        <f t="shared" ca="1" si="242"/>
        <v/>
      </c>
      <c r="VP68" s="24" t="str">
        <f t="shared" ca="1" si="242"/>
        <v/>
      </c>
      <c r="VQ68" s="24" t="str">
        <f t="shared" ca="1" si="242"/>
        <v/>
      </c>
      <c r="VR68" s="24" t="str">
        <f t="shared" ca="1" si="242"/>
        <v/>
      </c>
      <c r="VS68" s="24" t="str">
        <f t="shared" ca="1" si="242"/>
        <v/>
      </c>
    </row>
    <row r="69" spans="1:591" s="17" customFormat="1" ht="40.200000000000003" customHeight="1" x14ac:dyDescent="0.3">
      <c r="A69" s="82"/>
      <c r="B69" s="23" t="s">
        <v>68</v>
      </c>
      <c r="C69" s="19"/>
      <c r="D69" s="19"/>
      <c r="E69" s="22"/>
      <c r="F69" s="21"/>
      <c r="G69" s="21">
        <f>Milestones43524[[#This Row],[Start]]+Milestones43524[[#This Row],[Days]]</f>
        <v>0</v>
      </c>
      <c r="H69" s="20"/>
      <c r="I69" s="19"/>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c r="KM69" s="18"/>
      <c r="KN69" s="18"/>
      <c r="KO69" s="18"/>
      <c r="KP69" s="18"/>
      <c r="KQ69" s="18"/>
      <c r="KR69" s="18"/>
      <c r="KS69" s="18"/>
      <c r="KT69" s="18"/>
      <c r="KU69" s="18"/>
      <c r="KV69" s="18"/>
      <c r="KW69" s="18"/>
      <c r="KX69" s="18"/>
      <c r="KY69" s="18"/>
      <c r="KZ69" s="18"/>
      <c r="LA69" s="18"/>
      <c r="LB69" s="18"/>
      <c r="LC69" s="18"/>
      <c r="LD69" s="18"/>
      <c r="LE69" s="18"/>
      <c r="LF69" s="18"/>
      <c r="LG69" s="18"/>
      <c r="LH69" s="18"/>
      <c r="LI69" s="18"/>
      <c r="LJ69" s="18"/>
      <c r="LK69" s="18"/>
      <c r="LL69" s="18"/>
      <c r="LM69" s="18"/>
      <c r="LN69" s="18"/>
      <c r="LO69" s="18"/>
      <c r="LP69" s="18"/>
      <c r="LQ69" s="18"/>
      <c r="LR69" s="18"/>
      <c r="LS69" s="18"/>
      <c r="LT69" s="18"/>
      <c r="LU69" s="18"/>
      <c r="LV69" s="18"/>
      <c r="LW69" s="18"/>
      <c r="LX69" s="18"/>
      <c r="LY69" s="18"/>
      <c r="LZ69" s="18"/>
      <c r="MA69" s="18"/>
      <c r="MB69" s="18"/>
      <c r="MC69" s="18"/>
      <c r="MD69" s="18"/>
      <c r="ME69" s="18"/>
      <c r="MF69" s="18"/>
      <c r="MG69" s="18"/>
      <c r="MH69" s="18"/>
      <c r="MI69" s="18"/>
      <c r="MJ69" s="18"/>
      <c r="MK69" s="18"/>
      <c r="ML69" s="18"/>
      <c r="MM69" s="18"/>
      <c r="MN69" s="18"/>
      <c r="MO69" s="18"/>
      <c r="MP69" s="18"/>
      <c r="MQ69" s="18"/>
      <c r="MR69" s="18"/>
      <c r="MS69" s="18"/>
      <c r="MT69" s="18"/>
      <c r="MU69" s="18"/>
      <c r="MV69" s="18"/>
      <c r="MW69" s="18"/>
      <c r="MX69" s="18"/>
      <c r="MY69" s="18"/>
      <c r="MZ69" s="18"/>
      <c r="NA69" s="18"/>
      <c r="NB69" s="18"/>
      <c r="NC69" s="18"/>
      <c r="ND69" s="18"/>
      <c r="NE69" s="18"/>
      <c r="NF69" s="18"/>
      <c r="NG69" s="18"/>
      <c r="NH69" s="18"/>
      <c r="NI69" s="18"/>
      <c r="NJ69" s="18"/>
      <c r="NK69" s="18"/>
      <c r="NL69" s="18"/>
      <c r="NM69" s="18"/>
      <c r="NN69" s="18"/>
      <c r="NO69" s="18"/>
      <c r="NP69" s="18"/>
      <c r="NQ69" s="18"/>
      <c r="NR69" s="18"/>
      <c r="NS69" s="18"/>
      <c r="NT69" s="18"/>
      <c r="NU69" s="18"/>
      <c r="NV69" s="18"/>
      <c r="NW69" s="18"/>
      <c r="NX69" s="18"/>
      <c r="NY69" s="18"/>
      <c r="NZ69" s="18"/>
      <c r="OA69" s="18"/>
      <c r="OB69" s="18"/>
      <c r="OC69" s="18"/>
      <c r="OD69" s="18"/>
      <c r="OE69" s="18"/>
      <c r="OF69" s="18"/>
      <c r="OG69" s="18"/>
      <c r="OH69" s="18"/>
      <c r="OI69" s="18"/>
      <c r="OJ69" s="18"/>
      <c r="OK69" s="18"/>
      <c r="OL69" s="18"/>
      <c r="OM69" s="18"/>
      <c r="ON69" s="18"/>
      <c r="OO69" s="18"/>
      <c r="OP69" s="18"/>
      <c r="OQ69" s="18"/>
      <c r="OR69" s="18"/>
      <c r="OS69" s="18"/>
      <c r="OT69" s="18"/>
      <c r="OU69" s="18"/>
      <c r="OV69" s="18"/>
      <c r="OW69" s="18"/>
      <c r="OX69" s="18"/>
      <c r="OY69" s="18"/>
      <c r="OZ69" s="18"/>
      <c r="PA69" s="18"/>
      <c r="PB69" s="18"/>
      <c r="PC69" s="18"/>
      <c r="PD69" s="18"/>
      <c r="PE69" s="18"/>
      <c r="PF69" s="18"/>
      <c r="PG69" s="18"/>
      <c r="PH69" s="18"/>
      <c r="PI69" s="18"/>
      <c r="PJ69" s="18"/>
      <c r="PK69" s="18"/>
      <c r="PL69" s="18"/>
      <c r="PM69" s="18"/>
      <c r="PN69" s="18"/>
      <c r="PO69" s="18"/>
      <c r="PP69" s="18"/>
      <c r="PQ69" s="18"/>
      <c r="PR69" s="18"/>
      <c r="PS69" s="18"/>
      <c r="PT69" s="18"/>
      <c r="PU69" s="18"/>
      <c r="PV69" s="18"/>
      <c r="PW69" s="18"/>
      <c r="PX69" s="18"/>
      <c r="PY69" s="18"/>
      <c r="PZ69" s="18"/>
      <c r="QA69" s="18"/>
      <c r="QB69" s="18"/>
      <c r="QC69" s="18"/>
      <c r="QD69" s="18"/>
      <c r="QE69" s="18"/>
      <c r="QF69" s="18"/>
      <c r="QG69" s="18"/>
      <c r="QH69" s="18"/>
      <c r="QI69" s="18"/>
      <c r="QJ69" s="18"/>
      <c r="QK69" s="18"/>
      <c r="QL69" s="18"/>
      <c r="QM69" s="18"/>
      <c r="QN69" s="18"/>
      <c r="QO69" s="18"/>
      <c r="QP69" s="18"/>
      <c r="QQ69" s="18"/>
      <c r="QR69" s="18"/>
      <c r="QS69" s="18"/>
      <c r="QT69" s="18"/>
      <c r="QU69" s="18"/>
      <c r="QV69" s="18"/>
      <c r="QW69" s="18"/>
      <c r="QX69" s="18"/>
      <c r="QY69" s="18"/>
      <c r="QZ69" s="18"/>
      <c r="RA69" s="18"/>
      <c r="RB69" s="18"/>
      <c r="RC69" s="18"/>
      <c r="RD69" s="18"/>
      <c r="RE69" s="18"/>
      <c r="RF69" s="18"/>
      <c r="RG69" s="18"/>
      <c r="RH69" s="18"/>
      <c r="RI69" s="18"/>
      <c r="RJ69" s="18"/>
      <c r="RK69" s="18"/>
      <c r="RL69" s="18"/>
      <c r="RM69" s="18"/>
      <c r="RN69" s="18"/>
      <c r="RO69" s="18"/>
      <c r="RP69" s="18"/>
      <c r="RQ69" s="18"/>
      <c r="RR69" s="18"/>
      <c r="RS69" s="18"/>
      <c r="RT69" s="18"/>
      <c r="RU69" s="18"/>
      <c r="RV69" s="18"/>
      <c r="RW69" s="18"/>
      <c r="RX69" s="18"/>
      <c r="RY69" s="18"/>
      <c r="RZ69" s="18"/>
      <c r="SA69" s="18"/>
      <c r="SB69" s="18"/>
      <c r="SC69" s="18"/>
      <c r="SD69" s="18"/>
      <c r="SE69" s="18"/>
      <c r="SF69" s="18"/>
      <c r="SG69" s="18"/>
      <c r="SH69" s="18"/>
      <c r="SI69" s="18"/>
      <c r="SJ69" s="18"/>
      <c r="SK69" s="18"/>
      <c r="SL69" s="18"/>
      <c r="SM69" s="18"/>
      <c r="SN69" s="18"/>
      <c r="SO69" s="18"/>
      <c r="SP69" s="18"/>
      <c r="SQ69" s="18"/>
      <c r="SR69" s="18"/>
      <c r="SS69" s="18"/>
      <c r="ST69" s="18"/>
      <c r="SU69" s="18"/>
      <c r="SV69" s="18"/>
      <c r="SW69" s="18"/>
      <c r="SX69" s="18"/>
      <c r="SY69" s="18"/>
      <c r="SZ69" s="18"/>
      <c r="TA69" s="18"/>
      <c r="TB69" s="18"/>
      <c r="TC69" s="18"/>
      <c r="TD69" s="18"/>
      <c r="TE69" s="18"/>
      <c r="TF69" s="18"/>
      <c r="TG69" s="18"/>
      <c r="TH69" s="18"/>
      <c r="TI69" s="18"/>
      <c r="TJ69" s="18"/>
      <c r="TK69" s="18"/>
      <c r="TL69" s="18"/>
      <c r="TM69" s="18"/>
      <c r="TN69" s="18"/>
      <c r="TO69" s="18"/>
      <c r="TP69" s="18"/>
      <c r="TQ69" s="18"/>
      <c r="TR69" s="18"/>
      <c r="TS69" s="18"/>
      <c r="TT69" s="18"/>
      <c r="TU69" s="18"/>
      <c r="TV69" s="18"/>
      <c r="TW69" s="18"/>
      <c r="TX69" s="18"/>
      <c r="TY69" s="18"/>
      <c r="TZ69" s="18"/>
      <c r="UA69" s="18"/>
      <c r="UB69" s="18"/>
      <c r="UC69" s="18"/>
      <c r="UD69" s="18"/>
      <c r="UE69" s="18"/>
      <c r="UF69" s="18"/>
      <c r="UG69" s="18"/>
      <c r="UH69" s="18"/>
      <c r="UI69" s="18"/>
      <c r="UJ69" s="18"/>
      <c r="UK69" s="18"/>
      <c r="UL69" s="18"/>
      <c r="UM69" s="18"/>
      <c r="UN69" s="18"/>
      <c r="UO69" s="18"/>
      <c r="UP69" s="18"/>
      <c r="UQ69" s="18"/>
      <c r="UR69" s="18"/>
      <c r="US69" s="18"/>
      <c r="UT69" s="18"/>
      <c r="UU69" s="18"/>
      <c r="UV69" s="18"/>
      <c r="UW69" s="18"/>
      <c r="UX69" s="18"/>
      <c r="UY69" s="18"/>
      <c r="UZ69" s="18"/>
      <c r="VA69" s="18"/>
      <c r="VB69" s="18"/>
      <c r="VC69" s="18"/>
      <c r="VD69" s="18"/>
      <c r="VE69" s="18"/>
      <c r="VF69" s="18"/>
      <c r="VG69" s="18"/>
      <c r="VH69" s="18"/>
      <c r="VI69" s="18"/>
      <c r="VJ69" s="18"/>
      <c r="VK69" s="18"/>
      <c r="VL69" s="18"/>
      <c r="VM69" s="18"/>
      <c r="VN69" s="18"/>
      <c r="VO69" s="18"/>
      <c r="VP69" s="18"/>
      <c r="VQ69" s="18"/>
      <c r="VR69" s="18"/>
      <c r="VS69" s="18"/>
    </row>
    <row r="70" spans="1:591" ht="30" customHeight="1" x14ac:dyDescent="0.3">
      <c r="D70" s="16"/>
      <c r="H70" s="15"/>
      <c r="I70" s="14"/>
    </row>
    <row r="71" spans="1:591" ht="30" customHeight="1" x14ac:dyDescent="0.3">
      <c r="D71" s="13"/>
    </row>
  </sheetData>
  <mergeCells count="26">
    <mergeCell ref="QF6:RG6"/>
    <mergeCell ref="RH6:SL6"/>
    <mergeCell ref="SM6:TP6"/>
    <mergeCell ref="TQ6:UU6"/>
    <mergeCell ref="LM6:MQ6"/>
    <mergeCell ref="MR6:NU6"/>
    <mergeCell ref="NV6:OZ6"/>
    <mergeCell ref="PA6:QE6"/>
    <mergeCell ref="U6:AY6"/>
    <mergeCell ref="GU6:HX6"/>
    <mergeCell ref="HY6:JC6"/>
    <mergeCell ref="JD6:KH6"/>
    <mergeCell ref="KI6:LL6"/>
    <mergeCell ref="AZ6:CC6"/>
    <mergeCell ref="CE6:DF6"/>
    <mergeCell ref="DG6:EK6"/>
    <mergeCell ref="EL6:FO6"/>
    <mergeCell ref="FP6:GT6"/>
    <mergeCell ref="Y4:AB4"/>
    <mergeCell ref="AD4:AG4"/>
    <mergeCell ref="B2:I2"/>
    <mergeCell ref="J2:O2"/>
    <mergeCell ref="P2:U2"/>
    <mergeCell ref="J4:M4"/>
    <mergeCell ref="O4:R4"/>
    <mergeCell ref="T4:W4"/>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30480</xdr:colOff>
                    <xdr:row>7</xdr:row>
                    <xdr:rowOff>60960</xdr:rowOff>
                  </from>
                  <to>
                    <xdr:col>134</xdr:col>
                    <xdr:colOff>99060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4.4" x14ac:dyDescent="0.3"/>
  <cols>
    <col min="1" max="18" width="12.33203125" style="110" customWidth="1"/>
  </cols>
  <sheetData>
    <row r="1" spans="1:21" x14ac:dyDescent="0.3">
      <c r="A1" s="146" t="s">
        <v>182</v>
      </c>
      <c r="B1" s="146"/>
      <c r="C1" s="146"/>
      <c r="D1" s="146"/>
      <c r="E1" s="114"/>
      <c r="F1" s="109"/>
      <c r="G1" s="109"/>
      <c r="H1" s="109"/>
      <c r="I1" s="109"/>
      <c r="J1" s="109"/>
      <c r="K1" s="109"/>
      <c r="L1" s="109"/>
      <c r="M1" s="109"/>
      <c r="N1" s="109"/>
      <c r="O1" s="109"/>
      <c r="P1" s="109"/>
      <c r="Q1" s="109"/>
      <c r="R1" s="109"/>
      <c r="S1" s="12"/>
      <c r="T1" s="12"/>
      <c r="U1" s="12"/>
    </row>
    <row r="2" spans="1:21" x14ac:dyDescent="0.3">
      <c r="A2" s="111" t="s">
        <v>176</v>
      </c>
      <c r="B2" s="111"/>
      <c r="C2" s="111"/>
      <c r="D2" s="112"/>
      <c r="E2" s="112"/>
    </row>
    <row r="3" spans="1:21" x14ac:dyDescent="0.3">
      <c r="A3" t="s">
        <v>178</v>
      </c>
      <c r="B3"/>
      <c r="C3"/>
      <c r="D3"/>
      <c r="E3"/>
    </row>
    <row r="4" spans="1:21" x14ac:dyDescent="0.3">
      <c r="A4"/>
      <c r="B4"/>
      <c r="C4"/>
      <c r="D4"/>
      <c r="E4"/>
    </row>
    <row r="5" spans="1:21" x14ac:dyDescent="0.3">
      <c r="A5"/>
      <c r="B5"/>
      <c r="C5"/>
      <c r="D5"/>
      <c r="E5"/>
    </row>
    <row r="6" spans="1:21" x14ac:dyDescent="0.3">
      <c r="A6"/>
      <c r="B6"/>
      <c r="C6"/>
      <c r="D6"/>
      <c r="E6"/>
    </row>
    <row r="7" spans="1:21" x14ac:dyDescent="0.3">
      <c r="A7" t="s">
        <v>179</v>
      </c>
      <c r="B7"/>
      <c r="C7"/>
      <c r="D7"/>
      <c r="E7"/>
    </row>
    <row r="8" spans="1:21" x14ac:dyDescent="0.3">
      <c r="A8"/>
      <c r="B8"/>
      <c r="C8"/>
      <c r="D8"/>
      <c r="E8"/>
    </row>
    <row r="9" spans="1:21" x14ac:dyDescent="0.3">
      <c r="A9" t="s">
        <v>180</v>
      </c>
      <c r="B9"/>
      <c r="C9"/>
      <c r="D9"/>
      <c r="E9"/>
    </row>
    <row r="10" spans="1:21" x14ac:dyDescent="0.3">
      <c r="A10"/>
      <c r="B10"/>
      <c r="C10"/>
      <c r="D10"/>
      <c r="E10"/>
    </row>
    <row r="11" spans="1:21" x14ac:dyDescent="0.3">
      <c r="A11" s="111" t="s">
        <v>177</v>
      </c>
      <c r="B11" s="111"/>
      <c r="C11" s="111"/>
      <c r="D11" s="112"/>
      <c r="E11" s="112"/>
    </row>
    <row r="12" spans="1:21" x14ac:dyDescent="0.3">
      <c r="A12" t="s">
        <v>178</v>
      </c>
      <c r="B12"/>
      <c r="C12"/>
      <c r="D12"/>
      <c r="E12"/>
    </row>
    <row r="13" spans="1:21" x14ac:dyDescent="0.3">
      <c r="A13"/>
      <c r="B13"/>
      <c r="C13"/>
      <c r="D13"/>
      <c r="E13"/>
    </row>
    <row r="14" spans="1:21" x14ac:dyDescent="0.3">
      <c r="A14"/>
      <c r="B14"/>
      <c r="C14"/>
      <c r="D14"/>
      <c r="E14"/>
    </row>
    <row r="15" spans="1:21" x14ac:dyDescent="0.3">
      <c r="A15"/>
      <c r="B15"/>
      <c r="C15"/>
      <c r="D15"/>
      <c r="E15"/>
    </row>
    <row r="16" spans="1:21" x14ac:dyDescent="0.3">
      <c r="A16" t="s">
        <v>179</v>
      </c>
      <c r="B16"/>
      <c r="C16"/>
      <c r="D16"/>
      <c r="E16"/>
    </row>
    <row r="17" spans="1:5" x14ac:dyDescent="0.3">
      <c r="A17"/>
      <c r="B17"/>
      <c r="C17"/>
      <c r="D17"/>
      <c r="E17"/>
    </row>
    <row r="18" spans="1:5" x14ac:dyDescent="0.3">
      <c r="A18" t="s">
        <v>180</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4.4" x14ac:dyDescent="0.3"/>
  <sheetData>
    <row r="1" spans="1:21" ht="14.4" customHeight="1" x14ac:dyDescent="0.3">
      <c r="A1" s="146" t="s">
        <v>183</v>
      </c>
      <c r="B1" s="146"/>
      <c r="C1" s="146"/>
      <c r="D1" s="146"/>
      <c r="E1" s="113"/>
      <c r="F1" s="109"/>
      <c r="G1" s="109"/>
      <c r="H1" s="109"/>
      <c r="I1" s="109"/>
      <c r="J1" s="109"/>
      <c r="K1" s="109"/>
      <c r="L1" s="109"/>
      <c r="M1" s="109"/>
      <c r="N1" s="109"/>
      <c r="O1" s="109"/>
      <c r="P1" s="109"/>
      <c r="Q1" s="109"/>
      <c r="R1" s="109"/>
      <c r="S1" s="12"/>
      <c r="T1" s="12"/>
      <c r="U1" s="12"/>
    </row>
    <row r="2" spans="1:21" x14ac:dyDescent="0.3">
      <c r="A2" s="111" t="s">
        <v>176</v>
      </c>
      <c r="B2" s="111"/>
      <c r="C2" s="111"/>
      <c r="D2" s="112"/>
      <c r="E2" s="112"/>
      <c r="F2" s="110"/>
      <c r="G2" s="110"/>
      <c r="H2" s="110"/>
      <c r="I2" s="110"/>
      <c r="J2" s="110"/>
      <c r="K2" s="110"/>
      <c r="L2" s="110"/>
      <c r="M2" s="110"/>
      <c r="N2" s="110"/>
      <c r="O2" s="110"/>
      <c r="P2" s="110"/>
      <c r="Q2" s="110"/>
      <c r="R2" s="110"/>
    </row>
    <row r="3" spans="1:21" x14ac:dyDescent="0.3">
      <c r="A3" t="s">
        <v>178</v>
      </c>
    </row>
    <row r="7" spans="1:21" x14ac:dyDescent="0.3">
      <c r="A7" t="s">
        <v>179</v>
      </c>
    </row>
    <row r="9" spans="1:21" x14ac:dyDescent="0.3">
      <c r="A9" t="s">
        <v>180</v>
      </c>
    </row>
    <row r="11" spans="1:21" x14ac:dyDescent="0.3">
      <c r="A11" s="111" t="s">
        <v>177</v>
      </c>
      <c r="B11" s="111"/>
      <c r="C11" s="111"/>
      <c r="D11" s="112"/>
      <c r="E11" s="112"/>
    </row>
    <row r="12" spans="1:21" x14ac:dyDescent="0.3">
      <c r="A12" t="s">
        <v>178</v>
      </c>
    </row>
    <row r="16" spans="1:21" x14ac:dyDescent="0.3">
      <c r="A16" t="s">
        <v>179</v>
      </c>
    </row>
    <row r="18" spans="1:1" x14ac:dyDescent="0.3">
      <c r="A18" t="s">
        <v>180</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4.4" x14ac:dyDescent="0.3"/>
  <cols>
    <col min="20" max="21" width="8.88671875" style="110"/>
  </cols>
  <sheetData>
    <row r="1" spans="1:21" ht="14.4" customHeight="1" x14ac:dyDescent="0.3">
      <c r="A1" s="115" t="s">
        <v>184</v>
      </c>
      <c r="B1" s="115"/>
      <c r="C1" s="115"/>
      <c r="D1" s="115"/>
      <c r="E1" s="115"/>
      <c r="F1" s="109"/>
      <c r="G1" s="109"/>
      <c r="H1" s="109"/>
      <c r="I1" s="109"/>
      <c r="J1" s="109"/>
      <c r="K1" s="109"/>
      <c r="L1" s="109"/>
      <c r="M1" s="109"/>
      <c r="N1" s="109"/>
      <c r="O1" s="109"/>
      <c r="P1" s="109"/>
      <c r="Q1" s="109"/>
      <c r="R1" s="109"/>
      <c r="S1" s="12"/>
      <c r="T1" s="109"/>
      <c r="U1" s="109"/>
    </row>
    <row r="2" spans="1:21" x14ac:dyDescent="0.3">
      <c r="A2" s="111" t="s">
        <v>176</v>
      </c>
      <c r="B2" s="111"/>
      <c r="C2" s="111"/>
      <c r="D2" s="112"/>
      <c r="E2" s="112"/>
      <c r="F2" s="110"/>
      <c r="G2" s="110"/>
      <c r="H2" s="110"/>
      <c r="I2" s="110"/>
      <c r="J2" s="110"/>
      <c r="K2" s="110"/>
      <c r="L2" s="110"/>
      <c r="M2" s="110"/>
      <c r="N2" s="110"/>
      <c r="O2" s="110"/>
      <c r="P2" s="110"/>
      <c r="Q2" s="110"/>
      <c r="R2" s="110"/>
    </row>
    <row r="3" spans="1:21" x14ac:dyDescent="0.3">
      <c r="A3" t="s">
        <v>178</v>
      </c>
    </row>
    <row r="7" spans="1:21" x14ac:dyDescent="0.3">
      <c r="A7" t="s">
        <v>179</v>
      </c>
    </row>
    <row r="9" spans="1:21" x14ac:dyDescent="0.3">
      <c r="A9" t="s">
        <v>180</v>
      </c>
    </row>
    <row r="11" spans="1:21" x14ac:dyDescent="0.3">
      <c r="A11" s="111" t="s">
        <v>177</v>
      </c>
      <c r="B11" s="111"/>
      <c r="C11" s="111"/>
      <c r="D11" s="112"/>
      <c r="E11" s="112"/>
    </row>
    <row r="12" spans="1:21" x14ac:dyDescent="0.3">
      <c r="A12" t="s">
        <v>178</v>
      </c>
    </row>
    <row r="16" spans="1:21" x14ac:dyDescent="0.3">
      <c r="A16" t="s">
        <v>179</v>
      </c>
    </row>
    <row r="18" spans="1:1" x14ac:dyDescent="0.3">
      <c r="A18" t="s">
        <v>180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4.4" x14ac:dyDescent="0.3"/>
  <sheetData>
    <row r="1" spans="1:21" ht="28.95" customHeight="1" x14ac:dyDescent="0.3">
      <c r="A1" s="146" t="s">
        <v>181</v>
      </c>
      <c r="B1" s="146"/>
      <c r="C1" s="146"/>
      <c r="D1" s="146"/>
      <c r="E1" s="114"/>
      <c r="F1" s="109"/>
      <c r="G1" s="109"/>
      <c r="H1" s="109"/>
      <c r="I1" s="109"/>
      <c r="J1" s="109"/>
      <c r="K1" s="109"/>
      <c r="L1" s="109"/>
      <c r="M1" s="109"/>
      <c r="N1" s="109"/>
      <c r="O1" s="109"/>
      <c r="P1" s="109"/>
      <c r="Q1" s="109"/>
      <c r="R1" s="109"/>
      <c r="S1" s="12"/>
      <c r="T1" s="109"/>
      <c r="U1" s="109"/>
    </row>
    <row r="2" spans="1:21" x14ac:dyDescent="0.3">
      <c r="A2" s="111" t="s">
        <v>176</v>
      </c>
      <c r="B2" s="111"/>
      <c r="C2" s="111"/>
      <c r="D2" s="112"/>
      <c r="E2" s="112"/>
      <c r="F2" s="110"/>
      <c r="G2" s="110"/>
      <c r="H2" s="110"/>
      <c r="I2" s="110"/>
      <c r="J2" s="110"/>
      <c r="K2" s="110"/>
      <c r="L2" s="110"/>
      <c r="M2" s="110"/>
      <c r="N2" s="110"/>
      <c r="O2" s="110"/>
      <c r="P2" s="110"/>
      <c r="Q2" s="110"/>
      <c r="R2" s="110"/>
      <c r="T2" s="110"/>
      <c r="U2" s="110"/>
    </row>
    <row r="3" spans="1:21" x14ac:dyDescent="0.3">
      <c r="A3" t="s">
        <v>178</v>
      </c>
    </row>
    <row r="7" spans="1:21" x14ac:dyDescent="0.3">
      <c r="A7" t="s">
        <v>179</v>
      </c>
    </row>
    <row r="9" spans="1:21" x14ac:dyDescent="0.3">
      <c r="A9" t="s">
        <v>180</v>
      </c>
    </row>
    <row r="11" spans="1:21" x14ac:dyDescent="0.3">
      <c r="A11" s="116" t="s">
        <v>185</v>
      </c>
    </row>
    <row r="12" spans="1:21" x14ac:dyDescent="0.3">
      <c r="A12" s="111" t="s">
        <v>177</v>
      </c>
      <c r="B12" s="111"/>
      <c r="C12" s="111"/>
      <c r="D12" s="112"/>
      <c r="E12" s="112"/>
    </row>
    <row r="13" spans="1:21" x14ac:dyDescent="0.3">
      <c r="A13" t="s">
        <v>178</v>
      </c>
    </row>
    <row r="17" spans="1:1" x14ac:dyDescent="0.3">
      <c r="A17" t="s">
        <v>179</v>
      </c>
    </row>
    <row r="19" spans="1:1" x14ac:dyDescent="0.3">
      <c r="A19" t="s">
        <v>180</v>
      </c>
    </row>
    <row r="21" spans="1:1" x14ac:dyDescent="0.3">
      <c r="A21" s="116" t="s">
        <v>185</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4.4" x14ac:dyDescent="0.3"/>
  <sheetData>
    <row r="1" spans="1:1" x14ac:dyDescent="0.3">
      <c r="A1" t="s">
        <v>173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4.4" x14ac:dyDescent="0.3"/>
  <sheetData>
    <row r="1" spans="1:1" x14ac:dyDescent="0.3">
      <c r="A1" t="s">
        <v>174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4.4" x14ac:dyDescent="0.3"/>
  <sheetData>
    <row r="1" spans="1:1" x14ac:dyDescent="0.3">
      <c r="A1" t="s">
        <v>175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4.4" x14ac:dyDescent="0.3"/>
  <sheetData>
    <row r="1" spans="1:1" x14ac:dyDescent="0.3">
      <c r="A1">
        <v>2101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8"/>
  <sheetViews>
    <sheetView workbookViewId="0">
      <selection activeCell="A3" sqref="A3"/>
    </sheetView>
  </sheetViews>
  <sheetFormatPr defaultRowHeight="14.4" x14ac:dyDescent="0.3"/>
  <cols>
    <col min="1" max="1" width="58.21875" customWidth="1"/>
  </cols>
  <sheetData>
    <row r="1" spans="1:1" x14ac:dyDescent="0.3">
      <c r="A1" t="s">
        <v>259</v>
      </c>
    </row>
    <row r="2" spans="1:1" s="130" customFormat="1" ht="34.799999999999997" customHeight="1" x14ac:dyDescent="0.3">
      <c r="A2" s="129" t="s">
        <v>263</v>
      </c>
    </row>
    <row r="3" spans="1:1" s="130" customFormat="1" ht="34.799999999999997" customHeight="1" x14ac:dyDescent="0.3">
      <c r="A3" s="131" t="s">
        <v>156</v>
      </c>
    </row>
    <row r="4" spans="1:1" s="130" customFormat="1" ht="34.799999999999997" customHeight="1" x14ac:dyDescent="0.3">
      <c r="A4" s="131" t="s">
        <v>253</v>
      </c>
    </row>
    <row r="5" spans="1:1" s="130" customFormat="1" ht="34.799999999999997" customHeight="1" x14ac:dyDescent="0.3">
      <c r="A5" s="131" t="s">
        <v>252</v>
      </c>
    </row>
    <row r="6" spans="1:1" s="130" customFormat="1" ht="34.799999999999997" customHeight="1" x14ac:dyDescent="0.3">
      <c r="A6" s="131" t="s">
        <v>256</v>
      </c>
    </row>
    <row r="7" spans="1:1" s="130" customFormat="1" ht="34.799999999999997" customHeight="1" x14ac:dyDescent="0.3">
      <c r="A7" s="131" t="s">
        <v>257</v>
      </c>
    </row>
    <row r="8" spans="1:1" s="130" customFormat="1" ht="34.799999999999997" customHeight="1" x14ac:dyDescent="0.3">
      <c r="A8" s="131" t="s">
        <v>258</v>
      </c>
    </row>
    <row r="9" spans="1:1" s="130" customFormat="1" ht="34.799999999999997" customHeight="1" x14ac:dyDescent="0.3">
      <c r="A9" s="129" t="s">
        <v>109</v>
      </c>
    </row>
    <row r="10" spans="1:1" s="130" customFormat="1" ht="34.799999999999997" customHeight="1" x14ac:dyDescent="0.3">
      <c r="A10" s="131" t="s">
        <v>150</v>
      </c>
    </row>
    <row r="11" spans="1:1" s="130" customFormat="1" ht="34.799999999999997" customHeight="1" x14ac:dyDescent="0.3">
      <c r="A11" s="131" t="s">
        <v>151</v>
      </c>
    </row>
    <row r="12" spans="1:1" s="130" customFormat="1" ht="34.799999999999997" customHeight="1" x14ac:dyDescent="0.3">
      <c r="A12" s="129" t="s">
        <v>110</v>
      </c>
    </row>
    <row r="13" spans="1:1" s="130" customFormat="1" ht="34.799999999999997" customHeight="1" x14ac:dyDescent="0.3">
      <c r="A13" s="131" t="s">
        <v>154</v>
      </c>
    </row>
    <row r="14" spans="1:1" s="130" customFormat="1" ht="34.799999999999997" customHeight="1" x14ac:dyDescent="0.3">
      <c r="A14" s="129" t="s">
        <v>128</v>
      </c>
    </row>
    <row r="15" spans="1:1" s="130" customFormat="1" ht="34.799999999999997" customHeight="1" x14ac:dyDescent="0.3">
      <c r="A15" s="129" t="s">
        <v>129</v>
      </c>
    </row>
    <row r="16" spans="1:1" s="130" customFormat="1" ht="34.799999999999997" customHeight="1" x14ac:dyDescent="0.3">
      <c r="A16" s="129" t="s">
        <v>130</v>
      </c>
    </row>
    <row r="17" spans="1:1" s="130" customFormat="1" ht="34.799999999999997" customHeight="1" x14ac:dyDescent="0.3">
      <c r="A17" s="129" t="s">
        <v>131</v>
      </c>
    </row>
    <row r="18" spans="1:1" s="130" customFormat="1" ht="34.799999999999997" customHeight="1" x14ac:dyDescent="0.3">
      <c r="A18" s="129" t="s">
        <v>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CF9344-7952-420C-B415-7035486EAD8A}">
  <ds:schemaRefs>
    <ds:schemaRef ds:uri="http://schemas.microsoft.com/sharepoint/v3/contenttype/forms"/>
  </ds:schemaRefs>
</ds:datastoreItem>
</file>

<file path=customXml/itemProps2.xml><?xml version="1.0" encoding="utf-8"?>
<ds:datastoreItem xmlns:ds="http://schemas.openxmlformats.org/officeDocument/2006/customXml" ds:itemID="{AE0A1D84-F9EC-495B-8180-FA01982AF2DD}">
  <ds:schemaRefs>
    <ds:schemaRef ds:uri="96340b90-bc16-42e8-ab9a-9c306c088e69"/>
    <ds:schemaRef ds:uri="http://purl.org/dc/dcmitype/"/>
    <ds:schemaRef ds:uri="http://schemas.microsoft.com/office/2006/documentManagement/types"/>
    <ds:schemaRef ds:uri="http://purl.org/dc/elements/1.1/"/>
    <ds:schemaRef ds:uri="http://www.w3.org/XML/1998/namespace"/>
    <ds:schemaRef ds:uri="http://schemas.microsoft.com/office/infopath/2007/PartnerControls"/>
    <ds:schemaRef ds:uri="http://purl.org/dc/terms/"/>
    <ds:schemaRef ds:uri="http://schemas.openxmlformats.org/package/2006/metadata/core-properties"/>
    <ds:schemaRef ds:uri="d60970bc-fcfd-4a62-b203-a7774ec05f36"/>
    <ds:schemaRef ds:uri="http://schemas.microsoft.com/office/2006/metadata/properties"/>
  </ds:schemaRefs>
</ds:datastoreItem>
</file>

<file path=customXml/itemProps3.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vt:i4>
      </vt:variant>
    </vt:vector>
  </HeadingPairs>
  <TitlesOfParts>
    <vt:vector size="18" baseType="lpstr">
      <vt:lpstr>CoS Tracker</vt:lpstr>
      <vt:lpstr>GANTT </vt:lpstr>
      <vt:lpstr>0701S</vt:lpstr>
      <vt:lpstr>801S&amp;802S</vt:lpstr>
      <vt:lpstr>0901S</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2026-03-10T06:28:03Z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